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Desktop\Turismo Guacana\PLAYA HAWAI\"/>
    </mc:Choice>
  </mc:AlternateContent>
  <xr:revisionPtr revIDLastSave="0" documentId="13_ncr:1_{FFE1D773-18FA-4EFE-9737-A1A27A44DAA0}" xr6:coauthVersionLast="47" xr6:coauthVersionMax="47" xr10:uidLastSave="{00000000-0000-0000-0000-000000000000}"/>
  <bookViews>
    <workbookView xWindow="-120" yWindow="-120" windowWidth="20730" windowHeight="11160" xr2:uid="{CC13937B-FF08-4796-B91D-0C472531C8E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6" i="1" l="1"/>
  <c r="G25" i="1"/>
  <c r="G24" i="1"/>
  <c r="G44" i="1"/>
  <c r="G45" i="1"/>
  <c r="G46" i="1"/>
  <c r="G27" i="1"/>
  <c r="G23" i="1"/>
  <c r="G22" i="1"/>
  <c r="G21" i="1"/>
  <c r="G20" i="1"/>
</calcChain>
</file>

<file path=xl/sharedStrings.xml><?xml version="1.0" encoding="utf-8"?>
<sst xmlns="http://schemas.openxmlformats.org/spreadsheetml/2006/main" count="184" uniqueCount="61">
  <si>
    <t xml:space="preserve">Nancy Espinoza </t>
  </si>
  <si>
    <t>""</t>
  </si>
  <si>
    <t xml:space="preserve"> Sol Katherine Moreno Cano </t>
  </si>
  <si>
    <t xml:space="preserve"> Luz Stella Cano Daza </t>
  </si>
  <si>
    <t>R.C</t>
  </si>
  <si>
    <t>C.C</t>
  </si>
  <si>
    <t>EDAD</t>
  </si>
  <si>
    <t>N.D</t>
  </si>
  <si>
    <t>T.P</t>
  </si>
  <si>
    <t>NOMBRE</t>
  </si>
  <si>
    <t>MUNICIPIO</t>
  </si>
  <si>
    <t>ABONO</t>
  </si>
  <si>
    <t>DEUDA</t>
  </si>
  <si>
    <t>ANAPOIMA</t>
  </si>
  <si>
    <t xml:space="preserve">Miguel Angel Torres Salazar </t>
  </si>
  <si>
    <t>NF</t>
  </si>
  <si>
    <t>Natalia Andrea Gonzalez Correa</t>
  </si>
  <si>
    <t>Camilo Andres Torres Gonzalez</t>
  </si>
  <si>
    <t>Estella Torres</t>
  </si>
  <si>
    <t>COMISIONISTA</t>
  </si>
  <si>
    <t>EDITH</t>
  </si>
  <si>
    <t>Emilio Junco Diaz</t>
  </si>
  <si>
    <t>T.I</t>
  </si>
  <si>
    <t>Luz Amparo Lopez Rodríguez</t>
  </si>
  <si>
    <t>Aleida Urrego Gonzalez</t>
  </si>
  <si>
    <t>Emily Samanta Rodríguez Urrego</t>
  </si>
  <si>
    <t>Andres Felipe Rodríguez Urrego</t>
  </si>
  <si>
    <t>Transito Martinez Bohorquez</t>
  </si>
  <si>
    <t>Rosa Irene Ochoa Martinez</t>
  </si>
  <si>
    <t xml:space="preserve">Guillermo Rivera </t>
  </si>
  <si>
    <t xml:space="preserve">Sordyd Murillo </t>
  </si>
  <si>
    <t xml:space="preserve">Omar Eduardo Montenegro </t>
  </si>
  <si>
    <t>Emanuel Montenegro</t>
  </si>
  <si>
    <t>GLORIA</t>
  </si>
  <si>
    <t>LAD</t>
  </si>
  <si>
    <t>N°</t>
  </si>
  <si>
    <t>Florinda Daza Marín</t>
  </si>
  <si>
    <t>APULO</t>
  </si>
  <si>
    <t>Andres Tomas Roa Rodríguez</t>
  </si>
  <si>
    <t>marina garzon</t>
  </si>
  <si>
    <t>Luis Duarte</t>
  </si>
  <si>
    <t>Valery Duarte</t>
  </si>
  <si>
    <t>Julian Duarte</t>
  </si>
  <si>
    <t>Gabriel Cabrera</t>
  </si>
  <si>
    <t>Isabella Cabrera</t>
  </si>
  <si>
    <t>TOCAIMA</t>
  </si>
  <si>
    <t>Jeronimo Junco Diaz</t>
  </si>
  <si>
    <t>Johany Junco pesellin</t>
  </si>
  <si>
    <t>Luisa Benavides</t>
  </si>
  <si>
    <t>MAFE</t>
  </si>
  <si>
    <t>MEFE</t>
  </si>
  <si>
    <t xml:space="preserve">Miriam Jutinico Campos </t>
  </si>
  <si>
    <t>EMPRESA</t>
  </si>
  <si>
    <t xml:space="preserve"> </t>
  </si>
  <si>
    <t>Columna1</t>
  </si>
  <si>
    <t>Jaime Garcia Galindo</t>
  </si>
  <si>
    <t>Omaira Garcia Reyes</t>
  </si>
  <si>
    <t>Senaida Garcia Reyes</t>
  </si>
  <si>
    <t>María José Buitrago Sanchez</t>
  </si>
  <si>
    <t>Paula Daniela Reyes Daza</t>
  </si>
  <si>
    <t>Sandra Marcela Diaz espinosa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</si>
</sst>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3" fontId="0" fillId="0" borderId="0" xfId="0" applyNumberFormat="1"/>
    <xf numFmtId="14" fontId="0" fillId="0" borderId="0" xfId="0" applyNumberFormat="1"/>
    <xf numFmtId="0" fontId="0" fillId="2" borderId="0" xfId="0" applyFill="1"/>
    <xf numFmtId="0" fontId="0" fillId="3" borderId="0" xfId="0" applyFill="1"/>
    <xf numFmtId="0" fontId="0" fillId="4" borderId="0" xfId="0" applyFill="1"/>
    <xf numFmtId="1" fontId="0" fillId="0" borderId="0" xfId="0" applyNumberFormat="1"/>
    <xf numFmtId="0" fontId="0" fillId="0" borderId="0" xfId="0" applyAlignment="1">
      <alignment horizontal="center"/>
    </xf>
    <xf numFmtId="3" fontId="0" fillId="0" borderId="0" xfId="0" applyNumberFormat="1" applyAlignment="1">
      <alignment horizontal="center"/>
    </xf>
    <xf numFmtId="0" fontId="0" fillId="0" borderId="0" xfId="0" applyFill="1" applyAlignment="1">
      <alignment horizontal="center"/>
    </xf>
    <xf numFmtId="0" fontId="0" fillId="5" borderId="0" xfId="0" applyFill="1"/>
  </cellXfs>
  <cellStyles count="1">
    <cellStyle name="Normal" xfId="0" builtinId="0"/>
  </cellStyles>
  <dxfs count="2">
    <dxf>
      <alignment horizontal="center" vertical="bottom" textRotation="0" wrapText="0" indent="0" justifyLastLine="0" shrinkToFit="0" readingOrder="0"/>
    </dxf>
    <dxf>
      <numFmt numFmtId="19" formatCode="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684491C-737E-4E17-B7C4-615815B0C0C6}" name="Tabla1" displayName="Tabla1" ref="C3:L49" totalsRowShown="0">
  <autoFilter ref="C3:L49" xr:uid="{8684491C-737E-4E17-B7C4-615815B0C0C6}"/>
  <tableColumns count="10">
    <tableColumn id="1" xr3:uid="{FD11F572-CC30-43F6-B48C-684182A9A78B}" name="NOMBRE"/>
    <tableColumn id="2" xr3:uid="{64E2FF18-0826-4686-AEE3-39CE62FA87E7}" name="T.P" dataDxfId="0"/>
    <tableColumn id="3" xr3:uid="{9842572F-2E9B-46E0-BFA3-0FD194AEC5D8}" name="N.D"/>
    <tableColumn id="8" xr3:uid="{E0655F3D-A1F6-4160-BEEC-013CB927DC6F}" name="NF" dataDxfId="1"/>
    <tableColumn id="4" xr3:uid="{1BC676FA-37FF-4010-AC2A-DF9A4A2C6978}" name="EDAD"/>
    <tableColumn id="5" xr3:uid="{E9D294AF-7180-4540-AA1E-44EF6D8B7FF2}" name="MUNICIPIO"/>
    <tableColumn id="9" xr3:uid="{3FE4C15C-5D61-4B59-B46E-D0A91C20BD80}" name="COMISIONISTA"/>
    <tableColumn id="6" xr3:uid="{0F4D2C85-D240-4DA4-99CD-71E868458E30}" name="ABONO"/>
    <tableColumn id="7" xr3:uid="{1C39690D-D2BF-401B-B9CA-19666171C2BB}" name="DEUDA"/>
    <tableColumn id="10" xr3:uid="{C55A2D58-E0CE-4EC0-BE9A-D4ADB594A13F}" name="Columna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36611E-BFC2-4536-BF96-641E99BF9C36}">
  <dimension ref="B3:L49"/>
  <sheetViews>
    <sheetView tabSelected="1" topLeftCell="A31" workbookViewId="0">
      <selection activeCell="G28" sqref="G28"/>
    </sheetView>
  </sheetViews>
  <sheetFormatPr baseColWidth="10" defaultRowHeight="15" x14ac:dyDescent="0.25"/>
  <cols>
    <col min="2" max="2" width="3.140625" bestFit="1" customWidth="1"/>
    <col min="3" max="3" width="29.28515625" bestFit="1" customWidth="1"/>
    <col min="5" max="5" width="13.7109375" bestFit="1" customWidth="1"/>
    <col min="6" max="6" width="18" style="2" customWidth="1"/>
    <col min="9" max="9" width="16.5703125" bestFit="1" customWidth="1"/>
  </cols>
  <sheetData>
    <row r="3" spans="2:12" x14ac:dyDescent="0.25">
      <c r="B3" t="s">
        <v>35</v>
      </c>
      <c r="C3" t="s">
        <v>9</v>
      </c>
      <c r="D3" t="s">
        <v>8</v>
      </c>
      <c r="E3" t="s">
        <v>7</v>
      </c>
      <c r="F3" s="2" t="s">
        <v>15</v>
      </c>
      <c r="G3" t="s">
        <v>6</v>
      </c>
      <c r="H3" t="s">
        <v>10</v>
      </c>
      <c r="I3" t="s">
        <v>19</v>
      </c>
      <c r="J3" t="s">
        <v>11</v>
      </c>
      <c r="K3" t="s">
        <v>12</v>
      </c>
      <c r="L3" t="s">
        <v>54</v>
      </c>
    </row>
    <row r="4" spans="2:12" x14ac:dyDescent="0.25">
      <c r="B4">
        <v>1</v>
      </c>
      <c r="C4" t="s">
        <v>0</v>
      </c>
      <c r="D4" s="7" t="s">
        <v>5</v>
      </c>
      <c r="E4" s="1">
        <v>20357610</v>
      </c>
      <c r="H4" s="3" t="s">
        <v>13</v>
      </c>
      <c r="I4" t="s">
        <v>33</v>
      </c>
      <c r="J4" s="1">
        <v>600000</v>
      </c>
    </row>
    <row r="5" spans="2:12" x14ac:dyDescent="0.25">
      <c r="B5">
        <v>2</v>
      </c>
      <c r="C5" t="s">
        <v>21</v>
      </c>
      <c r="D5" s="7" t="s">
        <v>22</v>
      </c>
      <c r="E5" s="1">
        <v>1014900064</v>
      </c>
      <c r="H5" s="3" t="s">
        <v>13</v>
      </c>
      <c r="I5" t="s">
        <v>33</v>
      </c>
      <c r="J5" t="s">
        <v>1</v>
      </c>
    </row>
    <row r="6" spans="2:12" x14ac:dyDescent="0.25">
      <c r="B6">
        <v>3</v>
      </c>
      <c r="C6" t="s">
        <v>23</v>
      </c>
      <c r="D6" s="7" t="s">
        <v>5</v>
      </c>
      <c r="E6" s="1">
        <v>30372665</v>
      </c>
      <c r="H6" s="3" t="s">
        <v>13</v>
      </c>
      <c r="I6" t="s">
        <v>33</v>
      </c>
      <c r="J6" t="s">
        <v>1</v>
      </c>
    </row>
    <row r="7" spans="2:12" x14ac:dyDescent="0.25">
      <c r="B7">
        <v>4</v>
      </c>
      <c r="C7" t="s">
        <v>24</v>
      </c>
      <c r="D7" s="7" t="s">
        <v>5</v>
      </c>
      <c r="E7" s="1">
        <v>51660953</v>
      </c>
      <c r="H7" s="3" t="s">
        <v>13</v>
      </c>
      <c r="I7" t="s">
        <v>33</v>
      </c>
      <c r="J7" t="s">
        <v>1</v>
      </c>
    </row>
    <row r="8" spans="2:12" x14ac:dyDescent="0.25">
      <c r="B8">
        <v>5</v>
      </c>
      <c r="C8" t="s">
        <v>25</v>
      </c>
      <c r="D8" s="7" t="s">
        <v>22</v>
      </c>
      <c r="E8" s="1">
        <v>1028876519</v>
      </c>
      <c r="H8" s="3" t="s">
        <v>13</v>
      </c>
      <c r="I8" t="s">
        <v>33</v>
      </c>
      <c r="J8" t="s">
        <v>1</v>
      </c>
    </row>
    <row r="9" spans="2:12" x14ac:dyDescent="0.25">
      <c r="B9">
        <v>6</v>
      </c>
      <c r="C9" t="s">
        <v>26</v>
      </c>
      <c r="D9" s="7" t="s">
        <v>22</v>
      </c>
      <c r="E9" s="1">
        <v>98090405110</v>
      </c>
      <c r="H9" s="3" t="s">
        <v>13</v>
      </c>
      <c r="I9" t="s">
        <v>33</v>
      </c>
      <c r="J9" t="s">
        <v>1</v>
      </c>
    </row>
    <row r="10" spans="2:12" x14ac:dyDescent="0.25">
      <c r="B10">
        <v>7</v>
      </c>
      <c r="C10" t="s">
        <v>27</v>
      </c>
      <c r="D10" s="7" t="s">
        <v>5</v>
      </c>
      <c r="E10" s="1">
        <v>39704333</v>
      </c>
      <c r="H10" s="3" t="s">
        <v>13</v>
      </c>
      <c r="I10" t="s">
        <v>33</v>
      </c>
      <c r="J10" t="s">
        <v>1</v>
      </c>
    </row>
    <row r="11" spans="2:12" x14ac:dyDescent="0.25">
      <c r="B11">
        <v>8</v>
      </c>
      <c r="C11" t="s">
        <v>28</v>
      </c>
      <c r="D11" s="7" t="s">
        <v>5</v>
      </c>
      <c r="E11" s="1">
        <v>41517360</v>
      </c>
      <c r="H11" s="3" t="s">
        <v>13</v>
      </c>
      <c r="I11" t="s">
        <v>33</v>
      </c>
      <c r="J11" t="s">
        <v>1</v>
      </c>
    </row>
    <row r="12" spans="2:12" x14ac:dyDescent="0.25">
      <c r="B12">
        <v>9</v>
      </c>
      <c r="C12" t="s">
        <v>29</v>
      </c>
      <c r="D12" s="7" t="s">
        <v>5</v>
      </c>
      <c r="E12" s="1">
        <v>19199204</v>
      </c>
      <c r="H12" s="3" t="s">
        <v>13</v>
      </c>
      <c r="I12" t="s">
        <v>33</v>
      </c>
      <c r="J12" t="s">
        <v>1</v>
      </c>
    </row>
    <row r="13" spans="2:12" x14ac:dyDescent="0.25">
      <c r="B13">
        <v>10</v>
      </c>
      <c r="C13" t="s">
        <v>30</v>
      </c>
      <c r="D13" s="7" t="s">
        <v>5</v>
      </c>
      <c r="E13" s="1">
        <v>20357616</v>
      </c>
      <c r="H13" s="3" t="s">
        <v>13</v>
      </c>
      <c r="I13" t="s">
        <v>33</v>
      </c>
      <c r="J13" t="s">
        <v>1</v>
      </c>
    </row>
    <row r="14" spans="2:12" x14ac:dyDescent="0.25">
      <c r="B14">
        <v>11</v>
      </c>
      <c r="C14" t="s">
        <v>31</v>
      </c>
      <c r="D14" s="7" t="s">
        <v>5</v>
      </c>
      <c r="E14" s="1">
        <v>79502637</v>
      </c>
      <c r="H14" s="3" t="s">
        <v>13</v>
      </c>
      <c r="I14" t="s">
        <v>33</v>
      </c>
      <c r="J14" t="s">
        <v>1</v>
      </c>
    </row>
    <row r="15" spans="2:12" x14ac:dyDescent="0.25">
      <c r="B15">
        <v>12</v>
      </c>
      <c r="C15" t="s">
        <v>32</v>
      </c>
      <c r="D15" s="7" t="s">
        <v>5</v>
      </c>
      <c r="E15" s="1">
        <v>1027285231</v>
      </c>
      <c r="H15" s="3" t="s">
        <v>13</v>
      </c>
      <c r="I15" t="s">
        <v>33</v>
      </c>
      <c r="J15" t="s">
        <v>1</v>
      </c>
    </row>
    <row r="16" spans="2:12" x14ac:dyDescent="0.25">
      <c r="B16">
        <v>13</v>
      </c>
      <c r="C16" t="s">
        <v>46</v>
      </c>
      <c r="D16" s="7" t="s">
        <v>22</v>
      </c>
      <c r="E16" s="1">
        <v>1019908883</v>
      </c>
      <c r="H16" s="3" t="s">
        <v>13</v>
      </c>
      <c r="I16" t="s">
        <v>33</v>
      </c>
    </row>
    <row r="17" spans="2:12" x14ac:dyDescent="0.25">
      <c r="B17">
        <v>14</v>
      </c>
      <c r="C17" t="s">
        <v>2</v>
      </c>
      <c r="D17" s="9" t="s">
        <v>4</v>
      </c>
      <c r="E17">
        <v>1072963889</v>
      </c>
      <c r="G17">
        <v>6</v>
      </c>
      <c r="H17" s="3" t="s">
        <v>13</v>
      </c>
      <c r="I17" t="s">
        <v>49</v>
      </c>
    </row>
    <row r="18" spans="2:12" x14ac:dyDescent="0.25">
      <c r="B18">
        <v>15</v>
      </c>
      <c r="C18" t="s">
        <v>3</v>
      </c>
      <c r="D18" s="7" t="s">
        <v>5</v>
      </c>
      <c r="E18">
        <v>1010051972</v>
      </c>
      <c r="G18">
        <v>27</v>
      </c>
      <c r="H18" s="3" t="s">
        <v>13</v>
      </c>
      <c r="I18" t="s">
        <v>50</v>
      </c>
    </row>
    <row r="19" spans="2:12" x14ac:dyDescent="0.25">
      <c r="B19">
        <v>16</v>
      </c>
      <c r="C19" t="s">
        <v>59</v>
      </c>
      <c r="D19" s="7"/>
      <c r="E19">
        <v>1072960894</v>
      </c>
      <c r="H19" s="3" t="s">
        <v>13</v>
      </c>
      <c r="I19" t="s">
        <v>49</v>
      </c>
    </row>
    <row r="20" spans="2:12" x14ac:dyDescent="0.25">
      <c r="B20">
        <v>17</v>
      </c>
      <c r="C20" t="s">
        <v>14</v>
      </c>
      <c r="D20" s="7" t="s">
        <v>5</v>
      </c>
      <c r="E20" s="1">
        <v>1013633198</v>
      </c>
      <c r="F20" s="2">
        <v>33774</v>
      </c>
      <c r="G20">
        <f>2023-1992</f>
        <v>31</v>
      </c>
      <c r="H20" s="4" t="s">
        <v>37</v>
      </c>
      <c r="I20" t="s">
        <v>20</v>
      </c>
      <c r="J20" s="1">
        <v>50000</v>
      </c>
    </row>
    <row r="21" spans="2:12" x14ac:dyDescent="0.25">
      <c r="B21">
        <v>18</v>
      </c>
      <c r="C21" t="s">
        <v>16</v>
      </c>
      <c r="D21" s="7" t="s">
        <v>5</v>
      </c>
      <c r="E21" s="1">
        <v>1072962420</v>
      </c>
      <c r="F21" s="2">
        <v>34566</v>
      </c>
      <c r="G21">
        <f>2023-1994</f>
        <v>29</v>
      </c>
      <c r="H21" s="4" t="s">
        <v>37</v>
      </c>
      <c r="I21" t="s">
        <v>20</v>
      </c>
      <c r="J21" s="1">
        <v>50000</v>
      </c>
    </row>
    <row r="22" spans="2:12" x14ac:dyDescent="0.25">
      <c r="B22">
        <v>19</v>
      </c>
      <c r="C22" t="s">
        <v>17</v>
      </c>
      <c r="D22" s="9" t="s">
        <v>4</v>
      </c>
      <c r="E22" s="1">
        <v>1195268000</v>
      </c>
      <c r="F22" s="2">
        <v>43961</v>
      </c>
      <c r="G22">
        <f>2024-2020</f>
        <v>4</v>
      </c>
      <c r="H22" s="4" t="s">
        <v>37</v>
      </c>
      <c r="I22" t="s">
        <v>20</v>
      </c>
      <c r="J22" s="1">
        <v>50000</v>
      </c>
    </row>
    <row r="23" spans="2:12" x14ac:dyDescent="0.25">
      <c r="B23">
        <v>20</v>
      </c>
      <c r="C23" t="s">
        <v>18</v>
      </c>
      <c r="D23" s="7" t="s">
        <v>5</v>
      </c>
      <c r="E23" s="1">
        <v>39714585</v>
      </c>
      <c r="F23" s="2">
        <v>22819</v>
      </c>
      <c r="G23" s="10">
        <f>2024-1962</f>
        <v>62</v>
      </c>
      <c r="H23" s="4" t="s">
        <v>37</v>
      </c>
      <c r="I23" t="s">
        <v>20</v>
      </c>
      <c r="J23" s="1">
        <v>50000</v>
      </c>
    </row>
    <row r="24" spans="2:12" x14ac:dyDescent="0.25">
      <c r="B24">
        <v>21</v>
      </c>
      <c r="C24" t="s">
        <v>55</v>
      </c>
      <c r="D24" s="7" t="s">
        <v>5</v>
      </c>
      <c r="E24" s="1">
        <v>17045400</v>
      </c>
      <c r="F24" s="2">
        <v>15106</v>
      </c>
      <c r="G24" s="10">
        <f>2024-1941</f>
        <v>83</v>
      </c>
      <c r="H24" s="4" t="s">
        <v>37</v>
      </c>
      <c r="I24" t="s">
        <v>20</v>
      </c>
      <c r="J24" s="1"/>
    </row>
    <row r="25" spans="2:12" x14ac:dyDescent="0.25">
      <c r="B25">
        <v>22</v>
      </c>
      <c r="C25" t="s">
        <v>56</v>
      </c>
      <c r="D25" s="7" t="s">
        <v>5</v>
      </c>
      <c r="E25" s="1">
        <v>20871030</v>
      </c>
      <c r="F25" s="2">
        <v>22387</v>
      </c>
      <c r="G25" s="10">
        <f>2024-1961</f>
        <v>63</v>
      </c>
      <c r="H25" s="4" t="s">
        <v>37</v>
      </c>
      <c r="I25" t="s">
        <v>20</v>
      </c>
      <c r="J25" s="1"/>
    </row>
    <row r="26" spans="2:12" x14ac:dyDescent="0.25">
      <c r="B26">
        <v>23</v>
      </c>
      <c r="C26" t="s">
        <v>57</v>
      </c>
      <c r="D26" s="7" t="s">
        <v>5</v>
      </c>
      <c r="E26" s="1">
        <v>20871360</v>
      </c>
      <c r="F26" s="2">
        <v>23413</v>
      </c>
      <c r="G26" s="10">
        <f>2024-1964</f>
        <v>60</v>
      </c>
      <c r="H26" s="4" t="s">
        <v>37</v>
      </c>
      <c r="I26" t="s">
        <v>20</v>
      </c>
      <c r="J26" s="1"/>
    </row>
    <row r="27" spans="2:12" x14ac:dyDescent="0.25">
      <c r="B27">
        <v>24</v>
      </c>
      <c r="C27" t="s">
        <v>36</v>
      </c>
      <c r="D27" s="7" t="s">
        <v>5</v>
      </c>
      <c r="E27" s="1">
        <v>65739648</v>
      </c>
      <c r="F27" s="2">
        <v>24632</v>
      </c>
      <c r="G27">
        <f>2024-1967</f>
        <v>57</v>
      </c>
      <c r="H27" s="4" t="s">
        <v>37</v>
      </c>
      <c r="I27" t="s">
        <v>20</v>
      </c>
      <c r="L27" t="s">
        <v>53</v>
      </c>
    </row>
    <row r="28" spans="2:12" x14ac:dyDescent="0.25">
      <c r="B28">
        <v>25</v>
      </c>
      <c r="C28" t="s">
        <v>58</v>
      </c>
      <c r="D28" s="7" t="s">
        <v>22</v>
      </c>
      <c r="E28" s="1">
        <v>1073630290</v>
      </c>
      <c r="F28" s="2">
        <v>42230</v>
      </c>
      <c r="G28">
        <v>8</v>
      </c>
      <c r="H28" s="4" t="s">
        <v>37</v>
      </c>
      <c r="I28" t="s">
        <v>20</v>
      </c>
    </row>
    <row r="29" spans="2:12" x14ac:dyDescent="0.25">
      <c r="B29">
        <v>26</v>
      </c>
      <c r="C29" t="s">
        <v>38</v>
      </c>
      <c r="D29" s="7" t="s">
        <v>22</v>
      </c>
      <c r="E29" s="1">
        <v>1073630175</v>
      </c>
      <c r="F29" s="2">
        <v>42020</v>
      </c>
      <c r="G29">
        <v>9</v>
      </c>
      <c r="H29" s="4" t="s">
        <v>37</v>
      </c>
      <c r="I29" t="s">
        <v>20</v>
      </c>
    </row>
    <row r="30" spans="2:12" x14ac:dyDescent="0.25">
      <c r="B30">
        <v>27</v>
      </c>
      <c r="C30" t="s">
        <v>39</v>
      </c>
      <c r="D30" s="7"/>
      <c r="H30" s="5" t="s">
        <v>45</v>
      </c>
    </row>
    <row r="31" spans="2:12" x14ac:dyDescent="0.25">
      <c r="B31">
        <v>28</v>
      </c>
      <c r="C31" t="s">
        <v>39</v>
      </c>
      <c r="D31" s="7"/>
      <c r="H31" s="5" t="s">
        <v>45</v>
      </c>
    </row>
    <row r="32" spans="2:12" x14ac:dyDescent="0.25">
      <c r="B32">
        <v>29</v>
      </c>
      <c r="C32" t="s">
        <v>39</v>
      </c>
      <c r="D32" s="7"/>
      <c r="H32" s="5" t="s">
        <v>45</v>
      </c>
    </row>
    <row r="33" spans="2:9" x14ac:dyDescent="0.25">
      <c r="B33">
        <v>30</v>
      </c>
      <c r="C33" t="s">
        <v>39</v>
      </c>
      <c r="D33" s="7"/>
      <c r="H33" s="5" t="s">
        <v>45</v>
      </c>
    </row>
    <row r="34" spans="2:9" x14ac:dyDescent="0.25">
      <c r="B34">
        <v>31</v>
      </c>
      <c r="C34" t="s">
        <v>39</v>
      </c>
      <c r="D34" s="7"/>
      <c r="H34" s="5" t="s">
        <v>45</v>
      </c>
    </row>
    <row r="35" spans="2:9" x14ac:dyDescent="0.25">
      <c r="B35">
        <v>32</v>
      </c>
      <c r="C35" t="s">
        <v>39</v>
      </c>
      <c r="D35" s="7"/>
      <c r="H35" s="5" t="s">
        <v>45</v>
      </c>
    </row>
    <row r="36" spans="2:9" x14ac:dyDescent="0.25">
      <c r="B36">
        <v>33</v>
      </c>
      <c r="C36" t="s">
        <v>39</v>
      </c>
      <c r="D36" s="7"/>
      <c r="H36" s="5" t="s">
        <v>45</v>
      </c>
    </row>
    <row r="37" spans="2:9" x14ac:dyDescent="0.25">
      <c r="B37">
        <v>34</v>
      </c>
      <c r="C37" t="s">
        <v>39</v>
      </c>
      <c r="D37" s="7"/>
      <c r="H37" s="5" t="s">
        <v>45</v>
      </c>
    </row>
    <row r="38" spans="2:9" x14ac:dyDescent="0.25">
      <c r="B38">
        <v>35</v>
      </c>
      <c r="C38" t="s">
        <v>39</v>
      </c>
      <c r="D38" s="7"/>
      <c r="H38" s="5" t="s">
        <v>45</v>
      </c>
    </row>
    <row r="39" spans="2:9" x14ac:dyDescent="0.25">
      <c r="B39">
        <v>36</v>
      </c>
      <c r="C39" t="s">
        <v>39</v>
      </c>
      <c r="D39" s="7"/>
      <c r="H39" s="5" t="s">
        <v>45</v>
      </c>
    </row>
    <row r="40" spans="2:9" x14ac:dyDescent="0.25">
      <c r="B40">
        <v>37</v>
      </c>
      <c r="C40" t="s">
        <v>39</v>
      </c>
      <c r="D40" s="7"/>
      <c r="H40" s="5" t="s">
        <v>45</v>
      </c>
    </row>
    <row r="41" spans="2:9" x14ac:dyDescent="0.25">
      <c r="B41">
        <v>38</v>
      </c>
      <c r="C41" t="s">
        <v>40</v>
      </c>
      <c r="D41" s="7" t="s">
        <v>5</v>
      </c>
      <c r="G41">
        <v>54</v>
      </c>
      <c r="H41" s="4" t="s">
        <v>37</v>
      </c>
      <c r="I41" t="s">
        <v>52</v>
      </c>
    </row>
    <row r="42" spans="2:9" x14ac:dyDescent="0.25">
      <c r="B42">
        <v>39</v>
      </c>
      <c r="C42" t="s">
        <v>41</v>
      </c>
      <c r="D42" s="7" t="s">
        <v>5</v>
      </c>
      <c r="E42" s="8">
        <v>1007953320</v>
      </c>
      <c r="G42">
        <v>20</v>
      </c>
      <c r="H42" s="4" t="s">
        <v>37</v>
      </c>
      <c r="I42" t="s">
        <v>52</v>
      </c>
    </row>
    <row r="43" spans="2:9" x14ac:dyDescent="0.25">
      <c r="B43">
        <v>40</v>
      </c>
      <c r="C43" t="s">
        <v>42</v>
      </c>
      <c r="D43" s="7" t="s">
        <v>5</v>
      </c>
      <c r="G43">
        <v>19</v>
      </c>
      <c r="H43" s="4" t="s">
        <v>37</v>
      </c>
      <c r="I43" t="s">
        <v>52</v>
      </c>
    </row>
    <row r="44" spans="2:9" x14ac:dyDescent="0.25">
      <c r="B44">
        <v>41</v>
      </c>
      <c r="C44" t="s">
        <v>43</v>
      </c>
      <c r="D44" s="7" t="s">
        <v>5</v>
      </c>
      <c r="E44">
        <v>79656808</v>
      </c>
      <c r="F44" s="2">
        <v>27034</v>
      </c>
      <c r="G44">
        <f>2024-1974</f>
        <v>50</v>
      </c>
      <c r="H44" s="5" t="s">
        <v>45</v>
      </c>
      <c r="I44" t="s">
        <v>52</v>
      </c>
    </row>
    <row r="45" spans="2:9" x14ac:dyDescent="0.25">
      <c r="B45">
        <v>42</v>
      </c>
      <c r="C45" t="s">
        <v>48</v>
      </c>
      <c r="D45" s="7" t="s">
        <v>5</v>
      </c>
      <c r="E45">
        <v>1075628177</v>
      </c>
      <c r="F45" s="2">
        <v>34519</v>
      </c>
      <c r="G45">
        <f>2023-1994</f>
        <v>29</v>
      </c>
      <c r="H45" s="5" t="s">
        <v>45</v>
      </c>
      <c r="I45" t="s">
        <v>52</v>
      </c>
    </row>
    <row r="46" spans="2:9" x14ac:dyDescent="0.25">
      <c r="B46">
        <v>43</v>
      </c>
      <c r="C46" t="s">
        <v>44</v>
      </c>
      <c r="D46" s="7" t="s">
        <v>22</v>
      </c>
      <c r="E46">
        <v>1014877742</v>
      </c>
      <c r="F46" s="2">
        <v>40522</v>
      </c>
      <c r="G46">
        <f>2023-2010</f>
        <v>13</v>
      </c>
      <c r="H46" s="5" t="s">
        <v>45</v>
      </c>
      <c r="I46" t="s">
        <v>52</v>
      </c>
    </row>
    <row r="47" spans="2:9" x14ac:dyDescent="0.25">
      <c r="B47">
        <v>44</v>
      </c>
      <c r="C47" t="s">
        <v>47</v>
      </c>
      <c r="D47" s="7" t="s">
        <v>5</v>
      </c>
      <c r="E47">
        <v>2950955</v>
      </c>
      <c r="H47" t="s">
        <v>45</v>
      </c>
      <c r="I47" t="s">
        <v>33</v>
      </c>
    </row>
    <row r="48" spans="2:9" x14ac:dyDescent="0.25">
      <c r="B48">
        <v>45</v>
      </c>
      <c r="C48" t="s">
        <v>60</v>
      </c>
      <c r="D48" s="7" t="s">
        <v>5</v>
      </c>
      <c r="E48">
        <v>20358624</v>
      </c>
      <c r="H48" t="s">
        <v>45</v>
      </c>
      <c r="I48" t="s">
        <v>33</v>
      </c>
    </row>
    <row r="49" spans="2:9" x14ac:dyDescent="0.25">
      <c r="B49">
        <v>46</v>
      </c>
      <c r="C49" t="s">
        <v>51</v>
      </c>
      <c r="D49" s="7" t="s">
        <v>5</v>
      </c>
      <c r="E49" s="1">
        <v>20871810</v>
      </c>
      <c r="F49" s="6">
        <v>3143193536</v>
      </c>
      <c r="H49" t="s">
        <v>37</v>
      </c>
      <c r="I49" t="s">
        <v>34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DANIELA STEFANI  CRUZ MORENO</dc:creator>
  <cp:lastModifiedBy>HP LAPTOP</cp:lastModifiedBy>
  <dcterms:created xsi:type="dcterms:W3CDTF">2024-05-27T20:03:49Z</dcterms:created>
  <dcterms:modified xsi:type="dcterms:W3CDTF">2024-06-19T14:49:33Z</dcterms:modified>
</cp:coreProperties>
</file>