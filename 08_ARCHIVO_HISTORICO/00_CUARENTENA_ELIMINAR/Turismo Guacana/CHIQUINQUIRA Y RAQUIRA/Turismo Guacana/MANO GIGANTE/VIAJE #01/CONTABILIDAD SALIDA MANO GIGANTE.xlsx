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8_{142CB159-D612-4AB6-9634-6C2234182A21}" xr6:coauthVersionLast="47" xr6:coauthVersionMax="47" xr10:uidLastSave="{00000000-0000-0000-0000-000000000000}"/>
  <bookViews>
    <workbookView xWindow="-120" yWindow="-120" windowWidth="20730" windowHeight="11040" xr2:uid="{DDB55CC8-DD83-489A-8D09-E8CADC36706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2" l="1"/>
  <c r="E8" i="2"/>
  <c r="E7" i="2"/>
  <c r="E6" i="2"/>
  <c r="E12" i="2" s="1"/>
  <c r="E14" i="2" s="1"/>
  <c r="C5" i="2"/>
  <c r="D39" i="1"/>
</calcChain>
</file>

<file path=xl/sharedStrings.xml><?xml version="1.0" encoding="utf-8"?>
<sst xmlns="http://schemas.openxmlformats.org/spreadsheetml/2006/main" count="98" uniqueCount="60">
  <si>
    <t xml:space="preserve">NOMBRE </t>
  </si>
  <si>
    <t>VIAJES</t>
  </si>
  <si>
    <t>Columna1</t>
  </si>
  <si>
    <t>ERIKA JULIANA BUITRAGO MENDOZA</t>
  </si>
  <si>
    <t>MANO GIGANTE</t>
  </si>
  <si>
    <t>VIVIANA PATRICIA CANO</t>
  </si>
  <si>
    <t>JEIMMY PAOLA AREVALO MARULANDA</t>
  </si>
  <si>
    <t>ANGIE CATERINE ROJAS</t>
  </si>
  <si>
    <t>EOJAR ALEXANDER MANCERA</t>
  </si>
  <si>
    <t>FERNANDO ENRIQUE BAQUERO</t>
  </si>
  <si>
    <t xml:space="preserve">ADRIANA PATRICIA ALVEAR GONZALEZ </t>
  </si>
  <si>
    <t>ANDREA CAROLINA ALVEAR GONZALEZ</t>
  </si>
  <si>
    <t>MARCELA LANCHEROS SANCHEZ</t>
  </si>
  <si>
    <t>ANDRES BUITRAGO</t>
  </si>
  <si>
    <t>FABIAN JOSE IBAÑEZ CANO</t>
  </si>
  <si>
    <t>JENNYFER CAMILA VEGA PEREZ</t>
  </si>
  <si>
    <t>NEIDER ANDRES PULIDO PULIDO</t>
  </si>
  <si>
    <t>WILMER ALEJANDRO ROJAS PULIDO</t>
  </si>
  <si>
    <t>NICOLLE PIÑEROS HERRERA</t>
  </si>
  <si>
    <t>NICOLAS ROMERO GARCIA</t>
  </si>
  <si>
    <t>OFELIA HERRERA</t>
  </si>
  <si>
    <t>THIAGO ROMERO PIÑEROS</t>
  </si>
  <si>
    <t>PABLO ERNESTO RUEDA DALINDO</t>
  </si>
  <si>
    <t>PAULA LORENA REYES GARCIA</t>
  </si>
  <si>
    <t>MARYNELA PINZON ALONSO</t>
  </si>
  <si>
    <t>ALEJANDRA HUERTAS MOLINA</t>
  </si>
  <si>
    <t>SARA YINETH BARRERO PINZÓN</t>
  </si>
  <si>
    <t>JAVIER ALEXIS RESTREPO BARRERO</t>
  </si>
  <si>
    <t>JUAN FELIPE CORREA RAMOS</t>
  </si>
  <si>
    <t>CARLOS COLORADO</t>
  </si>
  <si>
    <t>MARCELA QUIROGA</t>
  </si>
  <si>
    <t>CAMILO BARRERO</t>
  </si>
  <si>
    <t>VALERY GOMEZ</t>
  </si>
  <si>
    <t>NILSON DANIEL TORRES HERNANDEZ</t>
  </si>
  <si>
    <t>GLORIA ESPERANZA MORENO APONTE</t>
  </si>
  <si>
    <t>NUBIA MERCEDES APONTE ALBINO</t>
  </si>
  <si>
    <t xml:space="preserve">DIANA CAROLINA RODRÍGUEZ </t>
  </si>
  <si>
    <t>ANGEL CANO</t>
  </si>
  <si>
    <t>BRAYAN STIVEN RUIZ</t>
  </si>
  <si>
    <t xml:space="preserve">LUIS ALBERTO DUARTE MOLINA </t>
  </si>
  <si>
    <t>JAROL ESTIVEN HENAO VALENCIA</t>
  </si>
  <si>
    <t>TOTAL</t>
  </si>
  <si>
    <t xml:space="preserve">COSTOS SALIDA MANO GIGANTE </t>
  </si>
  <si>
    <t>SUJETO</t>
  </si>
  <si>
    <t>VALOR C/U</t>
  </si>
  <si>
    <t>CANTIDAD</t>
  </si>
  <si>
    <t xml:space="preserve">OBSERVACIONES </t>
  </si>
  <si>
    <t>TRANSPORTE</t>
  </si>
  <si>
    <t>SEGURO DE VIAJE</t>
  </si>
  <si>
    <t>ALIMENTACIÓN</t>
  </si>
  <si>
    <t>TRASLADO CAMIONETA</t>
  </si>
  <si>
    <t>BOLETA DE INGRESO</t>
  </si>
  <si>
    <t xml:space="preserve">COMISIONES </t>
  </si>
  <si>
    <t xml:space="preserve">GASTOS DE REPRESENTACIÓN </t>
  </si>
  <si>
    <t>INGRESO TERMALES</t>
  </si>
  <si>
    <t>Solo se desconto un guía</t>
  </si>
  <si>
    <t>INGRESO</t>
  </si>
  <si>
    <t>UTILIDAD</t>
  </si>
  <si>
    <t xml:space="preserve"> 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</si>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</sst>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6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2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6" fontId="0" fillId="5" borderId="2" xfId="0" applyNumberFormat="1" applyFill="1" applyBorder="1" applyAlignment="1">
      <alignment horizontal="center"/>
    </xf>
    <xf numFmtId="44" fontId="0" fillId="4" borderId="2" xfId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6" fontId="0" fillId="5" borderId="0" xfId="0" applyNumberFormat="1" applyFill="1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/>
    <xf numFmtId="8" fontId="0" fillId="4" borderId="0" xfId="0" applyNumberFormat="1" applyFill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3" borderId="3" xfId="0" applyFill="1" applyBorder="1"/>
    <xf numFmtId="0" fontId="0" fillId="6" borderId="0" xfId="0" applyFill="1"/>
  </cellXfs>
  <cellStyles count="2">
    <cellStyle name="Moneda" xfId="1" builtinId="4"/>
    <cellStyle name="Normal" xfId="0" builtinId="0"/>
  </cellStyles>
  <dxfs count="5">
    <dxf>
      <border outline="0">
        <right style="thin">
          <color theme="4" tint="0.39997558519241921"/>
        </right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680724-84FC-484D-9E88-A24995BED73F}" name="Tabla4" displayName="Tabla4" ref="A1:A39" totalsRowShown="0" tableBorderDxfId="0">
  <autoFilter ref="A1:A39" xr:uid="{23680724-84FC-484D-9E88-A24995BED73F}"/>
  <tableColumns count="1">
    <tableColumn id="1" xr3:uid="{E4A023C5-4E2D-4A3A-BFBA-E50CC3CB775C}" name="N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17A06-95EA-4DAA-A72B-534BC13F2B49}" name="Tabla3" displayName="Tabla3" ref="B3:F14" totalsRowShown="0" headerRowDxfId="4">
  <autoFilter ref="B3:F14" xr:uid="{E3E17A06-95EA-4DAA-A72B-534BC13F2B49}"/>
  <tableColumns count="5">
    <tableColumn id="1" xr3:uid="{7871FD8F-7E31-442F-8166-978C862B36B2}" name="SUJETO"/>
    <tableColumn id="2" xr3:uid="{9873AD04-24B6-41FE-8456-206124EFB589}" name="VALOR C/U" dataDxfId="3"/>
    <tableColumn id="3" xr3:uid="{85F43B40-5F06-4A8E-BE74-8DFF17654D5C}" name="CANTIDAD" dataDxfId="2"/>
    <tableColumn id="4" xr3:uid="{A4714D2B-9AA9-43B7-BEFE-767F24E9E744}" name="TOTAL" dataDxfId="1"/>
    <tableColumn id="5" xr3:uid="{AE7BE538-7FF5-4FB1-93D1-D029CAFF783F}" name="OBSERVACIONE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7C62-8005-470B-A211-4FC5BF59F78C}">
  <dimension ref="A1:D39"/>
  <sheetViews>
    <sheetView tabSelected="1" topLeftCell="A17" workbookViewId="0">
      <selection activeCell="F34" sqref="F34"/>
    </sheetView>
  </sheetViews>
  <sheetFormatPr baseColWidth="10" defaultRowHeight="15" x14ac:dyDescent="0.25"/>
  <cols>
    <col min="1" max="1" width="5.28515625" customWidth="1"/>
    <col min="2" max="2" width="35.85546875" bestFit="1" customWidth="1"/>
    <col min="3" max="3" width="15.140625" bestFit="1" customWidth="1"/>
    <col min="4" max="4" width="12" bestFit="1" customWidth="1"/>
  </cols>
  <sheetData>
    <row r="1" spans="1:4" x14ac:dyDescent="0.25">
      <c r="A1" t="s">
        <v>59</v>
      </c>
      <c r="B1" s="1" t="s">
        <v>0</v>
      </c>
      <c r="C1" s="1" t="s">
        <v>1</v>
      </c>
      <c r="D1" s="2" t="s">
        <v>2</v>
      </c>
    </row>
    <row r="2" spans="1:4" x14ac:dyDescent="0.25">
      <c r="A2">
        <v>1</v>
      </c>
      <c r="B2" s="22" t="s">
        <v>3</v>
      </c>
      <c r="C2" s="3" t="s">
        <v>4</v>
      </c>
      <c r="D2" s="4">
        <v>175000</v>
      </c>
    </row>
    <row r="3" spans="1:4" x14ac:dyDescent="0.25">
      <c r="A3">
        <v>2</v>
      </c>
      <c r="B3" s="23" t="s">
        <v>5</v>
      </c>
      <c r="C3" s="5" t="s">
        <v>4</v>
      </c>
      <c r="D3" s="6">
        <v>175000</v>
      </c>
    </row>
    <row r="4" spans="1:4" x14ac:dyDescent="0.25">
      <c r="A4">
        <v>3</v>
      </c>
      <c r="B4" s="22" t="s">
        <v>6</v>
      </c>
      <c r="C4" s="3" t="s">
        <v>4</v>
      </c>
      <c r="D4" s="4">
        <v>175000</v>
      </c>
    </row>
    <row r="5" spans="1:4" x14ac:dyDescent="0.25">
      <c r="A5">
        <v>4</v>
      </c>
      <c r="B5" s="23" t="s">
        <v>7</v>
      </c>
      <c r="C5" s="5" t="s">
        <v>4</v>
      </c>
      <c r="D5" s="6">
        <v>175000</v>
      </c>
    </row>
    <row r="6" spans="1:4" x14ac:dyDescent="0.25">
      <c r="A6">
        <v>5</v>
      </c>
      <c r="B6" s="22" t="s">
        <v>8</v>
      </c>
      <c r="C6" s="3" t="s">
        <v>4</v>
      </c>
      <c r="D6" s="4">
        <v>175000</v>
      </c>
    </row>
    <row r="7" spans="1:4" x14ac:dyDescent="0.25">
      <c r="A7">
        <v>6</v>
      </c>
      <c r="B7" s="23" t="s">
        <v>9</v>
      </c>
      <c r="C7" s="5" t="s">
        <v>4</v>
      </c>
      <c r="D7" s="6">
        <v>175000</v>
      </c>
    </row>
    <row r="8" spans="1:4" x14ac:dyDescent="0.25">
      <c r="A8">
        <v>7</v>
      </c>
      <c r="B8" s="22" t="s">
        <v>10</v>
      </c>
      <c r="C8" s="3" t="s">
        <v>4</v>
      </c>
      <c r="D8" s="4">
        <v>175000</v>
      </c>
    </row>
    <row r="9" spans="1:4" x14ac:dyDescent="0.25">
      <c r="A9">
        <v>8</v>
      </c>
      <c r="B9" s="23" t="s">
        <v>11</v>
      </c>
      <c r="C9" s="5" t="s">
        <v>4</v>
      </c>
      <c r="D9" s="6">
        <v>175000</v>
      </c>
    </row>
    <row r="10" spans="1:4" x14ac:dyDescent="0.25">
      <c r="A10">
        <v>9</v>
      </c>
      <c r="B10" s="22" t="s">
        <v>12</v>
      </c>
      <c r="C10" s="3" t="s">
        <v>4</v>
      </c>
      <c r="D10" s="4">
        <v>175000</v>
      </c>
    </row>
    <row r="11" spans="1:4" x14ac:dyDescent="0.25">
      <c r="A11">
        <v>10</v>
      </c>
      <c r="B11" s="23" t="s">
        <v>13</v>
      </c>
      <c r="C11" s="5" t="s">
        <v>4</v>
      </c>
      <c r="D11" s="6">
        <v>175000</v>
      </c>
    </row>
    <row r="12" spans="1:4" x14ac:dyDescent="0.25">
      <c r="A12">
        <v>11</v>
      </c>
      <c r="B12" s="22" t="s">
        <v>14</v>
      </c>
      <c r="C12" s="3" t="s">
        <v>4</v>
      </c>
      <c r="D12" s="4">
        <v>175000</v>
      </c>
    </row>
    <row r="13" spans="1:4" x14ac:dyDescent="0.25">
      <c r="A13">
        <v>12</v>
      </c>
      <c r="B13" s="23" t="s">
        <v>15</v>
      </c>
      <c r="C13" s="5" t="s">
        <v>4</v>
      </c>
      <c r="D13" s="6">
        <v>175000</v>
      </c>
    </row>
    <row r="14" spans="1:4" x14ac:dyDescent="0.25">
      <c r="A14">
        <v>13</v>
      </c>
      <c r="B14" s="22" t="s">
        <v>16</v>
      </c>
      <c r="C14" s="3" t="s">
        <v>4</v>
      </c>
      <c r="D14" s="4">
        <v>175000</v>
      </c>
    </row>
    <row r="15" spans="1:4" x14ac:dyDescent="0.25">
      <c r="A15">
        <v>14</v>
      </c>
      <c r="B15" s="23" t="s">
        <v>17</v>
      </c>
      <c r="C15" s="5" t="s">
        <v>4</v>
      </c>
      <c r="D15" s="6">
        <v>175000</v>
      </c>
    </row>
    <row r="16" spans="1:4" x14ac:dyDescent="0.25">
      <c r="A16">
        <v>15</v>
      </c>
      <c r="B16" s="22" t="s">
        <v>18</v>
      </c>
      <c r="C16" s="3" t="s">
        <v>4</v>
      </c>
      <c r="D16" s="4">
        <v>175000</v>
      </c>
    </row>
    <row r="17" spans="1:4" x14ac:dyDescent="0.25">
      <c r="A17">
        <v>16</v>
      </c>
      <c r="B17" s="23" t="s">
        <v>19</v>
      </c>
      <c r="C17" s="5" t="s">
        <v>4</v>
      </c>
      <c r="D17" s="6">
        <v>175000</v>
      </c>
    </row>
    <row r="18" spans="1:4" x14ac:dyDescent="0.25">
      <c r="A18">
        <v>17</v>
      </c>
      <c r="B18" s="22" t="s">
        <v>20</v>
      </c>
      <c r="C18" s="3" t="s">
        <v>4</v>
      </c>
      <c r="D18" s="4">
        <v>175000</v>
      </c>
    </row>
    <row r="19" spans="1:4" x14ac:dyDescent="0.25">
      <c r="A19">
        <v>18</v>
      </c>
      <c r="B19" s="24" t="s">
        <v>21</v>
      </c>
      <c r="C19" s="7" t="s">
        <v>4</v>
      </c>
      <c r="D19" s="11">
        <v>10000</v>
      </c>
    </row>
    <row r="20" spans="1:4" x14ac:dyDescent="0.25">
      <c r="A20">
        <v>19</v>
      </c>
      <c r="B20" s="22" t="s">
        <v>22</v>
      </c>
      <c r="C20" s="3" t="s">
        <v>4</v>
      </c>
      <c r="D20" s="4">
        <v>175000</v>
      </c>
    </row>
    <row r="21" spans="1:4" x14ac:dyDescent="0.25">
      <c r="A21">
        <v>20</v>
      </c>
      <c r="B21" s="23" t="s">
        <v>23</v>
      </c>
      <c r="C21" s="5" t="s">
        <v>4</v>
      </c>
      <c r="D21" s="6">
        <v>175000</v>
      </c>
    </row>
    <row r="22" spans="1:4" x14ac:dyDescent="0.25">
      <c r="A22">
        <v>21</v>
      </c>
      <c r="B22" s="22" t="s">
        <v>24</v>
      </c>
      <c r="C22" s="3" t="s">
        <v>4</v>
      </c>
      <c r="D22" s="4">
        <v>175000</v>
      </c>
    </row>
    <row r="23" spans="1:4" x14ac:dyDescent="0.25">
      <c r="A23">
        <v>22</v>
      </c>
      <c r="B23" s="24" t="s">
        <v>25</v>
      </c>
      <c r="C23" s="7" t="s">
        <v>4</v>
      </c>
      <c r="D23" s="8">
        <v>0</v>
      </c>
    </row>
    <row r="24" spans="1:4" x14ac:dyDescent="0.25">
      <c r="A24">
        <v>23</v>
      </c>
      <c r="B24" s="22" t="s">
        <v>26</v>
      </c>
      <c r="C24" s="3" t="s">
        <v>4</v>
      </c>
      <c r="D24" s="4">
        <v>175000</v>
      </c>
    </row>
    <row r="25" spans="1:4" x14ac:dyDescent="0.25">
      <c r="A25">
        <v>24</v>
      </c>
      <c r="B25" s="23" t="s">
        <v>27</v>
      </c>
      <c r="C25" s="5" t="s">
        <v>4</v>
      </c>
      <c r="D25" s="6">
        <v>175000</v>
      </c>
    </row>
    <row r="26" spans="1:4" x14ac:dyDescent="0.25">
      <c r="A26">
        <v>25</v>
      </c>
      <c r="B26" s="22" t="s">
        <v>28</v>
      </c>
      <c r="C26" s="3" t="s">
        <v>4</v>
      </c>
      <c r="D26" s="4">
        <v>175000</v>
      </c>
    </row>
    <row r="27" spans="1:4" x14ac:dyDescent="0.25">
      <c r="A27">
        <v>26</v>
      </c>
      <c r="B27" s="23" t="s">
        <v>29</v>
      </c>
      <c r="C27" s="5" t="s">
        <v>4</v>
      </c>
      <c r="D27" s="6">
        <v>175000</v>
      </c>
    </row>
    <row r="28" spans="1:4" x14ac:dyDescent="0.25">
      <c r="A28">
        <v>27</v>
      </c>
      <c r="B28" s="22" t="s">
        <v>30</v>
      </c>
      <c r="C28" s="3" t="s">
        <v>4</v>
      </c>
      <c r="D28" s="4">
        <v>175000</v>
      </c>
    </row>
    <row r="29" spans="1:4" x14ac:dyDescent="0.25">
      <c r="A29">
        <v>28</v>
      </c>
      <c r="B29" s="23" t="s">
        <v>31</v>
      </c>
      <c r="C29" s="5" t="s">
        <v>4</v>
      </c>
      <c r="D29" s="6">
        <v>175000</v>
      </c>
    </row>
    <row r="30" spans="1:4" x14ac:dyDescent="0.25">
      <c r="A30">
        <v>29</v>
      </c>
      <c r="B30" s="22" t="s">
        <v>32</v>
      </c>
      <c r="C30" s="3" t="s">
        <v>4</v>
      </c>
      <c r="D30" s="4">
        <v>175000</v>
      </c>
    </row>
    <row r="31" spans="1:4" x14ac:dyDescent="0.25">
      <c r="A31">
        <v>30</v>
      </c>
      <c r="B31" s="23" t="s">
        <v>33</v>
      </c>
      <c r="C31" s="5" t="s">
        <v>4</v>
      </c>
      <c r="D31" s="6">
        <v>175000</v>
      </c>
    </row>
    <row r="32" spans="1:4" x14ac:dyDescent="0.25">
      <c r="A32">
        <v>31</v>
      </c>
      <c r="B32" s="22" t="s">
        <v>34</v>
      </c>
      <c r="C32" s="3" t="s">
        <v>4</v>
      </c>
      <c r="D32" s="4">
        <v>175000</v>
      </c>
    </row>
    <row r="33" spans="1:4" x14ac:dyDescent="0.25">
      <c r="A33">
        <v>32</v>
      </c>
      <c r="B33" s="23" t="s">
        <v>35</v>
      </c>
      <c r="C33" s="5" t="s">
        <v>4</v>
      </c>
      <c r="D33" s="6">
        <v>175000</v>
      </c>
    </row>
    <row r="34" spans="1:4" x14ac:dyDescent="0.25">
      <c r="A34">
        <v>33</v>
      </c>
      <c r="B34" s="22" t="s">
        <v>36</v>
      </c>
      <c r="C34" s="3" t="s">
        <v>4</v>
      </c>
      <c r="D34" s="4">
        <v>175000</v>
      </c>
    </row>
    <row r="35" spans="1:4" x14ac:dyDescent="0.25">
      <c r="A35">
        <v>34</v>
      </c>
      <c r="B35" s="23" t="s">
        <v>37</v>
      </c>
      <c r="C35" s="5" t="s">
        <v>4</v>
      </c>
      <c r="D35" s="6">
        <v>175000</v>
      </c>
    </row>
    <row r="36" spans="1:4" x14ac:dyDescent="0.25">
      <c r="A36">
        <v>35</v>
      </c>
      <c r="B36" s="24" t="s">
        <v>38</v>
      </c>
      <c r="C36" s="7" t="s">
        <v>4</v>
      </c>
      <c r="D36" s="11">
        <v>10000</v>
      </c>
    </row>
    <row r="37" spans="1:4" x14ac:dyDescent="0.25">
      <c r="A37">
        <v>36</v>
      </c>
      <c r="B37" s="24" t="s">
        <v>39</v>
      </c>
      <c r="C37" s="7" t="s">
        <v>4</v>
      </c>
      <c r="D37" s="8">
        <v>0</v>
      </c>
    </row>
    <row r="38" spans="1:4" ht="15.75" thickBot="1" x14ac:dyDescent="0.3">
      <c r="A38">
        <v>37</v>
      </c>
      <c r="B38" s="25" t="s">
        <v>40</v>
      </c>
      <c r="C38" s="9" t="s">
        <v>4</v>
      </c>
      <c r="D38" s="4">
        <v>175000</v>
      </c>
    </row>
    <row r="39" spans="1:4" x14ac:dyDescent="0.25">
      <c r="A39" s="26"/>
      <c r="B39" s="22" t="s">
        <v>41</v>
      </c>
      <c r="C39" s="5"/>
      <c r="D39" s="10">
        <f>SUM(D2:D38)</f>
        <v>5795000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8FB8-1EB5-499A-870B-6DD82B810583}">
  <dimension ref="B2:F14"/>
  <sheetViews>
    <sheetView workbookViewId="0">
      <selection activeCell="H8" sqref="H8"/>
    </sheetView>
  </sheetViews>
  <sheetFormatPr baseColWidth="10" defaultRowHeight="15" x14ac:dyDescent="0.25"/>
  <cols>
    <col min="2" max="2" width="27.7109375" bestFit="1" customWidth="1"/>
    <col min="3" max="3" width="15.42578125" bestFit="1" customWidth="1"/>
    <col min="4" max="4" width="14.85546875" bestFit="1" customWidth="1"/>
    <col min="5" max="5" width="13.140625" bestFit="1" customWidth="1"/>
    <col min="6" max="6" width="22.85546875" bestFit="1" customWidth="1"/>
  </cols>
  <sheetData>
    <row r="2" spans="2:6" x14ac:dyDescent="0.25">
      <c r="B2" s="12" t="s">
        <v>42</v>
      </c>
      <c r="C2" s="12"/>
      <c r="D2" s="12"/>
      <c r="E2" s="12"/>
      <c r="F2" s="12"/>
    </row>
    <row r="3" spans="2:6" x14ac:dyDescent="0.25">
      <c r="B3" s="13" t="s">
        <v>43</v>
      </c>
      <c r="C3" s="13" t="s">
        <v>44</v>
      </c>
      <c r="D3" s="13" t="s">
        <v>45</v>
      </c>
      <c r="E3" s="13" t="s">
        <v>41</v>
      </c>
      <c r="F3" s="13" t="s">
        <v>46</v>
      </c>
    </row>
    <row r="4" spans="2:6" x14ac:dyDescent="0.25">
      <c r="B4" t="s">
        <v>47</v>
      </c>
      <c r="C4" s="14"/>
      <c r="D4" s="13"/>
      <c r="E4" s="14">
        <v>1900000</v>
      </c>
    </row>
    <row r="5" spans="2:6" x14ac:dyDescent="0.25">
      <c r="B5" t="s">
        <v>48</v>
      </c>
      <c r="C5" s="14">
        <f>E5/D5</f>
        <v>3026.3157894736842</v>
      </c>
      <c r="D5" s="13">
        <v>38</v>
      </c>
      <c r="E5" s="14">
        <v>115000</v>
      </c>
    </row>
    <row r="6" spans="2:6" x14ac:dyDescent="0.25">
      <c r="B6" t="s">
        <v>49</v>
      </c>
      <c r="C6" s="14">
        <v>17000</v>
      </c>
      <c r="D6" s="13">
        <v>34</v>
      </c>
      <c r="E6" s="14">
        <f>C6*34</f>
        <v>578000</v>
      </c>
    </row>
    <row r="7" spans="2:6" x14ac:dyDescent="0.25">
      <c r="B7" t="s">
        <v>50</v>
      </c>
      <c r="C7" s="14">
        <v>15000</v>
      </c>
      <c r="D7" s="13">
        <v>34</v>
      </c>
      <c r="E7" s="14">
        <f>C7*34</f>
        <v>510000</v>
      </c>
    </row>
    <row r="8" spans="2:6" x14ac:dyDescent="0.25">
      <c r="B8" t="s">
        <v>51</v>
      </c>
      <c r="C8" s="14">
        <v>10000</v>
      </c>
      <c r="D8" s="13">
        <v>34</v>
      </c>
      <c r="E8" s="14">
        <f>C8*34</f>
        <v>340000</v>
      </c>
    </row>
    <row r="9" spans="2:6" x14ac:dyDescent="0.25">
      <c r="B9" t="s">
        <v>52</v>
      </c>
      <c r="C9" s="14">
        <v>10000</v>
      </c>
      <c r="D9" s="13">
        <v>34</v>
      </c>
      <c r="E9" s="15">
        <v>340000</v>
      </c>
    </row>
    <row r="10" spans="2:6" x14ac:dyDescent="0.25">
      <c r="B10" t="s">
        <v>53</v>
      </c>
      <c r="C10" s="14">
        <v>100000</v>
      </c>
      <c r="D10" s="13">
        <v>0</v>
      </c>
      <c r="E10" s="15">
        <v>100000</v>
      </c>
    </row>
    <row r="11" spans="2:6" x14ac:dyDescent="0.25">
      <c r="B11" t="s">
        <v>54</v>
      </c>
      <c r="C11" s="14">
        <v>21000</v>
      </c>
      <c r="D11" s="13">
        <v>35</v>
      </c>
      <c r="E11" s="14">
        <f>C11*35</f>
        <v>735000</v>
      </c>
      <c r="F11" t="s">
        <v>55</v>
      </c>
    </row>
    <row r="12" spans="2:6" ht="15.75" thickBot="1" x14ac:dyDescent="0.3">
      <c r="B12" s="16" t="s">
        <v>41</v>
      </c>
      <c r="C12" s="16"/>
      <c r="D12" s="16"/>
      <c r="E12" s="17">
        <f>SUM(E4:E11)</f>
        <v>4618000</v>
      </c>
    </row>
    <row r="13" spans="2:6" x14ac:dyDescent="0.25">
      <c r="C13" s="13" t="s">
        <v>56</v>
      </c>
      <c r="D13" s="18">
        <v>5795000</v>
      </c>
      <c r="E13" s="19"/>
    </row>
    <row r="14" spans="2:6" x14ac:dyDescent="0.25">
      <c r="B14" s="20" t="s">
        <v>57</v>
      </c>
      <c r="C14" s="14"/>
      <c r="D14" s="13"/>
      <c r="E14" s="21">
        <f>D13-E12</f>
        <v>1177000</v>
      </c>
      <c r="F14" t="s">
        <v>58</v>
      </c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</cp:lastModifiedBy>
  <dcterms:created xsi:type="dcterms:W3CDTF">2023-10-09T14:46:48Z</dcterms:created>
  <dcterms:modified xsi:type="dcterms:W3CDTF">2023-10-09T15:00:34Z</dcterms:modified>
</cp:coreProperties>
</file>