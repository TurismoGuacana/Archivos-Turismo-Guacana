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BUGA\OCTUBRE\"/>
    </mc:Choice>
  </mc:AlternateContent>
  <xr:revisionPtr revIDLastSave="0" documentId="13_ncr:1_{70AF04D2-889A-4ECB-9298-0536CB7B038D}" xr6:coauthVersionLast="47" xr6:coauthVersionMax="47" xr10:uidLastSave="{00000000-0000-0000-0000-000000000000}"/>
  <bookViews>
    <workbookView xWindow="-120" yWindow="-120" windowWidth="20730" windowHeight="11160" xr2:uid="{F2F1A900-7EE5-49BA-9BD9-155F03A3FCFD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" i="1" l="1"/>
  <c r="O10" i="1"/>
  <c r="L73" i="1"/>
  <c r="K73" i="1"/>
  <c r="P18" i="1"/>
  <c r="O17" i="1"/>
  <c r="O16" i="1"/>
  <c r="L70" i="1"/>
  <c r="O9" i="1"/>
  <c r="L63" i="1"/>
  <c r="L64" i="1"/>
  <c r="L65" i="1"/>
  <c r="L66" i="1"/>
  <c r="L67" i="1"/>
  <c r="L68" i="1"/>
  <c r="L69" i="1"/>
  <c r="L72" i="1"/>
  <c r="L62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P17" i="1"/>
  <c r="F77" i="1"/>
  <c r="F76" i="1"/>
  <c r="F75" i="1"/>
  <c r="F78" i="1" s="1"/>
  <c r="L27" i="1"/>
  <c r="L28" i="1"/>
  <c r="L29" i="1"/>
  <c r="L30" i="1"/>
  <c r="L31" i="1"/>
  <c r="L32" i="1"/>
  <c r="L33" i="1"/>
  <c r="L34" i="1"/>
  <c r="L35" i="1"/>
  <c r="L36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O18" i="1" l="1"/>
  <c r="P16" i="1"/>
  <c r="N65" i="1" s="1"/>
  <c r="L4" i="1"/>
  <c r="J77" i="1"/>
  <c r="N23" i="1" l="1"/>
  <c r="O11" i="1"/>
</calcChain>
</file>

<file path=xl/sharedStrings.xml><?xml version="1.0" encoding="utf-8"?>
<sst xmlns="http://schemas.openxmlformats.org/spreadsheetml/2006/main" count="617" uniqueCount="119">
  <si>
    <t>N°</t>
  </si>
  <si>
    <t>NOMBRE</t>
  </si>
  <si>
    <t>T.D</t>
  </si>
  <si>
    <t>N.D</t>
  </si>
  <si>
    <t>F.N</t>
  </si>
  <si>
    <t>CEL</t>
  </si>
  <si>
    <t>SALIDA</t>
  </si>
  <si>
    <t>COMISIONISTA</t>
  </si>
  <si>
    <t>ABONO</t>
  </si>
  <si>
    <t>VALOR</t>
  </si>
  <si>
    <t>COMISIÓN</t>
  </si>
  <si>
    <t>ELIANA ESTEFANIA PLAZAS MORENO</t>
  </si>
  <si>
    <t>CC</t>
  </si>
  <si>
    <t>APULO</t>
  </si>
  <si>
    <t>EDITH</t>
  </si>
  <si>
    <t>P-T</t>
  </si>
  <si>
    <t>HILDA PEÑA LOPEZ</t>
  </si>
  <si>
    <t>SAMUEL ALEJANDRO OSORIO</t>
  </si>
  <si>
    <t>RC</t>
  </si>
  <si>
    <t>LEYDI NABEYI DIAZ PEÑA</t>
  </si>
  <si>
    <t>MARLENNY SANTOS TAPIAS</t>
  </si>
  <si>
    <t>318 694 6685</t>
  </si>
  <si>
    <t>DAIBY SANTIAGO MOSOS SANTOS</t>
  </si>
  <si>
    <t>TI</t>
  </si>
  <si>
    <t xml:space="preserve">318 694 6685 </t>
  </si>
  <si>
    <t>LAD</t>
  </si>
  <si>
    <t xml:space="preserve">ANDRES LOZANO </t>
  </si>
  <si>
    <t>SARA LOZANO</t>
  </si>
  <si>
    <t>JUDY FISCAL BARBOSA</t>
  </si>
  <si>
    <t>NELSY GALEANO DIAZ</t>
  </si>
  <si>
    <t>LEONIDAS ROMERO HERRERA</t>
  </si>
  <si>
    <t>ANAPOIMA</t>
  </si>
  <si>
    <t>""</t>
  </si>
  <si>
    <t>IVAN CAMACHO</t>
  </si>
  <si>
    <t>SOFIA BERNAL</t>
  </si>
  <si>
    <t>JUAN CAMILO PEDEROS</t>
  </si>
  <si>
    <t>LUZ MARY BARBOSA</t>
  </si>
  <si>
    <t>NORIDA LOZANO</t>
  </si>
  <si>
    <t>MATHIAS MENDOZA</t>
  </si>
  <si>
    <t>312 301 6973</t>
  </si>
  <si>
    <t>JHON ALEXANDER GALEANO</t>
  </si>
  <si>
    <t xml:space="preserve">ANA ROSA BUITRAGO </t>
  </si>
  <si>
    <t>JUAN SEBASTIAN QUINTERO</t>
  </si>
  <si>
    <t>OSCAR YESID GALEANO</t>
  </si>
  <si>
    <t>NORIDA</t>
  </si>
  <si>
    <t xml:space="preserve">ANA ISABEL VILLALBA </t>
  </si>
  <si>
    <t>311 262 5099</t>
  </si>
  <si>
    <t>SORAIDA PATRICIA HUERTAS VILLALBA</t>
  </si>
  <si>
    <t>311 2623898</t>
  </si>
  <si>
    <t>DERLY URQUIJO</t>
  </si>
  <si>
    <t>Luis Eduardo Camargo</t>
  </si>
  <si>
    <t>Luz Myriam Otavo de Camargo</t>
  </si>
  <si>
    <t>Luis Gustavo Rodriguez Camacho</t>
  </si>
  <si>
    <t>312 449 0367</t>
  </si>
  <si>
    <t>Aura María Garcia Ayala</t>
  </si>
  <si>
    <t>puestos adelante</t>
  </si>
  <si>
    <t>Sonia Arias Navarro</t>
  </si>
  <si>
    <t>310 699 4586</t>
  </si>
  <si>
    <t xml:space="preserve">Gustavo Adolfo Jaimes </t>
  </si>
  <si>
    <t>317 580 2868</t>
  </si>
  <si>
    <t>María Angelica Jaimes Arias</t>
  </si>
  <si>
    <t>TOCAIMA</t>
  </si>
  <si>
    <t>Israel Arias Cardenas</t>
  </si>
  <si>
    <t>Fanny Navarro</t>
  </si>
  <si>
    <t>BOMBA</t>
  </si>
  <si>
    <t>Mario Molina Moreno</t>
  </si>
  <si>
    <t>María Consejo Suarez de Arias</t>
  </si>
  <si>
    <t>305 208 1515</t>
  </si>
  <si>
    <t>Gloria Cecilia Suarez Bega</t>
  </si>
  <si>
    <t>Rosmery Mora Ramirez</t>
  </si>
  <si>
    <t>Edgar Jesus Rojas Rodriguez</t>
  </si>
  <si>
    <t>Samuel Rojas Rosario</t>
  </si>
  <si>
    <t>Paola Rosario Carrillo</t>
  </si>
  <si>
    <t>Marlen Moreno Infante</t>
  </si>
  <si>
    <t>Julio Cesar Plazas Mahecha</t>
  </si>
  <si>
    <t>Oliva Patricia Gracia Romero</t>
  </si>
  <si>
    <t>Yeison Herney Díaz Garcia</t>
  </si>
  <si>
    <t>Diana Patricia Diaz Gracia</t>
  </si>
  <si>
    <t>Yeison Stiven Diaz Gracia</t>
  </si>
  <si>
    <t>Flor Maria Lozano</t>
  </si>
  <si>
    <t>321 271 5527</t>
  </si>
  <si>
    <t>Lili Jasmin Rodriguez</t>
  </si>
  <si>
    <t>Julio Cesar Salazar Sanabria</t>
  </si>
  <si>
    <t>Matilde Aldana Jimenez</t>
  </si>
  <si>
    <t>Luis David Silva Muñoz</t>
  </si>
  <si>
    <t>Luis Duarte</t>
  </si>
  <si>
    <t>Gabriel Cabrera</t>
  </si>
  <si>
    <t>María Fernanda Benavides</t>
  </si>
  <si>
    <t>empresa</t>
  </si>
  <si>
    <t>Julio Cesar Triana Barrero</t>
  </si>
  <si>
    <t xml:space="preserve"> María Josefina Moreno Sanchez</t>
  </si>
  <si>
    <t>Sergio Ernesto Triviño Valencia</t>
  </si>
  <si>
    <t>Jose Manuel Plazas Moreno</t>
  </si>
  <si>
    <t>Rosmira Barbon Ramirez</t>
  </si>
  <si>
    <t>Dairon Andres Diaz Santoya</t>
  </si>
  <si>
    <t>MARTHA CANTOR MEDINA</t>
  </si>
  <si>
    <t>SAMMY MOLINA CANTOR</t>
  </si>
  <si>
    <t>318 272 4909</t>
  </si>
  <si>
    <t>Isabella Cabrera</t>
  </si>
  <si>
    <t>T.I</t>
  </si>
  <si>
    <t>Yolanda Hernandez</t>
  </si>
  <si>
    <t>TOTAL</t>
  </si>
  <si>
    <t>Maria Patricia Cortes</t>
  </si>
  <si>
    <t>Maria Clara Barragán</t>
  </si>
  <si>
    <t xml:space="preserve">Carmen Elisa González </t>
  </si>
  <si>
    <t>#</t>
  </si>
  <si>
    <t>#.D</t>
  </si>
  <si>
    <t>COSTOS Y GASTOS</t>
  </si>
  <si>
    <t>TRANSPORTE</t>
  </si>
  <si>
    <t>INGRESO AL PARQUE ACUATICO + ALMUERZO</t>
  </si>
  <si>
    <t>SEGURO</t>
  </si>
  <si>
    <t>GASTOS DE REPRESENTACIÓN</t>
  </si>
  <si>
    <t>INGRESOS</t>
  </si>
  <si>
    <t>UTILIDAD</t>
  </si>
  <si>
    <t>COMISIONES</t>
  </si>
  <si>
    <t>Flor María Galeano</t>
  </si>
  <si>
    <t>Danna Tobar</t>
  </si>
  <si>
    <t>cc</t>
  </si>
  <si>
    <t>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</si>
</sst>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26">
    <xf numFmtId="0" fontId="0" fillId="0" borderId="0" xfId="0"/>
    <xf numFmtId="3" fontId="0" fillId="0" borderId="0" xfId="0" applyNumberFormat="1"/>
    <xf numFmtId="42" fontId="0" fillId="0" borderId="0" xfId="1" applyFont="1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0" xfId="0" applyFill="1"/>
    <xf numFmtId="0" fontId="0" fillId="4" borderId="0" xfId="0" applyFill="1"/>
    <xf numFmtId="0" fontId="0" fillId="4" borderId="1" xfId="0" applyFill="1" applyBorder="1"/>
    <xf numFmtId="0" fontId="0" fillId="3" borderId="1" xfId="0" applyFill="1" applyBorder="1"/>
    <xf numFmtId="0" fontId="0" fillId="2" borderId="1" xfId="0" applyFill="1" applyBorder="1"/>
    <xf numFmtId="3" fontId="0" fillId="0" borderId="1" xfId="0" applyNumberFormat="1" applyBorder="1"/>
    <xf numFmtId="0" fontId="0" fillId="0" borderId="0" xfId="0" applyAlignment="1">
      <alignment horizontal="center"/>
    </xf>
    <xf numFmtId="0" fontId="0" fillId="0" borderId="3" xfId="0" applyBorder="1"/>
    <xf numFmtId="0" fontId="0" fillId="0" borderId="2" xfId="0" applyBorder="1"/>
    <xf numFmtId="0" fontId="0" fillId="5" borderId="1" xfId="0" applyFill="1" applyBorder="1" applyAlignment="1">
      <alignment horizontal="center"/>
    </xf>
    <xf numFmtId="0" fontId="0" fillId="2" borderId="5" xfId="0" applyFill="1" applyBorder="1"/>
    <xf numFmtId="0" fontId="0" fillId="4" borderId="4" xfId="0" applyFill="1" applyBorder="1"/>
    <xf numFmtId="42" fontId="0" fillId="0" borderId="1" xfId="1" applyFont="1" applyBorder="1"/>
    <xf numFmtId="42" fontId="0" fillId="0" borderId="2" xfId="1" applyFont="1" applyBorder="1"/>
    <xf numFmtId="42" fontId="0" fillId="0" borderId="5" xfId="1" applyFont="1" applyBorder="1"/>
    <xf numFmtId="42" fontId="0" fillId="0" borderId="4" xfId="1" applyFont="1" applyBorder="1"/>
    <xf numFmtId="42" fontId="0" fillId="0" borderId="3" xfId="1" applyFont="1" applyBorder="1"/>
    <xf numFmtId="42" fontId="0" fillId="0" borderId="0" xfId="0" applyNumberFormat="1"/>
    <xf numFmtId="42" fontId="0" fillId="0" borderId="0" xfId="0" applyNumberFormat="1" applyFont="1"/>
    <xf numFmtId="0" fontId="0" fillId="3" borderId="3" xfId="0" applyFill="1" applyBorder="1"/>
  </cellXfs>
  <cellStyles count="2">
    <cellStyle name="Moneda [0]" xfId="1" builtinId="7"/>
    <cellStyle name="Normal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0EC3FE-9D1E-48B0-BE81-CC323EF434D3}" name="Tabla1" displayName="Tabla1" ref="B3:L73" totalsRowCount="1">
  <autoFilter ref="B3:L72" xr:uid="{100EC3FE-9D1E-48B0-BE81-CC323EF434D3}"/>
  <tableColumns count="11">
    <tableColumn id="1" xr3:uid="{3E3F1E8E-73F2-44AD-8A5B-F84C64387BC1}" name="N°"/>
    <tableColumn id="2" xr3:uid="{A6CF23B7-4A1C-47D9-AB60-50C2172182C9}" name="NOMBRE"/>
    <tableColumn id="3" xr3:uid="{3F4829FF-6FB5-4086-840D-87567DED0DA1}" name="T.D"/>
    <tableColumn id="4" xr3:uid="{4C49B0DD-2D96-48C4-94BC-57845DEB21D6}" name="N.D" totalsRowDxfId="2"/>
    <tableColumn id="5" xr3:uid="{2B428236-C518-44ED-A405-C5AB4902B88E}" name="F.N"/>
    <tableColumn id="6" xr3:uid="{A3F51861-9C89-4522-A5D1-9A2CDBB87A15}" name="CEL"/>
    <tableColumn id="7" xr3:uid="{E5A42A67-F2B1-4C26-B324-925B9E5A3822}" name="SALIDA"/>
    <tableColumn id="8" xr3:uid="{1581E031-E03C-42B6-907E-11419C58B8B9}" name="COMISIONISTA"/>
    <tableColumn id="9" xr3:uid="{29275153-076A-4D57-9E76-492F8510F060}" name="ABONO"/>
    <tableColumn id="10" xr3:uid="{96622506-9AF6-4133-BD33-B076ECA24C3D}" name="VALOR" totalsRowFunction="sum" dataDxfId="4" totalsRowDxfId="1" dataCellStyle="Moneda [0]"/>
    <tableColumn id="11" xr3:uid="{3EA2A27B-7D30-4560-831B-19F13C47E885}" name="COMISIÓN" totalsRowFunction="sum" dataDxfId="3" totalsRowDxfId="0" dataCellStyle="Moneda [0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08870-1689-4C26-9888-89441D0C6349}">
  <dimension ref="B3:P78"/>
  <sheetViews>
    <sheetView tabSelected="1" zoomScale="66" zoomScaleNormal="66" workbookViewId="0">
      <selection activeCell="O11" sqref="O11"/>
    </sheetView>
  </sheetViews>
  <sheetFormatPr baseColWidth="10" defaultRowHeight="15" x14ac:dyDescent="0.25"/>
  <cols>
    <col min="2" max="2" width="5.42578125" bestFit="1" customWidth="1"/>
    <col min="3" max="3" width="35.140625" bestFit="1" customWidth="1"/>
    <col min="5" max="5" width="12.7109375" bestFit="1" customWidth="1"/>
    <col min="7" max="7" width="12.28515625" bestFit="1" customWidth="1"/>
    <col min="9" max="9" width="16.42578125" customWidth="1"/>
    <col min="11" max="11" width="19" style="2" bestFit="1" customWidth="1"/>
    <col min="12" max="12" width="20" style="2" bestFit="1" customWidth="1"/>
    <col min="14" max="14" width="41" bestFit="1" customWidth="1"/>
    <col min="15" max="15" width="15.7109375" bestFit="1" customWidth="1"/>
    <col min="16" max="16" width="13.7109375" bestFit="1" customWidth="1"/>
  </cols>
  <sheetData>
    <row r="3" spans="2:16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s="2" t="s">
        <v>9</v>
      </c>
      <c r="L3" s="2" t="s">
        <v>10</v>
      </c>
    </row>
    <row r="4" spans="2:16" x14ac:dyDescent="0.25">
      <c r="B4">
        <v>1</v>
      </c>
      <c r="C4" t="s">
        <v>11</v>
      </c>
      <c r="D4" t="s">
        <v>12</v>
      </c>
      <c r="E4" s="1">
        <v>101085329</v>
      </c>
      <c r="H4" s="3" t="s">
        <v>13</v>
      </c>
      <c r="I4" t="s">
        <v>14</v>
      </c>
      <c r="J4" t="s">
        <v>15</v>
      </c>
      <c r="K4" s="2">
        <v>155000</v>
      </c>
      <c r="L4" s="2">
        <f>K4-15000</f>
        <v>140000</v>
      </c>
      <c r="N4" s="15" t="s">
        <v>107</v>
      </c>
      <c r="O4" s="15"/>
    </row>
    <row r="5" spans="2:16" x14ac:dyDescent="0.25">
      <c r="B5">
        <v>2</v>
      </c>
      <c r="C5" t="s">
        <v>16</v>
      </c>
      <c r="D5" t="s">
        <v>12</v>
      </c>
      <c r="E5" s="1">
        <v>20871385</v>
      </c>
      <c r="H5" s="3" t="s">
        <v>13</v>
      </c>
      <c r="I5" t="s">
        <v>25</v>
      </c>
      <c r="K5" s="2">
        <v>155000</v>
      </c>
      <c r="L5" s="2">
        <f t="shared" ref="L5:L57" si="0">K5-15000</f>
        <v>140000</v>
      </c>
      <c r="N5" s="4" t="s">
        <v>108</v>
      </c>
      <c r="O5" s="18">
        <f>2300000*2</f>
        <v>4600000</v>
      </c>
    </row>
    <row r="6" spans="2:16" x14ac:dyDescent="0.25">
      <c r="B6">
        <v>3</v>
      </c>
      <c r="C6" t="s">
        <v>17</v>
      </c>
      <c r="D6" t="s">
        <v>18</v>
      </c>
      <c r="E6" s="1">
        <v>1016748536</v>
      </c>
      <c r="H6" s="3" t="s">
        <v>13</v>
      </c>
      <c r="I6" t="s">
        <v>25</v>
      </c>
      <c r="K6" s="2">
        <v>155000</v>
      </c>
      <c r="L6" s="2">
        <f t="shared" si="0"/>
        <v>140000</v>
      </c>
      <c r="N6" s="4" t="s">
        <v>109</v>
      </c>
      <c r="O6" s="18">
        <v>2990000</v>
      </c>
    </row>
    <row r="7" spans="2:16" x14ac:dyDescent="0.25">
      <c r="B7">
        <v>4</v>
      </c>
      <c r="C7" t="s">
        <v>19</v>
      </c>
      <c r="D7" t="s">
        <v>12</v>
      </c>
      <c r="E7" s="1">
        <v>20872375</v>
      </c>
      <c r="H7" s="3" t="s">
        <v>13</v>
      </c>
      <c r="I7" t="s">
        <v>25</v>
      </c>
      <c r="K7" s="2">
        <v>155000</v>
      </c>
      <c r="L7" s="2">
        <f t="shared" si="0"/>
        <v>140000</v>
      </c>
      <c r="N7" s="4" t="s">
        <v>110</v>
      </c>
      <c r="O7" s="18">
        <v>201000</v>
      </c>
    </row>
    <row r="8" spans="2:16" ht="15.75" thickBot="1" x14ac:dyDescent="0.3">
      <c r="B8">
        <v>5</v>
      </c>
      <c r="C8" t="s">
        <v>20</v>
      </c>
      <c r="D8" t="s">
        <v>12</v>
      </c>
      <c r="E8" s="1">
        <v>1072423053</v>
      </c>
      <c r="G8" t="s">
        <v>21</v>
      </c>
      <c r="H8" s="3" t="s">
        <v>13</v>
      </c>
      <c r="I8" t="s">
        <v>25</v>
      </c>
      <c r="K8" s="2">
        <v>155000</v>
      </c>
      <c r="L8" s="2">
        <f t="shared" si="0"/>
        <v>140000</v>
      </c>
      <c r="N8" s="14" t="s">
        <v>111</v>
      </c>
      <c r="O8" s="19">
        <v>45000</v>
      </c>
    </row>
    <row r="9" spans="2:16" ht="15.75" thickBot="1" x14ac:dyDescent="0.3">
      <c r="B9">
        <v>6</v>
      </c>
      <c r="C9" t="s">
        <v>22</v>
      </c>
      <c r="D9" t="s">
        <v>23</v>
      </c>
      <c r="E9" s="1">
        <v>1028496576</v>
      </c>
      <c r="G9" t="s">
        <v>24</v>
      </c>
      <c r="H9" s="3" t="s">
        <v>13</v>
      </c>
      <c r="I9" t="s">
        <v>25</v>
      </c>
      <c r="K9" s="2">
        <v>155000</v>
      </c>
      <c r="L9" s="2">
        <f t="shared" si="0"/>
        <v>140000</v>
      </c>
      <c r="N9" s="16" t="s">
        <v>101</v>
      </c>
      <c r="O9" s="20">
        <f>SUM(O5:O8)</f>
        <v>7836000</v>
      </c>
    </row>
    <row r="10" spans="2:16" ht="15.75" thickBot="1" x14ac:dyDescent="0.3">
      <c r="B10">
        <v>7</v>
      </c>
      <c r="C10" t="s">
        <v>26</v>
      </c>
      <c r="D10" t="s">
        <v>12</v>
      </c>
      <c r="E10" s="1">
        <v>1072961097</v>
      </c>
      <c r="H10" s="6" t="s">
        <v>31</v>
      </c>
      <c r="I10" t="s">
        <v>25</v>
      </c>
      <c r="J10" s="2">
        <v>250000</v>
      </c>
      <c r="K10" s="2">
        <v>155000</v>
      </c>
      <c r="L10" s="2">
        <f t="shared" si="0"/>
        <v>140000</v>
      </c>
      <c r="N10" s="17" t="s">
        <v>112</v>
      </c>
      <c r="O10" s="21">
        <f>Tabla1[[#Totals],[COMISIÓN]]</f>
        <v>8985000</v>
      </c>
    </row>
    <row r="11" spans="2:16" x14ac:dyDescent="0.25">
      <c r="B11">
        <v>8</v>
      </c>
      <c r="C11" t="s">
        <v>27</v>
      </c>
      <c r="D11" t="s">
        <v>23</v>
      </c>
      <c r="E11" s="1">
        <v>1072963010</v>
      </c>
      <c r="H11" s="6" t="s">
        <v>31</v>
      </c>
      <c r="I11" t="s">
        <v>25</v>
      </c>
      <c r="J11" t="s">
        <v>32</v>
      </c>
      <c r="K11" s="2">
        <v>155000</v>
      </c>
      <c r="L11" s="2">
        <f t="shared" si="0"/>
        <v>140000</v>
      </c>
      <c r="N11" s="25" t="s">
        <v>113</v>
      </c>
      <c r="O11" s="22">
        <f>O10-O9</f>
        <v>1149000</v>
      </c>
    </row>
    <row r="12" spans="2:16" x14ac:dyDescent="0.25">
      <c r="B12">
        <v>9</v>
      </c>
      <c r="C12" t="s">
        <v>28</v>
      </c>
      <c r="D12" t="s">
        <v>12</v>
      </c>
      <c r="E12" s="1">
        <v>1072960526</v>
      </c>
      <c r="H12" s="6" t="s">
        <v>31</v>
      </c>
      <c r="I12" t="s">
        <v>25</v>
      </c>
      <c r="J12" t="s">
        <v>32</v>
      </c>
      <c r="K12" s="2">
        <v>155000</v>
      </c>
      <c r="L12" s="2">
        <f t="shared" si="0"/>
        <v>140000</v>
      </c>
    </row>
    <row r="13" spans="2:16" x14ac:dyDescent="0.25">
      <c r="B13">
        <v>10</v>
      </c>
      <c r="C13" t="s">
        <v>29</v>
      </c>
      <c r="D13" t="s">
        <v>12</v>
      </c>
      <c r="E13" s="1">
        <v>21016542</v>
      </c>
      <c r="H13" s="6" t="s">
        <v>31</v>
      </c>
      <c r="I13" t="s">
        <v>25</v>
      </c>
      <c r="J13" t="s">
        <v>32</v>
      </c>
      <c r="K13" s="2">
        <v>155000</v>
      </c>
      <c r="L13" s="2">
        <f t="shared" si="0"/>
        <v>140000</v>
      </c>
    </row>
    <row r="14" spans="2:16" x14ac:dyDescent="0.25">
      <c r="B14">
        <v>11</v>
      </c>
      <c r="C14" t="s">
        <v>30</v>
      </c>
      <c r="D14" t="s">
        <v>12</v>
      </c>
      <c r="E14" s="1">
        <v>3207883</v>
      </c>
      <c r="H14" s="6" t="s">
        <v>31</v>
      </c>
      <c r="I14" t="s">
        <v>25</v>
      </c>
      <c r="J14" t="s">
        <v>32</v>
      </c>
      <c r="K14" s="2">
        <v>155000</v>
      </c>
      <c r="L14" s="2">
        <f t="shared" si="0"/>
        <v>140000</v>
      </c>
    </row>
    <row r="15" spans="2:16" x14ac:dyDescent="0.25">
      <c r="B15">
        <v>12</v>
      </c>
      <c r="C15" t="s">
        <v>33</v>
      </c>
      <c r="D15" t="s">
        <v>12</v>
      </c>
      <c r="E15" s="1">
        <v>1073558344</v>
      </c>
      <c r="H15" s="6" t="s">
        <v>31</v>
      </c>
      <c r="I15" t="s">
        <v>25</v>
      </c>
      <c r="J15" s="2">
        <v>350000</v>
      </c>
      <c r="K15" s="2">
        <v>155000</v>
      </c>
      <c r="L15" s="2">
        <f t="shared" si="0"/>
        <v>140000</v>
      </c>
      <c r="N15" s="15" t="s">
        <v>114</v>
      </c>
      <c r="O15" s="15"/>
      <c r="P15" s="15"/>
    </row>
    <row r="16" spans="2:16" x14ac:dyDescent="0.25">
      <c r="B16">
        <v>13</v>
      </c>
      <c r="C16" t="s">
        <v>34</v>
      </c>
      <c r="D16" t="s">
        <v>23</v>
      </c>
      <c r="E16" s="1">
        <v>1072961070</v>
      </c>
      <c r="H16" s="6" t="s">
        <v>31</v>
      </c>
      <c r="I16" t="s">
        <v>25</v>
      </c>
      <c r="J16" t="s">
        <v>32</v>
      </c>
      <c r="K16" s="2">
        <v>155000</v>
      </c>
      <c r="L16" s="2">
        <f t="shared" si="0"/>
        <v>140000</v>
      </c>
      <c r="N16" s="4" t="s">
        <v>14</v>
      </c>
      <c r="O16" s="4">
        <f>COUNTIF(I:I,"EDITH")</f>
        <v>10</v>
      </c>
      <c r="P16" s="18">
        <f>O16*15000</f>
        <v>150000</v>
      </c>
    </row>
    <row r="17" spans="2:16" ht="15.75" thickBot="1" x14ac:dyDescent="0.3">
      <c r="B17">
        <v>14</v>
      </c>
      <c r="C17" t="s">
        <v>35</v>
      </c>
      <c r="D17" t="s">
        <v>23</v>
      </c>
      <c r="E17" s="1">
        <v>1073558134</v>
      </c>
      <c r="H17" s="6" t="s">
        <v>31</v>
      </c>
      <c r="I17" t="s">
        <v>25</v>
      </c>
      <c r="J17" t="s">
        <v>32</v>
      </c>
      <c r="K17" s="2">
        <v>155000</v>
      </c>
      <c r="L17" s="2">
        <f t="shared" si="0"/>
        <v>140000</v>
      </c>
      <c r="N17" s="14" t="s">
        <v>25</v>
      </c>
      <c r="O17" s="4">
        <f>COUNTIF(I:I,"LAD")</f>
        <v>54</v>
      </c>
      <c r="P17" s="19">
        <f>O17*15000</f>
        <v>810000</v>
      </c>
    </row>
    <row r="18" spans="2:16" x14ac:dyDescent="0.25">
      <c r="B18">
        <v>15</v>
      </c>
      <c r="C18" t="s">
        <v>36</v>
      </c>
      <c r="D18" t="s">
        <v>12</v>
      </c>
      <c r="E18" s="1">
        <v>52061879</v>
      </c>
      <c r="H18" s="6" t="s">
        <v>31</v>
      </c>
      <c r="I18" t="s">
        <v>25</v>
      </c>
      <c r="J18" t="s">
        <v>32</v>
      </c>
      <c r="K18" s="2">
        <v>155000</v>
      </c>
      <c r="L18" s="2">
        <f t="shared" si="0"/>
        <v>140000</v>
      </c>
      <c r="N18" s="13" t="s">
        <v>101</v>
      </c>
      <c r="O18" s="13">
        <f>SUM(O16:O17)</f>
        <v>64</v>
      </c>
      <c r="P18" s="22">
        <f>SUM(P16:P17)</f>
        <v>960000</v>
      </c>
    </row>
    <row r="19" spans="2:16" x14ac:dyDescent="0.25">
      <c r="B19">
        <v>16</v>
      </c>
      <c r="C19" t="s">
        <v>37</v>
      </c>
      <c r="D19" t="s">
        <v>12</v>
      </c>
      <c r="E19" s="1">
        <v>1072690498</v>
      </c>
      <c r="G19" t="s">
        <v>39</v>
      </c>
      <c r="H19" s="6" t="s">
        <v>31</v>
      </c>
      <c r="I19" t="s">
        <v>25</v>
      </c>
      <c r="J19" t="s">
        <v>32</v>
      </c>
      <c r="K19" s="2">
        <v>155000</v>
      </c>
      <c r="L19" s="2">
        <f t="shared" si="0"/>
        <v>140000</v>
      </c>
    </row>
    <row r="20" spans="2:16" x14ac:dyDescent="0.25">
      <c r="B20">
        <v>17</v>
      </c>
      <c r="C20" t="s">
        <v>38</v>
      </c>
      <c r="D20" t="s">
        <v>23</v>
      </c>
      <c r="E20" s="1">
        <v>1195466919</v>
      </c>
      <c r="G20" t="s">
        <v>44</v>
      </c>
      <c r="H20" s="6" t="s">
        <v>31</v>
      </c>
      <c r="I20" t="s">
        <v>25</v>
      </c>
      <c r="J20" t="s">
        <v>32</v>
      </c>
      <c r="K20" s="2">
        <v>155000</v>
      </c>
      <c r="L20" s="2">
        <f t="shared" si="0"/>
        <v>140000</v>
      </c>
    </row>
    <row r="21" spans="2:16" x14ac:dyDescent="0.25">
      <c r="B21">
        <v>18</v>
      </c>
      <c r="C21" t="s">
        <v>49</v>
      </c>
      <c r="D21" t="s">
        <v>12</v>
      </c>
      <c r="E21" s="1">
        <v>1072963230</v>
      </c>
      <c r="G21" t="s">
        <v>44</v>
      </c>
      <c r="H21" s="6" t="s">
        <v>31</v>
      </c>
      <c r="I21" t="s">
        <v>25</v>
      </c>
      <c r="J21" t="s">
        <v>32</v>
      </c>
      <c r="K21" s="2">
        <v>155000</v>
      </c>
      <c r="L21" s="2">
        <f t="shared" si="0"/>
        <v>140000</v>
      </c>
    </row>
    <row r="22" spans="2:16" x14ac:dyDescent="0.25">
      <c r="B22">
        <v>19</v>
      </c>
      <c r="C22" t="s">
        <v>40</v>
      </c>
      <c r="D22" t="s">
        <v>12</v>
      </c>
      <c r="E22" s="1">
        <v>1072427579</v>
      </c>
      <c r="G22" t="s">
        <v>44</v>
      </c>
      <c r="H22" s="6" t="s">
        <v>31</v>
      </c>
      <c r="I22" t="s">
        <v>25</v>
      </c>
      <c r="J22" s="2">
        <v>200000</v>
      </c>
      <c r="K22" s="2">
        <v>155000</v>
      </c>
      <c r="L22" s="2">
        <f t="shared" si="0"/>
        <v>140000</v>
      </c>
    </row>
    <row r="23" spans="2:16" x14ac:dyDescent="0.25">
      <c r="B23">
        <v>20</v>
      </c>
      <c r="C23" t="s">
        <v>41</v>
      </c>
      <c r="D23" t="s">
        <v>12</v>
      </c>
      <c r="E23" s="1">
        <v>20691058</v>
      </c>
      <c r="G23" t="s">
        <v>44</v>
      </c>
      <c r="H23" s="6" t="s">
        <v>31</v>
      </c>
      <c r="I23" t="s">
        <v>25</v>
      </c>
      <c r="J23" t="s">
        <v>32</v>
      </c>
      <c r="K23" s="2">
        <v>155000</v>
      </c>
      <c r="L23" s="2">
        <f t="shared" si="0"/>
        <v>140000</v>
      </c>
      <c r="N23" s="23">
        <f>Tabla1[[#Totals],[COMISIÓN]]+P18</f>
        <v>9945000</v>
      </c>
    </row>
    <row r="24" spans="2:16" x14ac:dyDescent="0.25">
      <c r="B24">
        <v>21</v>
      </c>
      <c r="C24" t="s">
        <v>42</v>
      </c>
      <c r="D24" t="s">
        <v>23</v>
      </c>
      <c r="E24" s="1">
        <v>1072425099</v>
      </c>
      <c r="G24" t="s">
        <v>44</v>
      </c>
      <c r="H24" s="6" t="s">
        <v>31</v>
      </c>
      <c r="I24" t="s">
        <v>25</v>
      </c>
      <c r="J24" t="s">
        <v>32</v>
      </c>
      <c r="K24" s="2">
        <v>155000</v>
      </c>
      <c r="L24" s="2">
        <f t="shared" si="0"/>
        <v>140000</v>
      </c>
    </row>
    <row r="25" spans="2:16" x14ac:dyDescent="0.25">
      <c r="B25">
        <v>22</v>
      </c>
      <c r="C25" t="s">
        <v>43</v>
      </c>
      <c r="D25" t="s">
        <v>12</v>
      </c>
      <c r="E25" s="1">
        <v>1072429557</v>
      </c>
      <c r="G25" t="s">
        <v>44</v>
      </c>
      <c r="H25" s="6" t="s">
        <v>31</v>
      </c>
      <c r="I25" t="s">
        <v>25</v>
      </c>
      <c r="J25" t="s">
        <v>32</v>
      </c>
      <c r="K25" s="2">
        <v>155000</v>
      </c>
      <c r="L25" s="2">
        <f t="shared" si="0"/>
        <v>140000</v>
      </c>
    </row>
    <row r="26" spans="2:16" x14ac:dyDescent="0.25">
      <c r="B26">
        <v>23</v>
      </c>
      <c r="C26" t="s">
        <v>45</v>
      </c>
      <c r="D26" t="s">
        <v>12</v>
      </c>
      <c r="E26" s="1">
        <v>20870482</v>
      </c>
      <c r="G26" t="s">
        <v>46</v>
      </c>
      <c r="H26" s="3" t="s">
        <v>13</v>
      </c>
      <c r="I26" t="s">
        <v>25</v>
      </c>
      <c r="J26" t="s">
        <v>15</v>
      </c>
      <c r="K26" s="2">
        <v>155000</v>
      </c>
      <c r="L26" s="2">
        <f t="shared" si="0"/>
        <v>140000</v>
      </c>
    </row>
    <row r="27" spans="2:16" x14ac:dyDescent="0.25">
      <c r="B27">
        <v>24</v>
      </c>
      <c r="C27" t="s">
        <v>47</v>
      </c>
      <c r="D27" t="s">
        <v>12</v>
      </c>
      <c r="E27" s="1">
        <v>65736379</v>
      </c>
      <c r="G27" t="s">
        <v>48</v>
      </c>
      <c r="H27" s="3" t="s">
        <v>13</v>
      </c>
      <c r="I27" t="s">
        <v>25</v>
      </c>
      <c r="J27" t="s">
        <v>15</v>
      </c>
      <c r="K27" s="2">
        <v>155000</v>
      </c>
      <c r="L27" s="2">
        <f t="shared" si="0"/>
        <v>140000</v>
      </c>
    </row>
    <row r="28" spans="2:16" x14ac:dyDescent="0.25">
      <c r="B28">
        <v>25</v>
      </c>
      <c r="C28" t="s">
        <v>95</v>
      </c>
      <c r="D28" t="s">
        <v>12</v>
      </c>
      <c r="E28">
        <v>20871396</v>
      </c>
      <c r="G28" t="s">
        <v>97</v>
      </c>
      <c r="H28" s="3" t="s">
        <v>13</v>
      </c>
      <c r="I28" t="s">
        <v>25</v>
      </c>
      <c r="K28" s="2">
        <v>155000</v>
      </c>
      <c r="L28" s="2">
        <f t="shared" si="0"/>
        <v>140000</v>
      </c>
    </row>
    <row r="29" spans="2:16" x14ac:dyDescent="0.25">
      <c r="B29">
        <v>26</v>
      </c>
      <c r="C29" t="s">
        <v>96</v>
      </c>
      <c r="D29" t="s">
        <v>12</v>
      </c>
      <c r="E29">
        <v>1072099261</v>
      </c>
      <c r="H29" s="3" t="s">
        <v>13</v>
      </c>
      <c r="I29" t="s">
        <v>25</v>
      </c>
      <c r="K29" s="2">
        <v>155000</v>
      </c>
      <c r="L29" s="2">
        <f t="shared" si="0"/>
        <v>140000</v>
      </c>
    </row>
    <row r="30" spans="2:16" x14ac:dyDescent="0.25">
      <c r="B30">
        <v>27</v>
      </c>
      <c r="C30" t="s">
        <v>50</v>
      </c>
      <c r="D30" t="s">
        <v>12</v>
      </c>
      <c r="E30" s="1">
        <v>17026100</v>
      </c>
      <c r="H30" s="7" t="s">
        <v>61</v>
      </c>
      <c r="I30" t="s">
        <v>25</v>
      </c>
      <c r="J30" s="1">
        <v>240000</v>
      </c>
      <c r="K30" s="2">
        <v>155000</v>
      </c>
      <c r="L30" s="2">
        <f t="shared" si="0"/>
        <v>140000</v>
      </c>
    </row>
    <row r="31" spans="2:16" x14ac:dyDescent="0.25">
      <c r="B31">
        <v>28</v>
      </c>
      <c r="C31" t="s">
        <v>51</v>
      </c>
      <c r="D31" t="s">
        <v>12</v>
      </c>
      <c r="E31">
        <v>35318526</v>
      </c>
      <c r="H31" s="7" t="s">
        <v>61</v>
      </c>
      <c r="I31" t="s">
        <v>25</v>
      </c>
      <c r="J31" t="s">
        <v>32</v>
      </c>
      <c r="K31" s="2">
        <v>155000</v>
      </c>
      <c r="L31" s="2">
        <f t="shared" si="0"/>
        <v>140000</v>
      </c>
    </row>
    <row r="32" spans="2:16" x14ac:dyDescent="0.25">
      <c r="B32">
        <v>29</v>
      </c>
      <c r="C32" t="s">
        <v>52</v>
      </c>
      <c r="D32" t="s">
        <v>12</v>
      </c>
      <c r="E32">
        <v>4251130</v>
      </c>
      <c r="G32" t="s">
        <v>53</v>
      </c>
      <c r="H32" s="3" t="s">
        <v>13</v>
      </c>
      <c r="I32" t="s">
        <v>25</v>
      </c>
      <c r="J32" s="1">
        <v>200000</v>
      </c>
      <c r="K32" s="2">
        <v>155000</v>
      </c>
      <c r="L32" s="2">
        <f t="shared" si="0"/>
        <v>140000</v>
      </c>
    </row>
    <row r="33" spans="2:12" x14ac:dyDescent="0.25">
      <c r="B33">
        <v>30</v>
      </c>
      <c r="C33" t="s">
        <v>54</v>
      </c>
      <c r="D33" t="s">
        <v>12</v>
      </c>
      <c r="E33">
        <v>20870558</v>
      </c>
      <c r="F33" t="s">
        <v>55</v>
      </c>
      <c r="H33" s="3" t="s">
        <v>13</v>
      </c>
      <c r="I33" t="s">
        <v>25</v>
      </c>
      <c r="J33" t="s">
        <v>32</v>
      </c>
      <c r="K33" s="2">
        <v>155000</v>
      </c>
      <c r="L33" s="2">
        <f t="shared" si="0"/>
        <v>140000</v>
      </c>
    </row>
    <row r="34" spans="2:12" x14ac:dyDescent="0.25">
      <c r="B34">
        <v>31</v>
      </c>
      <c r="C34" t="s">
        <v>56</v>
      </c>
      <c r="D34" t="s">
        <v>12</v>
      </c>
      <c r="E34">
        <v>60387842</v>
      </c>
      <c r="G34" t="s">
        <v>57</v>
      </c>
      <c r="H34" s="7" t="s">
        <v>61</v>
      </c>
      <c r="I34" t="s">
        <v>25</v>
      </c>
      <c r="J34" s="1">
        <v>500000</v>
      </c>
      <c r="K34" s="2">
        <v>155000</v>
      </c>
      <c r="L34" s="2">
        <f t="shared" si="0"/>
        <v>140000</v>
      </c>
    </row>
    <row r="35" spans="2:12" x14ac:dyDescent="0.25">
      <c r="B35">
        <v>32</v>
      </c>
      <c r="C35" t="s">
        <v>58</v>
      </c>
      <c r="D35" t="s">
        <v>12</v>
      </c>
      <c r="E35">
        <v>79729728</v>
      </c>
      <c r="G35" t="s">
        <v>59</v>
      </c>
      <c r="H35" s="7" t="s">
        <v>61</v>
      </c>
      <c r="I35" t="s">
        <v>25</v>
      </c>
      <c r="J35" t="s">
        <v>32</v>
      </c>
      <c r="K35" s="2">
        <v>155000</v>
      </c>
      <c r="L35" s="2">
        <f t="shared" si="0"/>
        <v>140000</v>
      </c>
    </row>
    <row r="36" spans="2:12" x14ac:dyDescent="0.25">
      <c r="B36">
        <v>33</v>
      </c>
      <c r="C36" t="s">
        <v>60</v>
      </c>
      <c r="D36" t="s">
        <v>12</v>
      </c>
      <c r="E36">
        <v>1011094620</v>
      </c>
      <c r="G36" t="s">
        <v>64</v>
      </c>
      <c r="H36" s="7" t="s">
        <v>61</v>
      </c>
      <c r="I36" t="s">
        <v>25</v>
      </c>
      <c r="J36" t="s">
        <v>32</v>
      </c>
      <c r="K36" s="2">
        <v>155000</v>
      </c>
      <c r="L36" s="2">
        <f t="shared" si="0"/>
        <v>140000</v>
      </c>
    </row>
    <row r="37" spans="2:12" x14ac:dyDescent="0.25">
      <c r="B37">
        <v>34</v>
      </c>
      <c r="C37" t="s">
        <v>62</v>
      </c>
      <c r="D37" t="s">
        <v>12</v>
      </c>
      <c r="E37">
        <v>13823868</v>
      </c>
      <c r="G37" t="s">
        <v>64</v>
      </c>
      <c r="H37" s="7" t="s">
        <v>61</v>
      </c>
      <c r="I37" t="s">
        <v>25</v>
      </c>
      <c r="J37" t="s">
        <v>32</v>
      </c>
      <c r="K37" s="2">
        <v>155000</v>
      </c>
      <c r="L37" s="2">
        <f t="shared" si="0"/>
        <v>140000</v>
      </c>
    </row>
    <row r="38" spans="2:12" x14ac:dyDescent="0.25">
      <c r="B38">
        <v>35</v>
      </c>
      <c r="C38" t="s">
        <v>63</v>
      </c>
      <c r="D38" t="s">
        <v>12</v>
      </c>
      <c r="E38">
        <v>37245588</v>
      </c>
      <c r="G38" t="s">
        <v>64</v>
      </c>
      <c r="H38" s="7" t="s">
        <v>61</v>
      </c>
      <c r="I38" t="s">
        <v>25</v>
      </c>
      <c r="J38" t="s">
        <v>32</v>
      </c>
      <c r="K38" s="2">
        <v>155000</v>
      </c>
      <c r="L38" s="2">
        <f t="shared" si="0"/>
        <v>140000</v>
      </c>
    </row>
    <row r="39" spans="2:12" x14ac:dyDescent="0.25">
      <c r="B39">
        <v>36</v>
      </c>
      <c r="C39" t="s">
        <v>69</v>
      </c>
      <c r="D39" t="s">
        <v>12</v>
      </c>
      <c r="E39">
        <v>5925192</v>
      </c>
      <c r="G39" t="s">
        <v>64</v>
      </c>
      <c r="H39" s="7" t="s">
        <v>61</v>
      </c>
      <c r="I39" t="s">
        <v>25</v>
      </c>
      <c r="J39" t="s">
        <v>32</v>
      </c>
      <c r="K39" s="2">
        <v>155000</v>
      </c>
      <c r="L39" s="2">
        <f t="shared" si="0"/>
        <v>140000</v>
      </c>
    </row>
    <row r="40" spans="2:12" x14ac:dyDescent="0.25">
      <c r="B40">
        <v>37</v>
      </c>
      <c r="C40" t="s">
        <v>65</v>
      </c>
      <c r="D40" t="s">
        <v>12</v>
      </c>
      <c r="E40">
        <v>79454996</v>
      </c>
      <c r="H40" s="3" t="s">
        <v>13</v>
      </c>
      <c r="I40" t="s">
        <v>25</v>
      </c>
      <c r="K40" s="2">
        <v>155000</v>
      </c>
      <c r="L40" s="2">
        <f t="shared" si="0"/>
        <v>140000</v>
      </c>
    </row>
    <row r="41" spans="2:12" x14ac:dyDescent="0.25">
      <c r="B41">
        <v>38</v>
      </c>
      <c r="C41" t="s">
        <v>66</v>
      </c>
      <c r="D41" t="s">
        <v>12</v>
      </c>
      <c r="E41">
        <v>20610072</v>
      </c>
      <c r="G41" t="s">
        <v>67</v>
      </c>
      <c r="H41" s="3" t="s">
        <v>13</v>
      </c>
      <c r="I41" t="s">
        <v>25</v>
      </c>
      <c r="J41" t="s">
        <v>15</v>
      </c>
      <c r="K41" s="2">
        <v>155000</v>
      </c>
      <c r="L41" s="2">
        <f t="shared" si="0"/>
        <v>140000</v>
      </c>
    </row>
    <row r="42" spans="2:12" x14ac:dyDescent="0.25">
      <c r="B42">
        <v>39</v>
      </c>
      <c r="C42" t="s">
        <v>68</v>
      </c>
      <c r="D42" t="s">
        <v>12</v>
      </c>
      <c r="E42">
        <v>20870812</v>
      </c>
      <c r="H42" s="3" t="s">
        <v>13</v>
      </c>
      <c r="I42" t="s">
        <v>25</v>
      </c>
      <c r="J42" t="s">
        <v>15</v>
      </c>
      <c r="K42" s="2">
        <v>155000</v>
      </c>
      <c r="L42" s="2">
        <f t="shared" si="0"/>
        <v>140000</v>
      </c>
    </row>
    <row r="43" spans="2:12" x14ac:dyDescent="0.25">
      <c r="B43">
        <v>40</v>
      </c>
      <c r="C43" t="s">
        <v>70</v>
      </c>
      <c r="D43" t="s">
        <v>12</v>
      </c>
      <c r="E43">
        <v>457000</v>
      </c>
      <c r="H43" s="3" t="s">
        <v>13</v>
      </c>
      <c r="I43" t="s">
        <v>14</v>
      </c>
      <c r="J43" s="1">
        <v>240000</v>
      </c>
      <c r="K43" s="2">
        <v>155000</v>
      </c>
      <c r="L43" s="2">
        <f t="shared" si="0"/>
        <v>140000</v>
      </c>
    </row>
    <row r="44" spans="2:12" x14ac:dyDescent="0.25">
      <c r="B44">
        <v>41</v>
      </c>
      <c r="C44" t="s">
        <v>71</v>
      </c>
      <c r="D44" t="s">
        <v>23</v>
      </c>
      <c r="E44">
        <v>1028952684</v>
      </c>
      <c r="H44" s="3" t="s">
        <v>13</v>
      </c>
      <c r="I44" t="s">
        <v>14</v>
      </c>
      <c r="J44" t="s">
        <v>32</v>
      </c>
      <c r="K44" s="2">
        <v>155000</v>
      </c>
      <c r="L44" s="2">
        <f t="shared" si="0"/>
        <v>140000</v>
      </c>
    </row>
    <row r="45" spans="2:12" x14ac:dyDescent="0.25">
      <c r="B45">
        <v>42</v>
      </c>
      <c r="C45" t="s">
        <v>72</v>
      </c>
      <c r="D45" t="s">
        <v>12</v>
      </c>
      <c r="E45">
        <v>1075626515</v>
      </c>
      <c r="H45" s="3" t="s">
        <v>13</v>
      </c>
      <c r="I45" t="s">
        <v>14</v>
      </c>
      <c r="J45" t="s">
        <v>32</v>
      </c>
      <c r="K45" s="2">
        <v>155000</v>
      </c>
      <c r="L45" s="2">
        <f t="shared" si="0"/>
        <v>140000</v>
      </c>
    </row>
    <row r="46" spans="2:12" x14ac:dyDescent="0.25">
      <c r="B46">
        <v>43</v>
      </c>
      <c r="C46" t="s">
        <v>73</v>
      </c>
      <c r="D46" t="s">
        <v>12</v>
      </c>
      <c r="E46">
        <v>52021638</v>
      </c>
      <c r="H46" s="3" t="s">
        <v>13</v>
      </c>
      <c r="I46" t="s">
        <v>14</v>
      </c>
      <c r="J46" t="s">
        <v>15</v>
      </c>
      <c r="K46" s="2">
        <v>155000</v>
      </c>
      <c r="L46" s="2">
        <f t="shared" si="0"/>
        <v>140000</v>
      </c>
    </row>
    <row r="47" spans="2:12" x14ac:dyDescent="0.25">
      <c r="B47">
        <v>44</v>
      </c>
      <c r="C47" t="s">
        <v>74</v>
      </c>
      <c r="D47" t="s">
        <v>12</v>
      </c>
      <c r="E47">
        <v>79464003</v>
      </c>
      <c r="H47" s="3" t="s">
        <v>13</v>
      </c>
      <c r="I47" t="s">
        <v>14</v>
      </c>
      <c r="J47" t="s">
        <v>15</v>
      </c>
      <c r="K47" s="2">
        <v>155000</v>
      </c>
      <c r="L47" s="2">
        <f t="shared" si="0"/>
        <v>140000</v>
      </c>
    </row>
    <row r="48" spans="2:12" x14ac:dyDescent="0.25">
      <c r="B48">
        <v>45</v>
      </c>
      <c r="C48" t="s">
        <v>75</v>
      </c>
      <c r="D48" t="s">
        <v>12</v>
      </c>
      <c r="E48">
        <v>20872091</v>
      </c>
      <c r="H48" s="3" t="s">
        <v>13</v>
      </c>
      <c r="I48" t="s">
        <v>25</v>
      </c>
      <c r="J48" s="1">
        <v>300000</v>
      </c>
      <c r="K48" s="2">
        <v>155000</v>
      </c>
      <c r="L48" s="2">
        <f t="shared" si="0"/>
        <v>140000</v>
      </c>
    </row>
    <row r="49" spans="2:12" x14ac:dyDescent="0.25">
      <c r="B49">
        <v>46</v>
      </c>
      <c r="C49" t="s">
        <v>76</v>
      </c>
      <c r="D49" t="s">
        <v>12</v>
      </c>
      <c r="E49">
        <v>11451915</v>
      </c>
      <c r="H49" s="3" t="s">
        <v>13</v>
      </c>
      <c r="I49" t="s">
        <v>25</v>
      </c>
      <c r="J49" t="s">
        <v>32</v>
      </c>
      <c r="K49" s="2">
        <v>155000</v>
      </c>
      <c r="L49" s="2">
        <f t="shared" si="0"/>
        <v>140000</v>
      </c>
    </row>
    <row r="50" spans="2:12" x14ac:dyDescent="0.25">
      <c r="B50">
        <v>47</v>
      </c>
      <c r="C50" t="s">
        <v>77</v>
      </c>
      <c r="D50" t="s">
        <v>12</v>
      </c>
      <c r="E50">
        <v>1073630587</v>
      </c>
      <c r="H50" s="3" t="s">
        <v>13</v>
      </c>
      <c r="I50" t="s">
        <v>25</v>
      </c>
      <c r="J50" t="s">
        <v>32</v>
      </c>
      <c r="K50" s="2">
        <v>155000</v>
      </c>
      <c r="L50" s="2">
        <f t="shared" si="0"/>
        <v>140000</v>
      </c>
    </row>
    <row r="51" spans="2:12" x14ac:dyDescent="0.25">
      <c r="B51">
        <v>48</v>
      </c>
      <c r="C51" t="s">
        <v>78</v>
      </c>
      <c r="D51" t="s">
        <v>12</v>
      </c>
      <c r="E51">
        <v>1195465760</v>
      </c>
      <c r="H51" s="3" t="s">
        <v>13</v>
      </c>
      <c r="I51" t="s">
        <v>25</v>
      </c>
      <c r="J51" t="s">
        <v>32</v>
      </c>
      <c r="K51" s="2">
        <v>155000</v>
      </c>
      <c r="L51" s="2">
        <f t="shared" si="0"/>
        <v>140000</v>
      </c>
    </row>
    <row r="52" spans="2:12" x14ac:dyDescent="0.25">
      <c r="B52">
        <v>49</v>
      </c>
      <c r="C52" t="s">
        <v>94</v>
      </c>
      <c r="D52" t="s">
        <v>18</v>
      </c>
      <c r="E52">
        <v>1073630714</v>
      </c>
      <c r="H52" s="3" t="s">
        <v>13</v>
      </c>
      <c r="I52" t="s">
        <v>25</v>
      </c>
      <c r="K52" s="2">
        <v>155000</v>
      </c>
      <c r="L52" s="2">
        <f t="shared" si="0"/>
        <v>140000</v>
      </c>
    </row>
    <row r="53" spans="2:12" x14ac:dyDescent="0.25">
      <c r="B53">
        <v>50</v>
      </c>
      <c r="C53" t="s">
        <v>79</v>
      </c>
      <c r="D53" t="s">
        <v>12</v>
      </c>
      <c r="E53">
        <v>28626506</v>
      </c>
      <c r="G53" t="s">
        <v>80</v>
      </c>
      <c r="H53" s="6" t="s">
        <v>31</v>
      </c>
      <c r="I53" t="s">
        <v>25</v>
      </c>
      <c r="K53" s="2">
        <v>155000</v>
      </c>
      <c r="L53" s="2">
        <f t="shared" si="0"/>
        <v>140000</v>
      </c>
    </row>
    <row r="54" spans="2:12" x14ac:dyDescent="0.25">
      <c r="B54">
        <v>51</v>
      </c>
      <c r="C54" t="s">
        <v>81</v>
      </c>
      <c r="D54" t="s">
        <v>12</v>
      </c>
      <c r="E54">
        <v>20358840</v>
      </c>
      <c r="H54" s="6" t="s">
        <v>31</v>
      </c>
      <c r="I54" t="s">
        <v>25</v>
      </c>
      <c r="K54" s="2">
        <v>155000</v>
      </c>
      <c r="L54" s="2">
        <f t="shared" si="0"/>
        <v>140000</v>
      </c>
    </row>
    <row r="55" spans="2:12" x14ac:dyDescent="0.25">
      <c r="B55">
        <v>52</v>
      </c>
      <c r="C55" t="s">
        <v>82</v>
      </c>
      <c r="D55" t="s">
        <v>12</v>
      </c>
      <c r="E55">
        <v>11450541</v>
      </c>
      <c r="H55" s="3" t="s">
        <v>13</v>
      </c>
      <c r="I55" t="s">
        <v>14</v>
      </c>
      <c r="J55">
        <v>150</v>
      </c>
      <c r="K55" s="2">
        <v>155000</v>
      </c>
      <c r="L55" s="2">
        <f t="shared" si="0"/>
        <v>140000</v>
      </c>
    </row>
    <row r="56" spans="2:12" x14ac:dyDescent="0.25">
      <c r="B56">
        <v>53</v>
      </c>
      <c r="C56" t="s">
        <v>83</v>
      </c>
      <c r="D56" t="s">
        <v>12</v>
      </c>
      <c r="E56">
        <v>21015066</v>
      </c>
      <c r="H56" s="3" t="s">
        <v>13</v>
      </c>
      <c r="I56" t="s">
        <v>14</v>
      </c>
      <c r="J56" t="s">
        <v>32</v>
      </c>
      <c r="K56" s="2">
        <v>155000</v>
      </c>
      <c r="L56" s="2">
        <f t="shared" si="0"/>
        <v>140000</v>
      </c>
    </row>
    <row r="57" spans="2:12" x14ac:dyDescent="0.25">
      <c r="B57">
        <v>54</v>
      </c>
      <c r="C57" t="s">
        <v>84</v>
      </c>
      <c r="D57" t="s">
        <v>12</v>
      </c>
      <c r="E57">
        <v>1073629857</v>
      </c>
      <c r="H57" s="3" t="s">
        <v>13</v>
      </c>
      <c r="I57" t="s">
        <v>14</v>
      </c>
      <c r="J57" t="s">
        <v>15</v>
      </c>
      <c r="K57" s="2">
        <v>155000</v>
      </c>
      <c r="L57" s="2">
        <f t="shared" si="0"/>
        <v>140000</v>
      </c>
    </row>
    <row r="58" spans="2:12" x14ac:dyDescent="0.25">
      <c r="B58">
        <v>55</v>
      </c>
      <c r="C58" t="s">
        <v>85</v>
      </c>
      <c r="D58" t="s">
        <v>12</v>
      </c>
      <c r="E58">
        <v>79538678</v>
      </c>
      <c r="H58" s="3" t="s">
        <v>13</v>
      </c>
      <c r="I58" t="s">
        <v>88</v>
      </c>
      <c r="K58" s="2">
        <v>0</v>
      </c>
      <c r="L58" s="2">
        <v>0</v>
      </c>
    </row>
    <row r="59" spans="2:12" x14ac:dyDescent="0.25">
      <c r="B59">
        <v>56</v>
      </c>
      <c r="C59" t="s">
        <v>86</v>
      </c>
      <c r="D59" t="s">
        <v>12</v>
      </c>
      <c r="E59" s="5">
        <v>79656808</v>
      </c>
      <c r="H59" s="7" t="s">
        <v>61</v>
      </c>
      <c r="I59" t="s">
        <v>88</v>
      </c>
      <c r="K59" s="2">
        <v>0</v>
      </c>
      <c r="L59" s="2">
        <v>0</v>
      </c>
    </row>
    <row r="60" spans="2:12" x14ac:dyDescent="0.25">
      <c r="B60">
        <v>57</v>
      </c>
      <c r="C60" t="s">
        <v>98</v>
      </c>
      <c r="D60" t="s">
        <v>99</v>
      </c>
      <c r="E60">
        <v>1014877742</v>
      </c>
      <c r="H60" s="7" t="s">
        <v>61</v>
      </c>
      <c r="I60" t="s">
        <v>88</v>
      </c>
      <c r="K60" s="2">
        <v>0</v>
      </c>
      <c r="L60" s="2">
        <v>0</v>
      </c>
    </row>
    <row r="61" spans="2:12" x14ac:dyDescent="0.25">
      <c r="B61">
        <v>58</v>
      </c>
      <c r="C61" t="s">
        <v>87</v>
      </c>
      <c r="D61" t="s">
        <v>12</v>
      </c>
      <c r="E61" s="4">
        <v>1075628177</v>
      </c>
      <c r="H61" s="7" t="s">
        <v>61</v>
      </c>
      <c r="I61" t="s">
        <v>88</v>
      </c>
      <c r="K61" s="2">
        <v>0</v>
      </c>
      <c r="L61" s="2">
        <v>0</v>
      </c>
    </row>
    <row r="62" spans="2:12" x14ac:dyDescent="0.25">
      <c r="B62">
        <v>59</v>
      </c>
      <c r="C62" t="s">
        <v>89</v>
      </c>
      <c r="D62" t="s">
        <v>12</v>
      </c>
      <c r="E62">
        <v>11451777</v>
      </c>
      <c r="H62" s="3" t="s">
        <v>13</v>
      </c>
      <c r="I62" t="s">
        <v>14</v>
      </c>
      <c r="K62" s="2">
        <v>155000</v>
      </c>
      <c r="L62" s="2">
        <f t="shared" ref="L62:L72" si="1">K62-15000</f>
        <v>140000</v>
      </c>
    </row>
    <row r="63" spans="2:12" x14ac:dyDescent="0.25">
      <c r="B63">
        <v>60</v>
      </c>
      <c r="C63" t="s">
        <v>90</v>
      </c>
      <c r="D63" t="s">
        <v>12</v>
      </c>
      <c r="E63">
        <v>20357921</v>
      </c>
      <c r="H63" s="6" t="s">
        <v>31</v>
      </c>
      <c r="I63" t="s">
        <v>25</v>
      </c>
      <c r="K63" s="2">
        <v>155000</v>
      </c>
      <c r="L63" s="2">
        <f t="shared" si="1"/>
        <v>140000</v>
      </c>
    </row>
    <row r="64" spans="2:12" x14ac:dyDescent="0.25">
      <c r="B64">
        <v>61</v>
      </c>
      <c r="C64" t="s">
        <v>91</v>
      </c>
      <c r="D64" t="s">
        <v>12</v>
      </c>
      <c r="E64">
        <v>179477</v>
      </c>
      <c r="H64" s="6" t="s">
        <v>31</v>
      </c>
      <c r="I64" t="s">
        <v>25</v>
      </c>
      <c r="K64" s="2">
        <v>155000</v>
      </c>
      <c r="L64" s="2">
        <f t="shared" si="1"/>
        <v>140000</v>
      </c>
    </row>
    <row r="65" spans="2:14" x14ac:dyDescent="0.25">
      <c r="B65">
        <v>62</v>
      </c>
      <c r="C65" t="s">
        <v>92</v>
      </c>
      <c r="D65" t="s">
        <v>12</v>
      </c>
      <c r="E65">
        <v>1026567739</v>
      </c>
      <c r="H65" s="3" t="s">
        <v>13</v>
      </c>
      <c r="I65" t="s">
        <v>25</v>
      </c>
      <c r="K65" s="2">
        <v>155000</v>
      </c>
      <c r="L65" s="2">
        <f t="shared" si="1"/>
        <v>140000</v>
      </c>
      <c r="N65" s="23">
        <f>Tabla1[[#Totals],[COMISIÓN]]+P18</f>
        <v>9945000</v>
      </c>
    </row>
    <row r="66" spans="2:14" x14ac:dyDescent="0.25">
      <c r="B66">
        <v>63</v>
      </c>
      <c r="C66" t="s">
        <v>93</v>
      </c>
      <c r="D66" t="s">
        <v>12</v>
      </c>
      <c r="E66">
        <v>51657178</v>
      </c>
      <c r="H66" s="3" t="s">
        <v>13</v>
      </c>
      <c r="I66" t="s">
        <v>25</v>
      </c>
      <c r="K66" s="2">
        <v>155000</v>
      </c>
      <c r="L66" s="2">
        <f t="shared" si="1"/>
        <v>140000</v>
      </c>
    </row>
    <row r="67" spans="2:14" x14ac:dyDescent="0.25">
      <c r="B67">
        <v>64</v>
      </c>
      <c r="C67" t="s">
        <v>100</v>
      </c>
      <c r="D67" t="s">
        <v>12</v>
      </c>
      <c r="E67" s="1">
        <v>35466163</v>
      </c>
      <c r="H67" s="7" t="s">
        <v>31</v>
      </c>
      <c r="I67" t="s">
        <v>25</v>
      </c>
      <c r="K67" s="2">
        <v>155000</v>
      </c>
      <c r="L67" s="2">
        <f t="shared" si="1"/>
        <v>140000</v>
      </c>
    </row>
    <row r="68" spans="2:14" x14ac:dyDescent="0.25">
      <c r="B68">
        <v>65</v>
      </c>
      <c r="C68" t="s">
        <v>102</v>
      </c>
      <c r="D68" t="s">
        <v>12</v>
      </c>
      <c r="E68" s="1">
        <v>51747869</v>
      </c>
      <c r="H68" s="7" t="s">
        <v>61</v>
      </c>
      <c r="I68" t="s">
        <v>25</v>
      </c>
      <c r="K68" s="2">
        <v>155000</v>
      </c>
      <c r="L68" s="2">
        <f t="shared" si="1"/>
        <v>140000</v>
      </c>
    </row>
    <row r="69" spans="2:14" x14ac:dyDescent="0.25">
      <c r="B69">
        <v>66</v>
      </c>
      <c r="C69" t="s">
        <v>103</v>
      </c>
      <c r="D69" t="s">
        <v>12</v>
      </c>
      <c r="E69" s="1">
        <v>41745302</v>
      </c>
      <c r="H69" s="7" t="s">
        <v>61</v>
      </c>
      <c r="I69" t="s">
        <v>25</v>
      </c>
      <c r="K69" s="2">
        <v>155000</v>
      </c>
      <c r="L69" s="2">
        <f t="shared" si="1"/>
        <v>140000</v>
      </c>
    </row>
    <row r="70" spans="2:14" x14ac:dyDescent="0.25">
      <c r="B70">
        <v>67</v>
      </c>
      <c r="C70" t="s">
        <v>115</v>
      </c>
      <c r="D70" t="s">
        <v>117</v>
      </c>
      <c r="E70" s="1"/>
      <c r="H70" s="7"/>
      <c r="I70" t="s">
        <v>25</v>
      </c>
      <c r="K70" s="2">
        <v>155000</v>
      </c>
      <c r="L70" s="2">
        <f t="shared" si="1"/>
        <v>140000</v>
      </c>
    </row>
    <row r="71" spans="2:14" x14ac:dyDescent="0.25">
      <c r="C71" t="s">
        <v>116</v>
      </c>
      <c r="D71" t="s">
        <v>118</v>
      </c>
      <c r="E71" s="1"/>
      <c r="H71" s="7"/>
      <c r="K71" s="2">
        <v>25000</v>
      </c>
      <c r="L71" s="2">
        <v>25000</v>
      </c>
    </row>
    <row r="72" spans="2:14" x14ac:dyDescent="0.25">
      <c r="B72">
        <v>68</v>
      </c>
      <c r="C72" t="s">
        <v>104</v>
      </c>
      <c r="D72" t="s">
        <v>12</v>
      </c>
      <c r="E72" s="1">
        <v>35504848</v>
      </c>
      <c r="H72" s="7" t="s">
        <v>61</v>
      </c>
      <c r="I72" t="s">
        <v>25</v>
      </c>
      <c r="K72" s="2">
        <v>155000</v>
      </c>
      <c r="L72" s="2">
        <f t="shared" si="1"/>
        <v>140000</v>
      </c>
    </row>
    <row r="73" spans="2:14" x14ac:dyDescent="0.25">
      <c r="E73" s="1"/>
      <c r="K73" s="24">
        <f>SUBTOTAL(109,Tabla1[VALOR])</f>
        <v>9945000</v>
      </c>
      <c r="L73" s="24">
        <f>SUBTOTAL(109,Tabla1[COMISIÓN])</f>
        <v>8985000</v>
      </c>
    </row>
    <row r="75" spans="2:14" x14ac:dyDescent="0.25">
      <c r="E75" s="10" t="s">
        <v>13</v>
      </c>
      <c r="F75" s="4">
        <f>COUNTIF(H:H,"APULO")</f>
        <v>32</v>
      </c>
    </row>
    <row r="76" spans="2:14" x14ac:dyDescent="0.25">
      <c r="E76" s="9" t="s">
        <v>31</v>
      </c>
      <c r="F76" s="4">
        <f>COUNTIF(H:H,"ANAPOIMA")</f>
        <v>21</v>
      </c>
    </row>
    <row r="77" spans="2:14" x14ac:dyDescent="0.25">
      <c r="E77" s="8" t="s">
        <v>61</v>
      </c>
      <c r="F77" s="4">
        <f>COUNTIF(H:H,"TOCAIMA")</f>
        <v>14</v>
      </c>
      <c r="J77">
        <f>COUNTIF(I:I,"EDITH")</f>
        <v>10</v>
      </c>
    </row>
    <row r="78" spans="2:14" x14ac:dyDescent="0.25">
      <c r="E78" s="4" t="s">
        <v>101</v>
      </c>
      <c r="F78" s="4">
        <f>SUM(F75:F77)</f>
        <v>67</v>
      </c>
    </row>
  </sheetData>
  <mergeCells count="2">
    <mergeCell ref="N4:O4"/>
    <mergeCell ref="N15:P15"/>
  </mergeCells>
  <conditionalFormatting sqref="E1:E58 E60 E62:E1048576">
    <cfRule type="duplicateValues" dxfId="34" priority="8"/>
  </conditionalFormatting>
  <conditionalFormatting sqref="E4:E58 E60 E62:E73">
    <cfRule type="duplicateValues" dxfId="33" priority="40"/>
  </conditionalFormatting>
  <conditionalFormatting sqref="E59">
    <cfRule type="duplicateValues" dxfId="32" priority="4"/>
    <cfRule type="duplicateValues" dxfId="31" priority="5"/>
    <cfRule type="duplicateValues" dxfId="30" priority="6"/>
  </conditionalFormatting>
  <conditionalFormatting sqref="E61">
    <cfRule type="duplicateValues" dxfId="29" priority="1"/>
    <cfRule type="duplicateValues" dxfId="28" priority="2"/>
    <cfRule type="duplicateValues" dxfId="27" priority="3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850B6-4A9D-4BE9-ADFE-02968FD4DD18}">
  <dimension ref="B2:I75"/>
  <sheetViews>
    <sheetView workbookViewId="0">
      <selection activeCell="C67" sqref="C67:F69"/>
    </sheetView>
  </sheetViews>
  <sheetFormatPr baseColWidth="10" defaultRowHeight="15" x14ac:dyDescent="0.25"/>
  <cols>
    <col min="2" max="2" width="3.140625" bestFit="1" customWidth="1"/>
    <col min="3" max="3" width="35.140625" bestFit="1" customWidth="1"/>
    <col min="4" max="4" width="11.42578125" style="12"/>
    <col min="5" max="5" width="12.7109375" bestFit="1" customWidth="1"/>
  </cols>
  <sheetData>
    <row r="2" spans="2:9" s="12" customFormat="1" x14ac:dyDescent="0.25">
      <c r="B2" s="5" t="s">
        <v>0</v>
      </c>
      <c r="C2" s="5" t="s">
        <v>1</v>
      </c>
      <c r="D2" s="5" t="s">
        <v>2</v>
      </c>
      <c r="E2" s="5" t="s">
        <v>3</v>
      </c>
      <c r="F2" s="5" t="s">
        <v>6</v>
      </c>
    </row>
    <row r="3" spans="2:9" x14ac:dyDescent="0.25">
      <c r="B3" s="4">
        <v>1</v>
      </c>
      <c r="C3" s="4" t="s">
        <v>11</v>
      </c>
      <c r="D3" s="5" t="s">
        <v>12</v>
      </c>
      <c r="E3" s="11">
        <v>101085329</v>
      </c>
      <c r="F3" s="10" t="s">
        <v>13</v>
      </c>
      <c r="H3" s="10" t="s">
        <v>13</v>
      </c>
      <c r="I3" s="4">
        <v>32</v>
      </c>
    </row>
    <row r="4" spans="2:9" x14ac:dyDescent="0.25">
      <c r="B4" s="4">
        <v>2</v>
      </c>
      <c r="C4" s="4" t="s">
        <v>16</v>
      </c>
      <c r="D4" s="5" t="s">
        <v>12</v>
      </c>
      <c r="E4" s="11">
        <v>20871385</v>
      </c>
      <c r="F4" s="10" t="s">
        <v>13</v>
      </c>
      <c r="H4" s="9" t="s">
        <v>31</v>
      </c>
      <c r="I4" s="4">
        <v>21</v>
      </c>
    </row>
    <row r="5" spans="2:9" x14ac:dyDescent="0.25">
      <c r="B5" s="4">
        <v>3</v>
      </c>
      <c r="C5" s="4" t="s">
        <v>17</v>
      </c>
      <c r="D5" s="5" t="s">
        <v>18</v>
      </c>
      <c r="E5" s="11">
        <v>1016748536</v>
      </c>
      <c r="F5" s="10" t="s">
        <v>13</v>
      </c>
      <c r="H5" s="8" t="s">
        <v>61</v>
      </c>
      <c r="I5" s="4">
        <v>14</v>
      </c>
    </row>
    <row r="6" spans="2:9" x14ac:dyDescent="0.25">
      <c r="B6" s="4">
        <v>4</v>
      </c>
      <c r="C6" s="4" t="s">
        <v>19</v>
      </c>
      <c r="D6" s="5" t="s">
        <v>12</v>
      </c>
      <c r="E6" s="11">
        <v>20872375</v>
      </c>
      <c r="F6" s="10" t="s">
        <v>13</v>
      </c>
      <c r="H6" s="4" t="s">
        <v>101</v>
      </c>
      <c r="I6" s="4">
        <v>67</v>
      </c>
    </row>
    <row r="7" spans="2:9" x14ac:dyDescent="0.25">
      <c r="B7" s="4">
        <v>5</v>
      </c>
      <c r="C7" s="4" t="s">
        <v>20</v>
      </c>
      <c r="D7" s="5" t="s">
        <v>12</v>
      </c>
      <c r="E7" s="11">
        <v>1072423053</v>
      </c>
      <c r="F7" s="10" t="s">
        <v>13</v>
      </c>
    </row>
    <row r="8" spans="2:9" x14ac:dyDescent="0.25">
      <c r="B8" s="4">
        <v>6</v>
      </c>
      <c r="C8" s="4" t="s">
        <v>22</v>
      </c>
      <c r="D8" s="5" t="s">
        <v>23</v>
      </c>
      <c r="E8" s="11">
        <v>1028496576</v>
      </c>
      <c r="F8" s="10" t="s">
        <v>13</v>
      </c>
    </row>
    <row r="9" spans="2:9" x14ac:dyDescent="0.25">
      <c r="B9" s="4">
        <v>7</v>
      </c>
      <c r="C9" s="4" t="s">
        <v>26</v>
      </c>
      <c r="D9" s="5" t="s">
        <v>12</v>
      </c>
      <c r="E9" s="11">
        <v>1072961097</v>
      </c>
      <c r="F9" s="9" t="s">
        <v>31</v>
      </c>
    </row>
    <row r="10" spans="2:9" x14ac:dyDescent="0.25">
      <c r="B10" s="4">
        <v>8</v>
      </c>
      <c r="C10" s="4" t="s">
        <v>27</v>
      </c>
      <c r="D10" s="5" t="s">
        <v>23</v>
      </c>
      <c r="E10" s="11">
        <v>1072963010</v>
      </c>
      <c r="F10" s="9" t="s">
        <v>31</v>
      </c>
    </row>
    <row r="11" spans="2:9" x14ac:dyDescent="0.25">
      <c r="B11" s="4">
        <v>9</v>
      </c>
      <c r="C11" s="4" t="s">
        <v>28</v>
      </c>
      <c r="D11" s="5" t="s">
        <v>12</v>
      </c>
      <c r="E11" s="11">
        <v>1072960526</v>
      </c>
      <c r="F11" s="9" t="s">
        <v>31</v>
      </c>
    </row>
    <row r="12" spans="2:9" x14ac:dyDescent="0.25">
      <c r="B12" s="4">
        <v>10</v>
      </c>
      <c r="C12" s="4" t="s">
        <v>29</v>
      </c>
      <c r="D12" s="5" t="s">
        <v>12</v>
      </c>
      <c r="E12" s="11">
        <v>21016542</v>
      </c>
      <c r="F12" s="9" t="s">
        <v>31</v>
      </c>
    </row>
    <row r="13" spans="2:9" x14ac:dyDescent="0.25">
      <c r="B13" s="4">
        <v>11</v>
      </c>
      <c r="C13" s="4" t="s">
        <v>30</v>
      </c>
      <c r="D13" s="5" t="s">
        <v>12</v>
      </c>
      <c r="E13" s="11">
        <v>3207883</v>
      </c>
      <c r="F13" s="9" t="s">
        <v>31</v>
      </c>
    </row>
    <row r="14" spans="2:9" x14ac:dyDescent="0.25">
      <c r="B14" s="4">
        <v>12</v>
      </c>
      <c r="C14" s="4" t="s">
        <v>33</v>
      </c>
      <c r="D14" s="5" t="s">
        <v>12</v>
      </c>
      <c r="E14" s="11">
        <v>1073558344</v>
      </c>
      <c r="F14" s="9" t="s">
        <v>31</v>
      </c>
    </row>
    <row r="15" spans="2:9" x14ac:dyDescent="0.25">
      <c r="B15" s="4">
        <v>13</v>
      </c>
      <c r="C15" s="4" t="s">
        <v>34</v>
      </c>
      <c r="D15" s="5" t="s">
        <v>23</v>
      </c>
      <c r="E15" s="11">
        <v>1072961070</v>
      </c>
      <c r="F15" s="9" t="s">
        <v>31</v>
      </c>
    </row>
    <row r="16" spans="2:9" x14ac:dyDescent="0.25">
      <c r="B16" s="4">
        <v>14</v>
      </c>
      <c r="C16" s="4" t="s">
        <v>35</v>
      </c>
      <c r="D16" s="5" t="s">
        <v>23</v>
      </c>
      <c r="E16" s="11">
        <v>1073558134</v>
      </c>
      <c r="F16" s="9" t="s">
        <v>31</v>
      </c>
    </row>
    <row r="17" spans="2:6" x14ac:dyDescent="0.25">
      <c r="B17" s="4">
        <v>15</v>
      </c>
      <c r="C17" s="4" t="s">
        <v>36</v>
      </c>
      <c r="D17" s="5" t="s">
        <v>12</v>
      </c>
      <c r="E17" s="11">
        <v>52061879</v>
      </c>
      <c r="F17" s="9" t="s">
        <v>31</v>
      </c>
    </row>
    <row r="18" spans="2:6" x14ac:dyDescent="0.25">
      <c r="B18" s="4">
        <v>16</v>
      </c>
      <c r="C18" s="4" t="s">
        <v>37</v>
      </c>
      <c r="D18" s="5" t="s">
        <v>12</v>
      </c>
      <c r="E18" s="11">
        <v>1072690498</v>
      </c>
      <c r="F18" s="9" t="s">
        <v>31</v>
      </c>
    </row>
    <row r="19" spans="2:6" x14ac:dyDescent="0.25">
      <c r="B19" s="4">
        <v>17</v>
      </c>
      <c r="C19" s="4" t="s">
        <v>38</v>
      </c>
      <c r="D19" s="5" t="s">
        <v>23</v>
      </c>
      <c r="E19" s="11">
        <v>1195466919</v>
      </c>
      <c r="F19" s="9" t="s">
        <v>31</v>
      </c>
    </row>
    <row r="20" spans="2:6" x14ac:dyDescent="0.25">
      <c r="B20" s="4">
        <v>18</v>
      </c>
      <c r="C20" s="4" t="s">
        <v>49</v>
      </c>
      <c r="D20" s="5" t="s">
        <v>12</v>
      </c>
      <c r="E20" s="11">
        <v>1072963230</v>
      </c>
      <c r="F20" s="9" t="s">
        <v>31</v>
      </c>
    </row>
    <row r="21" spans="2:6" x14ac:dyDescent="0.25">
      <c r="B21" s="4">
        <v>19</v>
      </c>
      <c r="C21" s="4" t="s">
        <v>40</v>
      </c>
      <c r="D21" s="5" t="s">
        <v>12</v>
      </c>
      <c r="E21" s="11">
        <v>1072427579</v>
      </c>
      <c r="F21" s="9" t="s">
        <v>31</v>
      </c>
    </row>
    <row r="22" spans="2:6" x14ac:dyDescent="0.25">
      <c r="B22" s="4">
        <v>20</v>
      </c>
      <c r="C22" s="4" t="s">
        <v>41</v>
      </c>
      <c r="D22" s="5" t="s">
        <v>12</v>
      </c>
      <c r="E22" s="11">
        <v>20691058</v>
      </c>
      <c r="F22" s="9" t="s">
        <v>31</v>
      </c>
    </row>
    <row r="23" spans="2:6" x14ac:dyDescent="0.25">
      <c r="B23" s="4">
        <v>21</v>
      </c>
      <c r="C23" s="4" t="s">
        <v>42</v>
      </c>
      <c r="D23" s="5" t="s">
        <v>23</v>
      </c>
      <c r="E23" s="11">
        <v>1072425099</v>
      </c>
      <c r="F23" s="9" t="s">
        <v>31</v>
      </c>
    </row>
    <row r="24" spans="2:6" x14ac:dyDescent="0.25">
      <c r="B24" s="4">
        <v>22</v>
      </c>
      <c r="C24" s="4" t="s">
        <v>43</v>
      </c>
      <c r="D24" s="5" t="s">
        <v>12</v>
      </c>
      <c r="E24" s="11">
        <v>1072429557</v>
      </c>
      <c r="F24" s="9" t="s">
        <v>31</v>
      </c>
    </row>
    <row r="25" spans="2:6" x14ac:dyDescent="0.25">
      <c r="B25" s="4">
        <v>23</v>
      </c>
      <c r="C25" s="4" t="s">
        <v>45</v>
      </c>
      <c r="D25" s="5" t="s">
        <v>12</v>
      </c>
      <c r="E25" s="11">
        <v>20870482</v>
      </c>
      <c r="F25" s="10" t="s">
        <v>13</v>
      </c>
    </row>
    <row r="26" spans="2:6" x14ac:dyDescent="0.25">
      <c r="B26" s="4">
        <v>24</v>
      </c>
      <c r="C26" s="4" t="s">
        <v>47</v>
      </c>
      <c r="D26" s="5" t="s">
        <v>12</v>
      </c>
      <c r="E26" s="11">
        <v>65736379</v>
      </c>
      <c r="F26" s="10" t="s">
        <v>13</v>
      </c>
    </row>
    <row r="27" spans="2:6" x14ac:dyDescent="0.25">
      <c r="B27" s="4">
        <v>25</v>
      </c>
      <c r="C27" s="4" t="s">
        <v>95</v>
      </c>
      <c r="D27" s="5" t="s">
        <v>12</v>
      </c>
      <c r="E27" s="4">
        <v>20871396</v>
      </c>
      <c r="F27" s="10" t="s">
        <v>13</v>
      </c>
    </row>
    <row r="28" spans="2:6" x14ac:dyDescent="0.25">
      <c r="B28" s="4">
        <v>26</v>
      </c>
      <c r="C28" s="4" t="s">
        <v>96</v>
      </c>
      <c r="D28" s="5" t="s">
        <v>12</v>
      </c>
      <c r="E28" s="4">
        <v>1072099261</v>
      </c>
      <c r="F28" s="10" t="s">
        <v>13</v>
      </c>
    </row>
    <row r="29" spans="2:6" x14ac:dyDescent="0.25">
      <c r="B29" s="4">
        <v>27</v>
      </c>
      <c r="C29" s="4" t="s">
        <v>50</v>
      </c>
      <c r="D29" s="5" t="s">
        <v>12</v>
      </c>
      <c r="E29" s="11">
        <v>17026100</v>
      </c>
      <c r="F29" s="8" t="s">
        <v>61</v>
      </c>
    </row>
    <row r="30" spans="2:6" x14ac:dyDescent="0.25">
      <c r="B30" s="4">
        <v>28</v>
      </c>
      <c r="C30" s="4" t="s">
        <v>51</v>
      </c>
      <c r="D30" s="5" t="s">
        <v>12</v>
      </c>
      <c r="E30" s="4">
        <v>35318526</v>
      </c>
      <c r="F30" s="8" t="s">
        <v>61</v>
      </c>
    </row>
    <row r="31" spans="2:6" x14ac:dyDescent="0.25">
      <c r="B31" s="4">
        <v>29</v>
      </c>
      <c r="C31" s="4" t="s">
        <v>52</v>
      </c>
      <c r="D31" s="5" t="s">
        <v>12</v>
      </c>
      <c r="E31" s="4">
        <v>4251130</v>
      </c>
      <c r="F31" s="10" t="s">
        <v>13</v>
      </c>
    </row>
    <row r="32" spans="2:6" x14ac:dyDescent="0.25">
      <c r="B32" s="4">
        <v>30</v>
      </c>
      <c r="C32" s="4" t="s">
        <v>54</v>
      </c>
      <c r="D32" s="5" t="s">
        <v>12</v>
      </c>
      <c r="E32" s="4">
        <v>20870558</v>
      </c>
      <c r="F32" s="10" t="s">
        <v>13</v>
      </c>
    </row>
    <row r="33" spans="2:6" x14ac:dyDescent="0.25">
      <c r="B33" s="4">
        <v>31</v>
      </c>
      <c r="C33" s="4" t="s">
        <v>56</v>
      </c>
      <c r="D33" s="5" t="s">
        <v>12</v>
      </c>
      <c r="E33" s="4">
        <v>60387842</v>
      </c>
      <c r="F33" s="8" t="s">
        <v>61</v>
      </c>
    </row>
    <row r="34" spans="2:6" x14ac:dyDescent="0.25">
      <c r="B34" s="4">
        <v>32</v>
      </c>
      <c r="C34" s="4" t="s">
        <v>58</v>
      </c>
      <c r="D34" s="5" t="s">
        <v>12</v>
      </c>
      <c r="E34" s="4">
        <v>79729728</v>
      </c>
      <c r="F34" s="8" t="s">
        <v>61</v>
      </c>
    </row>
    <row r="35" spans="2:6" x14ac:dyDescent="0.25">
      <c r="B35" s="4">
        <v>33</v>
      </c>
      <c r="C35" s="4" t="s">
        <v>60</v>
      </c>
      <c r="D35" s="5" t="s">
        <v>12</v>
      </c>
      <c r="E35" s="4">
        <v>1011094620</v>
      </c>
      <c r="F35" s="8" t="s">
        <v>61</v>
      </c>
    </row>
    <row r="36" spans="2:6" x14ac:dyDescent="0.25">
      <c r="B36" s="4">
        <v>34</v>
      </c>
      <c r="C36" s="4" t="s">
        <v>62</v>
      </c>
      <c r="D36" s="5" t="s">
        <v>12</v>
      </c>
      <c r="E36" s="4">
        <v>13823868</v>
      </c>
      <c r="F36" s="8" t="s">
        <v>61</v>
      </c>
    </row>
    <row r="37" spans="2:6" x14ac:dyDescent="0.25">
      <c r="B37" s="4">
        <v>35</v>
      </c>
      <c r="C37" s="4" t="s">
        <v>63</v>
      </c>
      <c r="D37" s="5" t="s">
        <v>12</v>
      </c>
      <c r="E37" s="4">
        <v>37245588</v>
      </c>
      <c r="F37" s="8" t="s">
        <v>61</v>
      </c>
    </row>
    <row r="38" spans="2:6" x14ac:dyDescent="0.25">
      <c r="B38" s="4">
        <v>36</v>
      </c>
      <c r="C38" s="4" t="s">
        <v>69</v>
      </c>
      <c r="D38" s="5" t="s">
        <v>12</v>
      </c>
      <c r="E38" s="4">
        <v>5925192</v>
      </c>
      <c r="F38" s="8" t="s">
        <v>61</v>
      </c>
    </row>
    <row r="39" spans="2:6" x14ac:dyDescent="0.25">
      <c r="B39" s="4">
        <v>37</v>
      </c>
      <c r="C39" s="4" t="s">
        <v>65</v>
      </c>
      <c r="D39" s="5" t="s">
        <v>12</v>
      </c>
      <c r="E39" s="4">
        <v>79454996</v>
      </c>
      <c r="F39" s="10" t="s">
        <v>13</v>
      </c>
    </row>
    <row r="40" spans="2:6" x14ac:dyDescent="0.25">
      <c r="B40" s="4">
        <v>38</v>
      </c>
      <c r="C40" s="4" t="s">
        <v>66</v>
      </c>
      <c r="D40" s="5" t="s">
        <v>12</v>
      </c>
      <c r="E40" s="4">
        <v>20610072</v>
      </c>
      <c r="F40" s="10" t="s">
        <v>13</v>
      </c>
    </row>
    <row r="41" spans="2:6" x14ac:dyDescent="0.25">
      <c r="B41" s="4">
        <v>39</v>
      </c>
      <c r="C41" s="4" t="s">
        <v>68</v>
      </c>
      <c r="D41" s="5" t="s">
        <v>12</v>
      </c>
      <c r="E41" s="4">
        <v>20870812</v>
      </c>
      <c r="F41" s="10" t="s">
        <v>13</v>
      </c>
    </row>
    <row r="42" spans="2:6" x14ac:dyDescent="0.25">
      <c r="B42" s="4">
        <v>40</v>
      </c>
      <c r="C42" s="4" t="s">
        <v>70</v>
      </c>
      <c r="D42" s="5" t="s">
        <v>12</v>
      </c>
      <c r="E42" s="4">
        <v>457000</v>
      </c>
      <c r="F42" s="10" t="s">
        <v>13</v>
      </c>
    </row>
    <row r="43" spans="2:6" x14ac:dyDescent="0.25">
      <c r="B43" s="4">
        <v>41</v>
      </c>
      <c r="C43" s="4" t="s">
        <v>71</v>
      </c>
      <c r="D43" s="5" t="s">
        <v>23</v>
      </c>
      <c r="E43" s="4">
        <v>1028952684</v>
      </c>
      <c r="F43" s="10" t="s">
        <v>13</v>
      </c>
    </row>
    <row r="44" spans="2:6" x14ac:dyDescent="0.25">
      <c r="B44" s="4">
        <v>42</v>
      </c>
      <c r="C44" s="4" t="s">
        <v>72</v>
      </c>
      <c r="D44" s="5" t="s">
        <v>12</v>
      </c>
      <c r="E44" s="4">
        <v>1075626515</v>
      </c>
      <c r="F44" s="10" t="s">
        <v>13</v>
      </c>
    </row>
    <row r="45" spans="2:6" x14ac:dyDescent="0.25">
      <c r="B45" s="4">
        <v>43</v>
      </c>
      <c r="C45" s="4" t="s">
        <v>73</v>
      </c>
      <c r="D45" s="5" t="s">
        <v>12</v>
      </c>
      <c r="E45" s="4">
        <v>52021638</v>
      </c>
      <c r="F45" s="10" t="s">
        <v>13</v>
      </c>
    </row>
    <row r="46" spans="2:6" x14ac:dyDescent="0.25">
      <c r="B46" s="4">
        <v>44</v>
      </c>
      <c r="C46" s="4" t="s">
        <v>74</v>
      </c>
      <c r="D46" s="5" t="s">
        <v>12</v>
      </c>
      <c r="E46" s="4">
        <v>79464003</v>
      </c>
      <c r="F46" s="10" t="s">
        <v>13</v>
      </c>
    </row>
    <row r="47" spans="2:6" x14ac:dyDescent="0.25">
      <c r="B47" s="4">
        <v>45</v>
      </c>
      <c r="C47" s="4" t="s">
        <v>75</v>
      </c>
      <c r="D47" s="5" t="s">
        <v>12</v>
      </c>
      <c r="E47" s="4">
        <v>20872091</v>
      </c>
      <c r="F47" s="10" t="s">
        <v>13</v>
      </c>
    </row>
    <row r="48" spans="2:6" x14ac:dyDescent="0.25">
      <c r="B48" s="4">
        <v>46</v>
      </c>
      <c r="C48" s="4" t="s">
        <v>76</v>
      </c>
      <c r="D48" s="5" t="s">
        <v>12</v>
      </c>
      <c r="E48" s="4">
        <v>11451915</v>
      </c>
      <c r="F48" s="10" t="s">
        <v>13</v>
      </c>
    </row>
    <row r="49" spans="2:6" x14ac:dyDescent="0.25">
      <c r="B49" s="4">
        <v>47</v>
      </c>
      <c r="C49" s="4" t="s">
        <v>77</v>
      </c>
      <c r="D49" s="5" t="s">
        <v>12</v>
      </c>
      <c r="E49" s="4">
        <v>1073630587</v>
      </c>
      <c r="F49" s="10" t="s">
        <v>13</v>
      </c>
    </row>
    <row r="50" spans="2:6" x14ac:dyDescent="0.25">
      <c r="B50" s="4">
        <v>48</v>
      </c>
      <c r="C50" s="4" t="s">
        <v>78</v>
      </c>
      <c r="D50" s="5" t="s">
        <v>12</v>
      </c>
      <c r="E50" s="4">
        <v>1195465760</v>
      </c>
      <c r="F50" s="10" t="s">
        <v>13</v>
      </c>
    </row>
    <row r="51" spans="2:6" x14ac:dyDescent="0.25">
      <c r="B51" s="4">
        <v>49</v>
      </c>
      <c r="C51" s="4" t="s">
        <v>94</v>
      </c>
      <c r="D51" s="5" t="s">
        <v>18</v>
      </c>
      <c r="E51" s="4">
        <v>1073630714</v>
      </c>
      <c r="F51" s="10" t="s">
        <v>13</v>
      </c>
    </row>
    <row r="52" spans="2:6" x14ac:dyDescent="0.25">
      <c r="B52" s="4">
        <v>50</v>
      </c>
      <c r="C52" s="4" t="s">
        <v>79</v>
      </c>
      <c r="D52" s="5" t="s">
        <v>12</v>
      </c>
      <c r="E52" s="4">
        <v>28626506</v>
      </c>
      <c r="F52" s="9" t="s">
        <v>31</v>
      </c>
    </row>
    <row r="53" spans="2:6" x14ac:dyDescent="0.25">
      <c r="B53" s="4">
        <v>51</v>
      </c>
      <c r="C53" s="4" t="s">
        <v>81</v>
      </c>
      <c r="D53" s="5" t="s">
        <v>12</v>
      </c>
      <c r="E53" s="4">
        <v>20358840</v>
      </c>
      <c r="F53" s="9" t="s">
        <v>31</v>
      </c>
    </row>
    <row r="54" spans="2:6" x14ac:dyDescent="0.25">
      <c r="B54" s="4">
        <v>52</v>
      </c>
      <c r="C54" s="4" t="s">
        <v>82</v>
      </c>
      <c r="D54" s="5" t="s">
        <v>12</v>
      </c>
      <c r="E54" s="4">
        <v>11450541</v>
      </c>
      <c r="F54" s="10" t="s">
        <v>13</v>
      </c>
    </row>
    <row r="55" spans="2:6" x14ac:dyDescent="0.25">
      <c r="B55" s="4">
        <v>53</v>
      </c>
      <c r="C55" s="4" t="s">
        <v>83</v>
      </c>
      <c r="D55" s="5" t="s">
        <v>12</v>
      </c>
      <c r="E55" s="4">
        <v>21015066</v>
      </c>
      <c r="F55" s="10" t="s">
        <v>13</v>
      </c>
    </row>
    <row r="56" spans="2:6" x14ac:dyDescent="0.25">
      <c r="B56" s="4">
        <v>54</v>
      </c>
      <c r="C56" s="4" t="s">
        <v>84</v>
      </c>
      <c r="D56" s="5" t="s">
        <v>12</v>
      </c>
      <c r="E56" s="4">
        <v>1073629857</v>
      </c>
      <c r="F56" s="10" t="s">
        <v>13</v>
      </c>
    </row>
    <row r="57" spans="2:6" x14ac:dyDescent="0.25">
      <c r="B57" s="4">
        <v>55</v>
      </c>
      <c r="C57" s="4" t="s">
        <v>85</v>
      </c>
      <c r="D57" s="5" t="s">
        <v>12</v>
      </c>
      <c r="E57" s="4">
        <v>79538678</v>
      </c>
      <c r="F57" s="10" t="s">
        <v>13</v>
      </c>
    </row>
    <row r="58" spans="2:6" x14ac:dyDescent="0.25">
      <c r="B58" s="4">
        <v>56</v>
      </c>
      <c r="C58" s="4" t="s">
        <v>86</v>
      </c>
      <c r="D58" s="5" t="s">
        <v>12</v>
      </c>
      <c r="E58" s="5">
        <v>79656808</v>
      </c>
      <c r="F58" s="8" t="s">
        <v>61</v>
      </c>
    </row>
    <row r="59" spans="2:6" x14ac:dyDescent="0.25">
      <c r="B59" s="4">
        <v>57</v>
      </c>
      <c r="C59" s="4" t="s">
        <v>98</v>
      </c>
      <c r="D59" s="5" t="s">
        <v>99</v>
      </c>
      <c r="E59" s="4">
        <v>1014877742</v>
      </c>
      <c r="F59" s="8" t="s">
        <v>61</v>
      </c>
    </row>
    <row r="60" spans="2:6" x14ac:dyDescent="0.25">
      <c r="B60" s="4">
        <v>58</v>
      </c>
      <c r="C60" s="4" t="s">
        <v>87</v>
      </c>
      <c r="D60" s="5" t="s">
        <v>12</v>
      </c>
      <c r="E60" s="4">
        <v>1075628177</v>
      </c>
      <c r="F60" s="8" t="s">
        <v>61</v>
      </c>
    </row>
    <row r="61" spans="2:6" x14ac:dyDescent="0.25">
      <c r="B61" s="4">
        <v>59</v>
      </c>
      <c r="C61" s="4" t="s">
        <v>89</v>
      </c>
      <c r="D61" s="5" t="s">
        <v>12</v>
      </c>
      <c r="E61" s="4">
        <v>11451777</v>
      </c>
      <c r="F61" s="10" t="s">
        <v>13</v>
      </c>
    </row>
    <row r="62" spans="2:6" x14ac:dyDescent="0.25">
      <c r="B62" s="4">
        <v>60</v>
      </c>
      <c r="C62" s="4" t="s">
        <v>90</v>
      </c>
      <c r="D62" s="5" t="s">
        <v>12</v>
      </c>
      <c r="E62" s="4">
        <v>20357921</v>
      </c>
      <c r="F62" s="9" t="s">
        <v>31</v>
      </c>
    </row>
    <row r="63" spans="2:6" x14ac:dyDescent="0.25">
      <c r="B63" s="4">
        <v>61</v>
      </c>
      <c r="C63" s="4" t="s">
        <v>91</v>
      </c>
      <c r="D63" s="5" t="s">
        <v>12</v>
      </c>
      <c r="E63" s="4">
        <v>179477</v>
      </c>
      <c r="F63" s="9" t="s">
        <v>31</v>
      </c>
    </row>
    <row r="64" spans="2:6" x14ac:dyDescent="0.25">
      <c r="B64" s="4">
        <v>62</v>
      </c>
      <c r="C64" s="4" t="s">
        <v>92</v>
      </c>
      <c r="D64" s="5" t="s">
        <v>12</v>
      </c>
      <c r="E64" s="4">
        <v>1026567739</v>
      </c>
      <c r="F64" s="10" t="s">
        <v>13</v>
      </c>
    </row>
    <row r="65" spans="2:6" x14ac:dyDescent="0.25">
      <c r="B65" s="4">
        <v>63</v>
      </c>
      <c r="C65" s="4" t="s">
        <v>93</v>
      </c>
      <c r="D65" s="5" t="s">
        <v>12</v>
      </c>
      <c r="E65" s="4">
        <v>51657178</v>
      </c>
      <c r="F65" s="10" t="s">
        <v>13</v>
      </c>
    </row>
    <row r="66" spans="2:6" x14ac:dyDescent="0.25">
      <c r="B66" s="4">
        <v>64</v>
      </c>
      <c r="C66" s="4" t="s">
        <v>100</v>
      </c>
      <c r="D66" s="5" t="s">
        <v>12</v>
      </c>
      <c r="E66" s="11">
        <v>35466163</v>
      </c>
      <c r="F66" s="9" t="s">
        <v>31</v>
      </c>
    </row>
    <row r="67" spans="2:6" x14ac:dyDescent="0.25">
      <c r="B67" s="4">
        <v>65</v>
      </c>
      <c r="C67" s="4" t="s">
        <v>102</v>
      </c>
      <c r="D67" s="5" t="s">
        <v>12</v>
      </c>
      <c r="E67" s="11">
        <v>51747869</v>
      </c>
      <c r="F67" s="8" t="s">
        <v>61</v>
      </c>
    </row>
    <row r="68" spans="2:6" x14ac:dyDescent="0.25">
      <c r="B68" s="4">
        <v>66</v>
      </c>
      <c r="C68" s="4" t="s">
        <v>103</v>
      </c>
      <c r="D68" s="5" t="s">
        <v>12</v>
      </c>
      <c r="E68" s="11">
        <v>41745302</v>
      </c>
      <c r="F68" s="8" t="s">
        <v>61</v>
      </c>
    </row>
    <row r="69" spans="2:6" x14ac:dyDescent="0.25">
      <c r="B69" s="4">
        <v>67</v>
      </c>
      <c r="C69" s="4" t="s">
        <v>104</v>
      </c>
      <c r="D69" s="5" t="s">
        <v>12</v>
      </c>
      <c r="E69" s="11">
        <v>35504848</v>
      </c>
      <c r="F69" s="8" t="s">
        <v>61</v>
      </c>
    </row>
    <row r="70" spans="2:6" x14ac:dyDescent="0.25">
      <c r="E70" s="1"/>
    </row>
    <row r="72" spans="2:6" x14ac:dyDescent="0.25">
      <c r="E72" s="10" t="s">
        <v>13</v>
      </c>
    </row>
    <row r="73" spans="2:6" x14ac:dyDescent="0.25">
      <c r="E73" s="9" t="s">
        <v>31</v>
      </c>
    </row>
    <row r="74" spans="2:6" x14ac:dyDescent="0.25">
      <c r="E74" s="8" t="s">
        <v>61</v>
      </c>
    </row>
    <row r="75" spans="2:6" x14ac:dyDescent="0.25">
      <c r="E75" s="4" t="s">
        <v>101</v>
      </c>
    </row>
  </sheetData>
  <conditionalFormatting sqref="E2:E57 E59 E61:E75">
    <cfRule type="duplicateValues" dxfId="26" priority="7"/>
  </conditionalFormatting>
  <conditionalFormatting sqref="E3:E57 E59 E61:E70">
    <cfRule type="duplicateValues" dxfId="25" priority="8"/>
  </conditionalFormatting>
  <conditionalFormatting sqref="E58">
    <cfRule type="duplicateValues" dxfId="24" priority="4"/>
    <cfRule type="duplicateValues" dxfId="23" priority="5"/>
    <cfRule type="duplicateValues" dxfId="22" priority="6"/>
  </conditionalFormatting>
  <conditionalFormatting sqref="E60">
    <cfRule type="duplicateValues" dxfId="21" priority="1"/>
    <cfRule type="duplicateValues" dxfId="20" priority="2"/>
    <cfRule type="duplicateValues" dxfId="19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34EA5-A469-4F6A-B786-872C8FFF48D3}">
  <dimension ref="B3:F17"/>
  <sheetViews>
    <sheetView workbookViewId="0">
      <selection activeCell="B3" sqref="B3:F17"/>
    </sheetView>
  </sheetViews>
  <sheetFormatPr baseColWidth="10" defaultRowHeight="15" x14ac:dyDescent="0.25"/>
  <cols>
    <col min="2" max="2" width="3" bestFit="1" customWidth="1"/>
    <col min="3" max="3" width="28" bestFit="1" customWidth="1"/>
  </cols>
  <sheetData>
    <row r="3" spans="2:6" x14ac:dyDescent="0.25">
      <c r="B3" s="4" t="s">
        <v>105</v>
      </c>
      <c r="C3" s="4" t="s">
        <v>1</v>
      </c>
      <c r="D3" s="4" t="s">
        <v>2</v>
      </c>
      <c r="E3" s="4" t="s">
        <v>106</v>
      </c>
      <c r="F3" s="4" t="s">
        <v>6</v>
      </c>
    </row>
    <row r="4" spans="2:6" x14ac:dyDescent="0.25">
      <c r="B4" s="4">
        <v>1</v>
      </c>
      <c r="C4" s="4" t="s">
        <v>50</v>
      </c>
      <c r="D4" s="5" t="s">
        <v>12</v>
      </c>
      <c r="E4" s="11">
        <v>17026100</v>
      </c>
      <c r="F4" s="8" t="s">
        <v>61</v>
      </c>
    </row>
    <row r="5" spans="2:6" x14ac:dyDescent="0.25">
      <c r="B5" s="4">
        <v>2</v>
      </c>
      <c r="C5" s="4" t="s">
        <v>51</v>
      </c>
      <c r="D5" s="5" t="s">
        <v>12</v>
      </c>
      <c r="E5" s="4">
        <v>35318526</v>
      </c>
      <c r="F5" s="8" t="s">
        <v>61</v>
      </c>
    </row>
    <row r="6" spans="2:6" x14ac:dyDescent="0.25">
      <c r="B6" s="4">
        <v>3</v>
      </c>
      <c r="C6" s="4" t="s">
        <v>56</v>
      </c>
      <c r="D6" s="5" t="s">
        <v>12</v>
      </c>
      <c r="E6" s="4">
        <v>60387842</v>
      </c>
      <c r="F6" s="8" t="s">
        <v>61</v>
      </c>
    </row>
    <row r="7" spans="2:6" x14ac:dyDescent="0.25">
      <c r="B7" s="4">
        <v>4</v>
      </c>
      <c r="C7" s="4" t="s">
        <v>58</v>
      </c>
      <c r="D7" s="5" t="s">
        <v>12</v>
      </c>
      <c r="E7" s="4">
        <v>79729728</v>
      </c>
      <c r="F7" s="8" t="s">
        <v>61</v>
      </c>
    </row>
    <row r="8" spans="2:6" x14ac:dyDescent="0.25">
      <c r="B8" s="4">
        <v>5</v>
      </c>
      <c r="C8" s="4" t="s">
        <v>60</v>
      </c>
      <c r="D8" s="5" t="s">
        <v>12</v>
      </c>
      <c r="E8" s="4">
        <v>1011094620</v>
      </c>
      <c r="F8" s="8" t="s">
        <v>61</v>
      </c>
    </row>
    <row r="9" spans="2:6" x14ac:dyDescent="0.25">
      <c r="B9" s="4">
        <v>6</v>
      </c>
      <c r="C9" s="4" t="s">
        <v>62</v>
      </c>
      <c r="D9" s="5" t="s">
        <v>12</v>
      </c>
      <c r="E9" s="4">
        <v>13823868</v>
      </c>
      <c r="F9" s="8" t="s">
        <v>61</v>
      </c>
    </row>
    <row r="10" spans="2:6" x14ac:dyDescent="0.25">
      <c r="B10" s="4">
        <v>7</v>
      </c>
      <c r="C10" s="4" t="s">
        <v>63</v>
      </c>
      <c r="D10" s="5" t="s">
        <v>12</v>
      </c>
      <c r="E10" s="4">
        <v>37245588</v>
      </c>
      <c r="F10" s="8" t="s">
        <v>61</v>
      </c>
    </row>
    <row r="11" spans="2:6" x14ac:dyDescent="0.25">
      <c r="B11" s="4">
        <v>8</v>
      </c>
      <c r="C11" s="4" t="s">
        <v>69</v>
      </c>
      <c r="D11" s="5" t="s">
        <v>12</v>
      </c>
      <c r="E11" s="4">
        <v>5925192</v>
      </c>
      <c r="F11" s="8" t="s">
        <v>61</v>
      </c>
    </row>
    <row r="12" spans="2:6" x14ac:dyDescent="0.25">
      <c r="B12" s="4">
        <v>9</v>
      </c>
      <c r="C12" s="4" t="s">
        <v>86</v>
      </c>
      <c r="D12" s="5" t="s">
        <v>12</v>
      </c>
      <c r="E12" s="5">
        <v>79656808</v>
      </c>
      <c r="F12" s="8" t="s">
        <v>61</v>
      </c>
    </row>
    <row r="13" spans="2:6" x14ac:dyDescent="0.25">
      <c r="B13" s="4">
        <v>10</v>
      </c>
      <c r="C13" s="4" t="s">
        <v>98</v>
      </c>
      <c r="D13" s="5" t="s">
        <v>99</v>
      </c>
      <c r="E13" s="4">
        <v>1014877742</v>
      </c>
      <c r="F13" s="8" t="s">
        <v>61</v>
      </c>
    </row>
    <row r="14" spans="2:6" x14ac:dyDescent="0.25">
      <c r="B14" s="4">
        <v>11</v>
      </c>
      <c r="C14" s="4" t="s">
        <v>87</v>
      </c>
      <c r="D14" s="5" t="s">
        <v>12</v>
      </c>
      <c r="E14" s="4">
        <v>1075628177</v>
      </c>
      <c r="F14" s="8" t="s">
        <v>61</v>
      </c>
    </row>
    <row r="15" spans="2:6" x14ac:dyDescent="0.25">
      <c r="B15" s="4">
        <v>12</v>
      </c>
      <c r="C15" s="4" t="s">
        <v>102</v>
      </c>
      <c r="D15" s="5" t="s">
        <v>12</v>
      </c>
      <c r="E15" s="11">
        <v>51747869</v>
      </c>
      <c r="F15" s="8" t="s">
        <v>61</v>
      </c>
    </row>
    <row r="16" spans="2:6" x14ac:dyDescent="0.25">
      <c r="B16" s="4">
        <v>13</v>
      </c>
      <c r="C16" s="4" t="s">
        <v>103</v>
      </c>
      <c r="D16" s="5" t="s">
        <v>12</v>
      </c>
      <c r="E16" s="11">
        <v>41745302</v>
      </c>
      <c r="F16" s="8" t="s">
        <v>61</v>
      </c>
    </row>
    <row r="17" spans="2:6" x14ac:dyDescent="0.25">
      <c r="B17" s="4">
        <v>14</v>
      </c>
      <c r="C17" s="4" t="s">
        <v>104</v>
      </c>
      <c r="D17" s="5" t="s">
        <v>12</v>
      </c>
      <c r="E17" s="11">
        <v>35504848</v>
      </c>
      <c r="F17" s="8" t="s">
        <v>61</v>
      </c>
    </row>
  </sheetData>
  <conditionalFormatting sqref="E4:E5">
    <cfRule type="duplicateValues" dxfId="18" priority="13"/>
    <cfRule type="duplicateValues" dxfId="17" priority="14"/>
  </conditionalFormatting>
  <conditionalFormatting sqref="E6:E11">
    <cfRule type="duplicateValues" dxfId="16" priority="11"/>
    <cfRule type="duplicateValues" dxfId="15" priority="12"/>
  </conditionalFormatting>
  <conditionalFormatting sqref="E12">
    <cfRule type="duplicateValues" dxfId="14" priority="6"/>
    <cfRule type="duplicateValues" dxfId="13" priority="7"/>
    <cfRule type="duplicateValues" dxfId="12" priority="8"/>
  </conditionalFormatting>
  <conditionalFormatting sqref="E13">
    <cfRule type="duplicateValues" dxfId="11" priority="9"/>
    <cfRule type="duplicateValues" dxfId="10" priority="10"/>
  </conditionalFormatting>
  <conditionalFormatting sqref="E14">
    <cfRule type="duplicateValues" dxfId="9" priority="3"/>
    <cfRule type="duplicateValues" dxfId="8" priority="4"/>
    <cfRule type="duplicateValues" dxfId="7" priority="5"/>
  </conditionalFormatting>
  <conditionalFormatting sqref="E15:E17">
    <cfRule type="duplicateValues" dxfId="6" priority="1"/>
    <cfRule type="duplicateValues" dxfId="5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Valery Natalia Duarte Gomez</cp:lastModifiedBy>
  <dcterms:created xsi:type="dcterms:W3CDTF">2024-08-28T19:02:04Z</dcterms:created>
  <dcterms:modified xsi:type="dcterms:W3CDTF">2024-12-14T21:56:57Z</dcterms:modified>
</cp:coreProperties>
</file>