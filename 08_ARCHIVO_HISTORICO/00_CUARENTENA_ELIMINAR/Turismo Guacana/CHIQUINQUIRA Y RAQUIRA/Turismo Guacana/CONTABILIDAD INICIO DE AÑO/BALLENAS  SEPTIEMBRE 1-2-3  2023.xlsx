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aniela\Downloads\"/>
    </mc:Choice>
  </mc:AlternateContent>
  <xr:revisionPtr revIDLastSave="0" documentId="13_ncr:1_{91648CC9-46D5-4A78-9519-2371BF0C4B6C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BUS Y SALDOS " sheetId="1" r:id="rId1"/>
    <sheet name="ACOMODACION  HOTEL" sheetId="3" r:id="rId2"/>
    <sheet name="COSTOS Y GASTOS 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2" l="1"/>
  <c r="C9" i="2"/>
  <c r="J49" i="1"/>
  <c r="E14" i="2"/>
  <c r="H5" i="2"/>
  <c r="G8" i="2"/>
  <c r="J46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40" i="1"/>
  <c r="J41" i="1"/>
  <c r="J42" i="1"/>
  <c r="J3" i="1"/>
  <c r="I46" i="1"/>
  <c r="G46" i="1"/>
  <c r="E42" i="1" l="1"/>
  <c r="E41" i="1"/>
  <c r="E40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40" i="1"/>
  <c r="H41" i="1"/>
  <c r="H42" i="1"/>
  <c r="H3" i="1"/>
  <c r="H46" i="1" l="1"/>
  <c r="H47" i="1" s="1"/>
  <c r="E44" i="1"/>
  <c r="E45" i="1"/>
  <c r="E10" i="1"/>
  <c r="E9" i="1"/>
  <c r="E8" i="1"/>
  <c r="E14" i="1"/>
  <c r="E13" i="1"/>
  <c r="E7" i="1"/>
  <c r="E6" i="1"/>
  <c r="H6" i="2" l="1"/>
  <c r="H4" i="2" l="1"/>
  <c r="H3" i="2"/>
  <c r="H7" i="2"/>
  <c r="H8" i="2" s="1"/>
  <c r="C10" i="2" l="1"/>
  <c r="C13" i="2" s="1"/>
</calcChain>
</file>

<file path=xl/sharedStrings.xml><?xml version="1.0" encoding="utf-8"?>
<sst xmlns="http://schemas.openxmlformats.org/spreadsheetml/2006/main" count="204" uniqueCount="110">
  <si>
    <t xml:space="preserve">NOMBRES Y APELLIDOS </t>
  </si>
  <si>
    <t>IDENTIFICACION</t>
  </si>
  <si>
    <t>ABONO</t>
  </si>
  <si>
    <t>SALDO</t>
  </si>
  <si>
    <t>CELULAR</t>
  </si>
  <si>
    <t xml:space="preserve">EMPRESA </t>
  </si>
  <si>
    <t>TOTAL</t>
  </si>
  <si>
    <t>VALOR TOTAL</t>
  </si>
  <si>
    <t xml:space="preserve">VENDEDOR </t>
  </si>
  <si>
    <t xml:space="preserve">COSTOS Y GASTOS </t>
  </si>
  <si>
    <t xml:space="preserve">COMISIONES </t>
  </si>
  <si>
    <t>BUS</t>
  </si>
  <si>
    <t>SEGURO</t>
  </si>
  <si>
    <t xml:space="preserve">TOTAL </t>
  </si>
  <si>
    <t xml:space="preserve">INGRESO </t>
  </si>
  <si>
    <t>UTILIDAD</t>
  </si>
  <si>
    <t>N°</t>
  </si>
  <si>
    <t>PERSONAS</t>
  </si>
  <si>
    <t>EMPRESA</t>
  </si>
  <si>
    <t xml:space="preserve">HABITACION </t>
  </si>
  <si>
    <t>JOSE YURY DUARTE MOLINA</t>
  </si>
  <si>
    <t>JUAN PABLO DUARTE TORRES</t>
  </si>
  <si>
    <t>FLORINDA DAZA MARIN</t>
  </si>
  <si>
    <t>LUIS ALBERTO DUARTE MOLINA</t>
  </si>
  <si>
    <t>GABRIEL CABRERA PINZON</t>
  </si>
  <si>
    <t>MARIA FERNANDA BENAVIDES</t>
  </si>
  <si>
    <t xml:space="preserve">ANAPOIMA </t>
  </si>
  <si>
    <t>EDITH APULO</t>
  </si>
  <si>
    <t xml:space="preserve">ADRIANA ASTRID CARRANZA GARCIA </t>
  </si>
  <si>
    <t>LAD APULO</t>
  </si>
  <si>
    <t xml:space="preserve">ANA ESPERANZA CARRANZA GARCIA </t>
  </si>
  <si>
    <t xml:space="preserve">OLIVERIO BEJARANO CONTRERAS </t>
  </si>
  <si>
    <t xml:space="preserve">FECHA DE NACIMIENTO </t>
  </si>
  <si>
    <t>28. MAR- 1972</t>
  </si>
  <si>
    <t>14. ENE- 2009</t>
  </si>
  <si>
    <t xml:space="preserve">ISABELLA OBANDO OROZCO </t>
  </si>
  <si>
    <t xml:space="preserve">MONICA VIVIANA OROZCO BERTEL </t>
  </si>
  <si>
    <t>T.I. 1.150.185.553</t>
  </si>
  <si>
    <t xml:space="preserve">JASMIN CAICEDO QUIROGA  </t>
  </si>
  <si>
    <t>JAIME BERNAL MARENTE</t>
  </si>
  <si>
    <t>10. NOV- 1978</t>
  </si>
  <si>
    <t>EDAD</t>
  </si>
  <si>
    <t>9. NOV- 1970</t>
  </si>
  <si>
    <t>MARCIA ALEXSANDRA URBANO SANABRIA</t>
  </si>
  <si>
    <t>2. ENE- 1977</t>
  </si>
  <si>
    <t xml:space="preserve">ELIZABETH MAPE </t>
  </si>
  <si>
    <t>24. JUL- 1975</t>
  </si>
  <si>
    <t xml:space="preserve">YONY ALEXANDER ROMERO CRUZ </t>
  </si>
  <si>
    <t>23. MAR- 1983</t>
  </si>
  <si>
    <t xml:space="preserve">MAFE - BOGOTA </t>
  </si>
  <si>
    <t xml:space="preserve">MAFE - GIRARDOT </t>
  </si>
  <si>
    <t>MAFE - TOC</t>
  </si>
  <si>
    <t xml:space="preserve">ANDREA DEL PILAR HERNANDEZ PINTO </t>
  </si>
  <si>
    <t xml:space="preserve">EMILY GABRIELA ORTIZ MURCIA </t>
  </si>
  <si>
    <t>T.I. 1.020.003.074</t>
  </si>
  <si>
    <t xml:space="preserve">PAULA ANDREA SANTANA HERNADEZ HERNANDEZ </t>
  </si>
  <si>
    <t xml:space="preserve">ANA CRISITNA CARRANZA GARCIA </t>
  </si>
  <si>
    <t xml:space="preserve">LUIS ANTONIO AVILA CASTAÑEDA </t>
  </si>
  <si>
    <t>ROCCHY ZHARICK LEON BETANCOURT</t>
  </si>
  <si>
    <t xml:space="preserve">JAVIER STEVEN LEON </t>
  </si>
  <si>
    <t>T.I. 1.073.629.356</t>
  </si>
  <si>
    <t>JAVIER HERNANDO LEON PINILLA</t>
  </si>
  <si>
    <t xml:space="preserve">MARISOL FORERO WILCHES </t>
  </si>
  <si>
    <t xml:space="preserve">JOSE POMPILIO MEDINA </t>
  </si>
  <si>
    <t xml:space="preserve">ROSA LIEVANO ROSARIO </t>
  </si>
  <si>
    <t xml:space="preserve">LAD ANAPOIMA </t>
  </si>
  <si>
    <t xml:space="preserve">MARIA ESTELLA TABARES </t>
  </si>
  <si>
    <t xml:space="preserve">ERIKA MUÑOZ MEDINA </t>
  </si>
  <si>
    <t>BALLENAS CONTROL DE PASAJEROS Y SALDOS QUE ADEUDAN</t>
  </si>
  <si>
    <t xml:space="preserve">LUZ MARINA BARRIOS SOLORZANO </t>
  </si>
  <si>
    <t xml:space="preserve">ALFONSO HERNANDEZ PINTO </t>
  </si>
  <si>
    <t>4. JUL- 1994</t>
  </si>
  <si>
    <t>5. ENE- 1974</t>
  </si>
  <si>
    <t xml:space="preserve">1 CAMA DOBLE </t>
  </si>
  <si>
    <t>2 CAMAS SENCILLAS</t>
  </si>
  <si>
    <t xml:space="preserve">VA SOLO </t>
  </si>
  <si>
    <t>1 CAMA DOBLE</t>
  </si>
  <si>
    <t xml:space="preserve">                  ACOMODACION DEL HOTEL BALLENAS</t>
  </si>
  <si>
    <t>R.C 1072963974</t>
  </si>
  <si>
    <t xml:space="preserve">ANA MARIA MANRIQUE LEON </t>
  </si>
  <si>
    <t xml:space="preserve">JORGE ANDRES FLOREZ OLANO </t>
  </si>
  <si>
    <t xml:space="preserve">DYLAN THOMAS FLOREZ MANRIQUE </t>
  </si>
  <si>
    <t>MARCIA ALEXANDRA URBANO SANABRIA</t>
  </si>
  <si>
    <t xml:space="preserve">solo seguro </t>
  </si>
  <si>
    <t xml:space="preserve">BURKHARD HALLMANN </t>
  </si>
  <si>
    <t>C.E. 422419</t>
  </si>
  <si>
    <t>30. JUN- 1960</t>
  </si>
  <si>
    <t xml:space="preserve">ALEXANDRA RODRÍGUEZ </t>
  </si>
  <si>
    <t>27. ENE- 1976</t>
  </si>
  <si>
    <t xml:space="preserve">SOFÍA HALLMANN </t>
  </si>
  <si>
    <t>T.I. 1032800380</t>
  </si>
  <si>
    <t>8. SEP- 2013</t>
  </si>
  <si>
    <t xml:space="preserve">MAFE </t>
  </si>
  <si>
    <t xml:space="preserve">LAD </t>
  </si>
  <si>
    <t>CLAUDIA PATRICIA PENAGOS CAMACHO   CC 51934570   CEL 3133066221   ABONO 200000</t>
  </si>
  <si>
    <t>JUAN JOSE ROA DAZA  CC 1073628951 ABONO 100.000</t>
  </si>
  <si>
    <t xml:space="preserve">JESUS HUMBERTO PATIÑO PESELLIN </t>
  </si>
  <si>
    <t xml:space="preserve">YOLANDA JIMENEZ </t>
  </si>
  <si>
    <t xml:space="preserve">LUZ MARINA PACHON LIBERATO </t>
  </si>
  <si>
    <t xml:space="preserve">LUZ MARINA MELO </t>
  </si>
  <si>
    <t xml:space="preserve">NAPOLEON ALIRIO ORTIZ </t>
  </si>
  <si>
    <t xml:space="preserve">LAURA CAMILA DELGADO REYES </t>
  </si>
  <si>
    <t>T.I. 1073629158</t>
  </si>
  <si>
    <t>VALOR VIAJE</t>
  </si>
  <si>
    <t>COMISIÓN</t>
  </si>
  <si>
    <t>LAD</t>
  </si>
  <si>
    <t>HOTEL + ALIMENTACIÓN</t>
  </si>
  <si>
    <t>EVENTO AVISTAMIENTO + TRASLADO MARITIMO</t>
  </si>
  <si>
    <t>GUIA TURISTICO</t>
  </si>
  <si>
    <t>GATOS DE REPRESENTACIÓN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</si>
</sst>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64" formatCode="&quot;$&quot;#,##0;[Red]\-&quot;$&quot;#,##0"/>
    <numFmt numFmtId="165" formatCode="_-&quot;$&quot;* #,##0.00_-;\-&quot;$&quot;* #,##0.00_-;_-&quot;$&quot;* &quot;-&quot;??_-;_-@_-"/>
    <numFmt numFmtId="166" formatCode="&quot;$&quot;\ #,##0_);[Red]\(&quot;$&quot;\ #,##0\)"/>
    <numFmt numFmtId="167" formatCode="_(* #,##0.00_);_(* \(#,##0.00\);_(* &quot;-&quot;??_);_(@_)"/>
    <numFmt numFmtId="168" formatCode="_-&quot;$&quot;* #,##0_-;\-&quot;$&quot;* #,##0_-;_-&quot;$&quot;* &quot;-&quot;??_-;_-@_-"/>
    <numFmt numFmtId="169" formatCode="_(* #,##0_);_(* \(#,##0\);_(* &quot;-&quot;??_);_(@_)"/>
    <numFmt numFmtId="170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CBFC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04">
    <xf numFmtId="0" fontId="0" fillId="0" borderId="0" xfId="0"/>
    <xf numFmtId="0" fontId="0" fillId="0" borderId="1" xfId="0" applyFont="1" applyBorder="1"/>
    <xf numFmtId="168" fontId="0" fillId="0" borderId="1" xfId="1" applyNumberFormat="1" applyFont="1" applyBorder="1"/>
    <xf numFmtId="168" fontId="0" fillId="0" borderId="0" xfId="1" applyNumberFormat="1" applyFont="1"/>
    <xf numFmtId="0" fontId="4" fillId="0" borderId="1" xfId="0" applyFont="1" applyBorder="1"/>
    <xf numFmtId="168" fontId="2" fillId="0" borderId="1" xfId="1" applyNumberFormat="1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4" fillId="0" borderId="4" xfId="0" applyFont="1" applyBorder="1"/>
    <xf numFmtId="168" fontId="0" fillId="0" borderId="4" xfId="1" applyNumberFormat="1" applyFont="1" applyBorder="1"/>
    <xf numFmtId="0" fontId="0" fillId="0" borderId="5" xfId="0" applyFont="1" applyBorder="1"/>
    <xf numFmtId="169" fontId="0" fillId="0" borderId="1" xfId="2" applyNumberFormat="1" applyFont="1" applyBorder="1"/>
    <xf numFmtId="169" fontId="0" fillId="0" borderId="4" xfId="2" applyNumberFormat="1" applyFont="1" applyBorder="1"/>
    <xf numFmtId="169" fontId="0" fillId="0" borderId="0" xfId="2" applyNumberFormat="1" applyFont="1"/>
    <xf numFmtId="166" fontId="0" fillId="0" borderId="0" xfId="0" applyNumberFormat="1"/>
    <xf numFmtId="0" fontId="6" fillId="0" borderId="0" xfId="0" applyFont="1"/>
    <xf numFmtId="0" fontId="6" fillId="0" borderId="1" xfId="0" applyFont="1" applyBorder="1"/>
    <xf numFmtId="170" fontId="0" fillId="0" borderId="0" xfId="2" applyNumberFormat="1" applyFont="1"/>
    <xf numFmtId="170" fontId="6" fillId="2" borderId="1" xfId="2" applyNumberFormat="1" applyFont="1" applyFill="1" applyBorder="1"/>
    <xf numFmtId="168" fontId="6" fillId="0" borderId="1" xfId="1" applyNumberFormat="1" applyFont="1" applyBorder="1"/>
    <xf numFmtId="170" fontId="6" fillId="0" borderId="1" xfId="2" applyNumberFormat="1" applyFont="1" applyBorder="1"/>
    <xf numFmtId="164" fontId="6" fillId="0" borderId="1" xfId="0" applyNumberFormat="1" applyFont="1" applyBorder="1"/>
    <xf numFmtId="167" fontId="6" fillId="0" borderId="0" xfId="2" applyFont="1"/>
    <xf numFmtId="0" fontId="6" fillId="0" borderId="0" xfId="0" applyFont="1" applyBorder="1" applyAlignment="1">
      <alignment horizontal="center"/>
    </xf>
    <xf numFmtId="170" fontId="6" fillId="0" borderId="0" xfId="2" applyNumberFormat="1" applyFont="1" applyBorder="1" applyAlignment="1">
      <alignment horizontal="center"/>
    </xf>
    <xf numFmtId="164" fontId="6" fillId="0" borderId="0" xfId="0" applyNumberFormat="1" applyFont="1" applyBorder="1"/>
    <xf numFmtId="170" fontId="6" fillId="0" borderId="0" xfId="2" applyNumberFormat="1" applyFont="1"/>
    <xf numFmtId="168" fontId="6" fillId="0" borderId="0" xfId="1" applyNumberFormat="1" applyFont="1"/>
    <xf numFmtId="164" fontId="6" fillId="0" borderId="0" xfId="0" applyNumberFormat="1" applyFont="1"/>
    <xf numFmtId="168" fontId="0" fillId="0" borderId="0" xfId="0" applyNumberFormat="1"/>
    <xf numFmtId="0" fontId="0" fillId="0" borderId="1" xfId="0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169" fontId="3" fillId="0" borderId="1" xfId="2" applyNumberFormat="1" applyFont="1" applyBorder="1"/>
    <xf numFmtId="168" fontId="3" fillId="0" borderId="1" xfId="1" applyNumberFormat="1" applyFont="1" applyBorder="1"/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9" fontId="0" fillId="3" borderId="1" xfId="2" applyNumberFormat="1" applyFont="1" applyFill="1" applyBorder="1"/>
    <xf numFmtId="0" fontId="0" fillId="3" borderId="1" xfId="0" applyFill="1" applyBorder="1"/>
    <xf numFmtId="0" fontId="0" fillId="3" borderId="1" xfId="0" applyFont="1" applyFill="1" applyBorder="1"/>
    <xf numFmtId="168" fontId="0" fillId="3" borderId="1" xfId="1" applyNumberFormat="1" applyFont="1" applyFill="1" applyBorder="1"/>
    <xf numFmtId="0" fontId="0" fillId="3" borderId="0" xfId="0" applyFill="1"/>
    <xf numFmtId="0" fontId="8" fillId="3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169" fontId="0" fillId="2" borderId="1" xfId="2" applyNumberFormat="1" applyFont="1" applyFill="1" applyBorder="1"/>
    <xf numFmtId="0" fontId="0" fillId="2" borderId="1" xfId="0" applyFill="1" applyBorder="1"/>
    <xf numFmtId="168" fontId="0" fillId="2" borderId="1" xfId="1" applyNumberFormat="1" applyFont="1" applyFill="1" applyBorder="1"/>
    <xf numFmtId="0" fontId="0" fillId="2" borderId="1" xfId="0" applyFont="1" applyFill="1" applyBorder="1"/>
    <xf numFmtId="0" fontId="0" fillId="0" borderId="0" xfId="0" applyFont="1"/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horizontal="center"/>
    </xf>
    <xf numFmtId="169" fontId="9" fillId="0" borderId="1" xfId="2" applyNumberFormat="1" applyFont="1" applyBorder="1"/>
    <xf numFmtId="0" fontId="8" fillId="3" borderId="1" xfId="0" applyFont="1" applyFill="1" applyBorder="1" applyAlignment="1">
      <alignment vertical="center" wrapText="1"/>
    </xf>
    <xf numFmtId="0" fontId="0" fillId="5" borderId="1" xfId="0" applyFont="1" applyFill="1" applyBorder="1"/>
    <xf numFmtId="0" fontId="8" fillId="5" borderId="1" xfId="0" applyFont="1" applyFill="1" applyBorder="1" applyAlignment="1">
      <alignment vertical="center"/>
    </xf>
    <xf numFmtId="0" fontId="8" fillId="5" borderId="1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wrapText="1"/>
    </xf>
    <xf numFmtId="0" fontId="0" fillId="6" borderId="1" xfId="0" applyFont="1" applyFill="1" applyBorder="1"/>
    <xf numFmtId="0" fontId="0" fillId="6" borderId="1" xfId="0" applyFont="1" applyFill="1" applyBorder="1" applyAlignment="1">
      <alignment wrapText="1"/>
    </xf>
    <xf numFmtId="169" fontId="0" fillId="6" borderId="1" xfId="2" applyNumberFormat="1" applyFont="1" applyFill="1" applyBorder="1"/>
    <xf numFmtId="0" fontId="0" fillId="4" borderId="1" xfId="0" applyFont="1" applyFill="1" applyBorder="1"/>
    <xf numFmtId="0" fontId="0" fillId="4" borderId="1" xfId="0" applyFont="1" applyFill="1" applyBorder="1" applyAlignment="1">
      <alignment wrapText="1"/>
    </xf>
    <xf numFmtId="169" fontId="0" fillId="4" borderId="1" xfId="2" applyNumberFormat="1" applyFont="1" applyFill="1" applyBorder="1"/>
    <xf numFmtId="0" fontId="0" fillId="6" borderId="1" xfId="0" applyFill="1" applyBorder="1"/>
    <xf numFmtId="0" fontId="0" fillId="4" borderId="1" xfId="0" applyFill="1" applyBorder="1"/>
    <xf numFmtId="0" fontId="8" fillId="4" borderId="1" xfId="0" applyFont="1" applyFill="1" applyBorder="1" applyAlignment="1">
      <alignment vertical="center"/>
    </xf>
    <xf numFmtId="0" fontId="0" fillId="7" borderId="1" xfId="0" applyFont="1" applyFill="1" applyBorder="1"/>
    <xf numFmtId="0" fontId="8" fillId="7" borderId="1" xfId="0" applyFont="1" applyFill="1" applyBorder="1" applyAlignment="1">
      <alignment vertical="center" wrapText="1"/>
    </xf>
    <xf numFmtId="169" fontId="0" fillId="7" borderId="1" xfId="2" applyNumberFormat="1" applyFont="1" applyFill="1" applyBorder="1"/>
    <xf numFmtId="0" fontId="0" fillId="7" borderId="1" xfId="0" applyFill="1" applyBorder="1"/>
    <xf numFmtId="0" fontId="10" fillId="0" borderId="1" xfId="0" applyFont="1" applyBorder="1" applyAlignment="1">
      <alignment vertical="center"/>
    </xf>
    <xf numFmtId="0" fontId="10" fillId="0" borderId="0" xfId="0" applyFont="1"/>
    <xf numFmtId="41" fontId="10" fillId="0" borderId="1" xfId="3" applyFont="1" applyBorder="1"/>
    <xf numFmtId="0" fontId="0" fillId="3" borderId="0" xfId="0" applyFont="1" applyFill="1"/>
    <xf numFmtId="0" fontId="0" fillId="0" borderId="1" xfId="0" applyFont="1" applyFill="1" applyBorder="1" applyAlignment="1">
      <alignment wrapText="1"/>
    </xf>
    <xf numFmtId="169" fontId="0" fillId="0" borderId="1" xfId="2" applyNumberFormat="1" applyFont="1" applyFill="1" applyBorder="1"/>
    <xf numFmtId="0" fontId="5" fillId="0" borderId="1" xfId="0" applyFont="1" applyBorder="1" applyAlignment="1">
      <alignment horizontal="center" wrapText="1"/>
    </xf>
    <xf numFmtId="0" fontId="7" fillId="0" borderId="0" xfId="0" applyFont="1" applyBorder="1" applyAlignment="1">
      <alignment wrapText="1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168" fontId="2" fillId="0" borderId="10" xfId="1" applyNumberFormat="1" applyFont="1" applyBorder="1"/>
    <xf numFmtId="168" fontId="0" fillId="0" borderId="11" xfId="1" applyNumberFormat="1" applyFont="1" applyBorder="1"/>
    <xf numFmtId="0" fontId="6" fillId="0" borderId="1" xfId="0" applyFont="1" applyBorder="1" applyAlignment="1"/>
    <xf numFmtId="170" fontId="6" fillId="0" borderId="1" xfId="0" applyNumberFormat="1" applyFont="1" applyBorder="1" applyAlignment="1"/>
    <xf numFmtId="168" fontId="6" fillId="2" borderId="1" xfId="1" applyNumberFormat="1" applyFont="1" applyFill="1" applyBorder="1"/>
    <xf numFmtId="0" fontId="0" fillId="8" borderId="1" xfId="0" applyFont="1" applyFill="1" applyBorder="1"/>
    <xf numFmtId="0" fontId="8" fillId="8" borderId="1" xfId="0" applyFont="1" applyFill="1" applyBorder="1" applyAlignment="1">
      <alignment vertical="center" wrapText="1"/>
    </xf>
    <xf numFmtId="0" fontId="10" fillId="8" borderId="1" xfId="0" applyFont="1" applyFill="1" applyBorder="1" applyAlignment="1">
      <alignment vertical="center"/>
    </xf>
    <xf numFmtId="169" fontId="0" fillId="8" borderId="1" xfId="2" applyNumberFormat="1" applyFont="1" applyFill="1" applyBorder="1"/>
    <xf numFmtId="168" fontId="0" fillId="8" borderId="1" xfId="1" applyNumberFormat="1" applyFont="1" applyFill="1" applyBorder="1"/>
    <xf numFmtId="0" fontId="0" fillId="8" borderId="0" xfId="0" applyFont="1" applyFill="1"/>
    <xf numFmtId="165" fontId="6" fillId="0" borderId="1" xfId="1" applyFont="1" applyBorder="1"/>
  </cellXfs>
  <cellStyles count="4">
    <cellStyle name="Millares" xfId="2" builtinId="3"/>
    <cellStyle name="Millares [0]" xfId="3" builtinId="6"/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5CBF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topLeftCell="A31" zoomScale="80" zoomScaleNormal="100" workbookViewId="0">
      <selection activeCell="A38" sqref="A38:XFD38"/>
    </sheetView>
  </sheetViews>
  <sheetFormatPr baseColWidth="10" defaultRowHeight="15" x14ac:dyDescent="0.25"/>
  <cols>
    <col min="1" max="1" width="4.140625" bestFit="1" customWidth="1"/>
    <col min="2" max="2" width="39.7109375" customWidth="1"/>
    <col min="3" max="3" width="20" style="14" bestFit="1" customWidth="1"/>
    <col min="4" max="4" width="20" style="14" customWidth="1"/>
    <col min="5" max="5" width="9.85546875" style="14" bestFit="1" customWidth="1"/>
    <col min="6" max="6" width="22.42578125" customWidth="1"/>
    <col min="7" max="7" width="16.140625" style="3" bestFit="1" customWidth="1"/>
    <col min="8" max="8" width="16" style="3" bestFit="1" customWidth="1"/>
    <col min="9" max="9" width="25.5703125" style="3" bestFit="1" customWidth="1"/>
    <col min="10" max="10" width="25.5703125" style="3" customWidth="1"/>
    <col min="11" max="11" width="21.5703125" bestFit="1" customWidth="1"/>
    <col min="12" max="12" width="79" bestFit="1" customWidth="1"/>
    <col min="13" max="13" width="20" bestFit="1" customWidth="1"/>
    <col min="14" max="14" width="14.42578125" bestFit="1" customWidth="1"/>
    <col min="17" max="17" width="20" bestFit="1" customWidth="1"/>
    <col min="18" max="18" width="5.42578125" bestFit="1" customWidth="1"/>
    <col min="19" max="19" width="14.42578125" bestFit="1" customWidth="1"/>
  </cols>
  <sheetData>
    <row r="1" spans="1:13" ht="23.25" x14ac:dyDescent="0.35">
      <c r="A1" s="77" t="s">
        <v>68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15">
        <v>650000</v>
      </c>
    </row>
    <row r="2" spans="1:13" ht="15" customHeight="1" x14ac:dyDescent="0.3">
      <c r="A2" s="32" t="s">
        <v>16</v>
      </c>
      <c r="B2" s="33" t="s">
        <v>0</v>
      </c>
      <c r="C2" s="34" t="s">
        <v>1</v>
      </c>
      <c r="D2" s="52" t="s">
        <v>32</v>
      </c>
      <c r="E2" s="52" t="s">
        <v>41</v>
      </c>
      <c r="F2" s="36" t="s">
        <v>4</v>
      </c>
      <c r="G2" s="35" t="s">
        <v>2</v>
      </c>
      <c r="H2" s="35" t="s">
        <v>3</v>
      </c>
      <c r="I2" s="35" t="s">
        <v>103</v>
      </c>
      <c r="J2" s="35" t="s">
        <v>104</v>
      </c>
      <c r="K2" s="32" t="s">
        <v>8</v>
      </c>
    </row>
    <row r="3" spans="1:13" s="49" customFormat="1" x14ac:dyDescent="0.25">
      <c r="A3" s="1">
        <v>1</v>
      </c>
      <c r="B3" s="50" t="s">
        <v>28</v>
      </c>
      <c r="C3" s="12">
        <v>28995338</v>
      </c>
      <c r="D3" s="12"/>
      <c r="E3" s="12"/>
      <c r="F3" s="51">
        <v>3106234152</v>
      </c>
      <c r="G3" s="2">
        <v>200000</v>
      </c>
      <c r="H3" s="2">
        <f>+$L$1-G3</f>
        <v>450000</v>
      </c>
      <c r="I3" s="2">
        <v>650000</v>
      </c>
      <c r="J3" s="2">
        <f>I3-45000</f>
        <v>605000</v>
      </c>
      <c r="K3" s="1" t="s">
        <v>29</v>
      </c>
      <c r="L3" s="49">
        <v>1</v>
      </c>
      <c r="M3"/>
    </row>
    <row r="4" spans="1:13" s="49" customFormat="1" x14ac:dyDescent="0.25">
      <c r="A4" s="1">
        <v>2</v>
      </c>
      <c r="B4" s="50" t="s">
        <v>30</v>
      </c>
      <c r="C4" s="12">
        <v>20874813</v>
      </c>
      <c r="D4" s="12"/>
      <c r="E4" s="12"/>
      <c r="F4" s="51">
        <v>3114931124</v>
      </c>
      <c r="G4" s="2"/>
      <c r="H4" s="2">
        <f t="shared" ref="H4:H42" si="0">+$L$1-G4</f>
        <v>650000</v>
      </c>
      <c r="I4" s="2">
        <v>650000</v>
      </c>
      <c r="J4" s="2">
        <f t="shared" ref="J4:J45" si="1">I4-45000</f>
        <v>605000</v>
      </c>
      <c r="K4" s="1" t="s">
        <v>27</v>
      </c>
      <c r="M4"/>
    </row>
    <row r="5" spans="1:13" s="49" customFormat="1" x14ac:dyDescent="0.25">
      <c r="A5" s="1">
        <v>3</v>
      </c>
      <c r="B5" s="50" t="s">
        <v>31</v>
      </c>
      <c r="C5" s="12">
        <v>11451326</v>
      </c>
      <c r="D5" s="12"/>
      <c r="E5" s="12"/>
      <c r="F5" s="51"/>
      <c r="G5" s="2">
        <v>400000</v>
      </c>
      <c r="H5" s="2">
        <f t="shared" si="0"/>
        <v>250000</v>
      </c>
      <c r="I5" s="2">
        <v>650000</v>
      </c>
      <c r="J5" s="2">
        <f t="shared" si="1"/>
        <v>605000</v>
      </c>
      <c r="K5" s="1" t="s">
        <v>27</v>
      </c>
      <c r="M5"/>
    </row>
    <row r="6" spans="1:13" s="49" customFormat="1" x14ac:dyDescent="0.25">
      <c r="A6" s="1">
        <v>4</v>
      </c>
      <c r="B6" s="50" t="s">
        <v>36</v>
      </c>
      <c r="C6" s="12">
        <v>39668968</v>
      </c>
      <c r="D6" s="12" t="s">
        <v>33</v>
      </c>
      <c r="E6" s="12">
        <f>2023-1972</f>
        <v>51</v>
      </c>
      <c r="F6" s="51">
        <v>3124543534</v>
      </c>
      <c r="G6" s="2">
        <v>100000</v>
      </c>
      <c r="H6" s="2">
        <f t="shared" si="0"/>
        <v>550000</v>
      </c>
      <c r="I6" s="2">
        <v>650000</v>
      </c>
      <c r="J6" s="2">
        <f t="shared" si="1"/>
        <v>605000</v>
      </c>
      <c r="K6" s="1" t="s">
        <v>49</v>
      </c>
      <c r="M6"/>
    </row>
    <row r="7" spans="1:13" s="49" customFormat="1" x14ac:dyDescent="0.25">
      <c r="A7" s="1">
        <v>5</v>
      </c>
      <c r="B7" s="50" t="s">
        <v>35</v>
      </c>
      <c r="C7" s="12" t="s">
        <v>37</v>
      </c>
      <c r="D7" s="12" t="s">
        <v>34</v>
      </c>
      <c r="E7" s="12">
        <f>2023-2009</f>
        <v>14</v>
      </c>
      <c r="F7" s="51"/>
      <c r="G7" s="2">
        <v>100000</v>
      </c>
      <c r="H7" s="2">
        <f t="shared" si="0"/>
        <v>550000</v>
      </c>
      <c r="I7" s="2">
        <v>650000</v>
      </c>
      <c r="J7" s="2">
        <f t="shared" si="1"/>
        <v>605000</v>
      </c>
      <c r="K7" s="1" t="s">
        <v>49</v>
      </c>
      <c r="M7"/>
    </row>
    <row r="8" spans="1:13" s="49" customFormat="1" x14ac:dyDescent="0.25">
      <c r="A8" s="1">
        <v>6</v>
      </c>
      <c r="B8" s="50" t="s">
        <v>82</v>
      </c>
      <c r="C8" s="12">
        <v>21017485</v>
      </c>
      <c r="D8" s="12" t="s">
        <v>44</v>
      </c>
      <c r="E8" s="12">
        <f>2023-1977</f>
        <v>46</v>
      </c>
      <c r="F8" s="51"/>
      <c r="G8" s="2">
        <v>100000</v>
      </c>
      <c r="H8" s="2">
        <f t="shared" si="0"/>
        <v>550000</v>
      </c>
      <c r="I8" s="2">
        <v>650000</v>
      </c>
      <c r="J8" s="2">
        <f t="shared" si="1"/>
        <v>605000</v>
      </c>
      <c r="K8" s="1" t="s">
        <v>50</v>
      </c>
      <c r="M8"/>
    </row>
    <row r="9" spans="1:13" s="49" customFormat="1" x14ac:dyDescent="0.25">
      <c r="A9" s="1">
        <v>7</v>
      </c>
      <c r="B9" s="50" t="s">
        <v>45</v>
      </c>
      <c r="C9" s="12">
        <v>21017346</v>
      </c>
      <c r="D9" s="12" t="s">
        <v>46</v>
      </c>
      <c r="E9" s="12">
        <f>2023-1975</f>
        <v>48</v>
      </c>
      <c r="F9" s="51">
        <v>3143670572</v>
      </c>
      <c r="G9" s="2">
        <v>100000</v>
      </c>
      <c r="H9" s="2">
        <f t="shared" si="0"/>
        <v>550000</v>
      </c>
      <c r="I9" s="2">
        <v>650000</v>
      </c>
      <c r="J9" s="2">
        <f t="shared" si="1"/>
        <v>605000</v>
      </c>
      <c r="K9" s="1" t="s">
        <v>49</v>
      </c>
      <c r="M9"/>
    </row>
    <row r="10" spans="1:13" s="49" customFormat="1" x14ac:dyDescent="0.25">
      <c r="A10" s="1">
        <v>8</v>
      </c>
      <c r="B10" s="50" t="s">
        <v>47</v>
      </c>
      <c r="C10" s="12">
        <v>80211311</v>
      </c>
      <c r="D10" s="12" t="s">
        <v>48</v>
      </c>
      <c r="E10" s="12">
        <f>2023-1983</f>
        <v>40</v>
      </c>
      <c r="F10" s="51">
        <v>3102309481</v>
      </c>
      <c r="G10" s="2">
        <v>100000</v>
      </c>
      <c r="H10" s="2">
        <f t="shared" si="0"/>
        <v>550000</v>
      </c>
      <c r="I10" s="2">
        <v>650000</v>
      </c>
      <c r="J10" s="2">
        <f t="shared" si="1"/>
        <v>605000</v>
      </c>
      <c r="K10" s="1" t="s">
        <v>49</v>
      </c>
      <c r="M10"/>
    </row>
    <row r="11" spans="1:13" s="49" customFormat="1" x14ac:dyDescent="0.25">
      <c r="A11" s="1">
        <v>9</v>
      </c>
      <c r="B11" s="75" t="s">
        <v>99</v>
      </c>
      <c r="C11" s="76">
        <v>65690154</v>
      </c>
      <c r="D11" s="12"/>
      <c r="E11" s="12"/>
      <c r="F11" s="51"/>
      <c r="G11" s="2"/>
      <c r="H11" s="2">
        <f t="shared" si="0"/>
        <v>650000</v>
      </c>
      <c r="I11" s="2">
        <v>650000</v>
      </c>
      <c r="J11" s="2">
        <f t="shared" si="1"/>
        <v>605000</v>
      </c>
      <c r="K11" s="1" t="s">
        <v>105</v>
      </c>
      <c r="M11"/>
    </row>
    <row r="12" spans="1:13" s="49" customFormat="1" x14ac:dyDescent="0.25">
      <c r="A12" s="1">
        <v>10</v>
      </c>
      <c r="B12" s="75" t="s">
        <v>100</v>
      </c>
      <c r="C12" s="76">
        <v>4083012</v>
      </c>
      <c r="D12" s="12"/>
      <c r="E12" s="12"/>
      <c r="F12" s="51"/>
      <c r="G12" s="2"/>
      <c r="H12" s="2">
        <f t="shared" si="0"/>
        <v>650000</v>
      </c>
      <c r="I12" s="2">
        <v>650000</v>
      </c>
      <c r="J12" s="2">
        <f t="shared" si="1"/>
        <v>605000</v>
      </c>
      <c r="K12" s="1" t="s">
        <v>105</v>
      </c>
      <c r="M12"/>
    </row>
    <row r="13" spans="1:13" s="49" customFormat="1" ht="15" customHeight="1" x14ac:dyDescent="0.25">
      <c r="A13" s="1">
        <v>11</v>
      </c>
      <c r="B13" s="53" t="s">
        <v>38</v>
      </c>
      <c r="C13" s="38">
        <v>52505200</v>
      </c>
      <c r="D13" s="12" t="s">
        <v>40</v>
      </c>
      <c r="E13" s="12">
        <f>2023-1977</f>
        <v>46</v>
      </c>
      <c r="F13" s="40">
        <v>3103253144</v>
      </c>
      <c r="G13" s="2">
        <v>600000</v>
      </c>
      <c r="H13" s="2">
        <f t="shared" si="0"/>
        <v>50000</v>
      </c>
      <c r="I13" s="2">
        <v>650000</v>
      </c>
      <c r="J13" s="2">
        <f t="shared" si="1"/>
        <v>605000</v>
      </c>
      <c r="K13" s="1" t="s">
        <v>51</v>
      </c>
      <c r="M13"/>
    </row>
    <row r="14" spans="1:13" s="49" customFormat="1" ht="15" customHeight="1" x14ac:dyDescent="0.25">
      <c r="A14" s="1">
        <v>12</v>
      </c>
      <c r="B14" s="53" t="s">
        <v>39</v>
      </c>
      <c r="C14" s="38">
        <v>80355465</v>
      </c>
      <c r="D14" s="12" t="s">
        <v>42</v>
      </c>
      <c r="E14" s="12">
        <f>2023-1969</f>
        <v>54</v>
      </c>
      <c r="F14" s="40">
        <v>3103253144</v>
      </c>
      <c r="G14" s="2"/>
      <c r="H14" s="2">
        <f t="shared" si="0"/>
        <v>650000</v>
      </c>
      <c r="I14" s="2">
        <v>650000</v>
      </c>
      <c r="J14" s="2">
        <f t="shared" si="1"/>
        <v>605000</v>
      </c>
      <c r="K14" s="1" t="s">
        <v>51</v>
      </c>
      <c r="M14"/>
    </row>
    <row r="15" spans="1:13" s="49" customFormat="1" ht="15" customHeight="1" x14ac:dyDescent="0.25">
      <c r="A15" s="1">
        <v>13</v>
      </c>
      <c r="B15" s="53" t="s">
        <v>52</v>
      </c>
      <c r="C15" s="38">
        <v>20358259</v>
      </c>
      <c r="D15" s="12"/>
      <c r="E15" s="12"/>
      <c r="F15" s="40"/>
      <c r="G15" s="2">
        <v>300000</v>
      </c>
      <c r="H15" s="2">
        <f t="shared" si="0"/>
        <v>350000</v>
      </c>
      <c r="I15" s="2">
        <v>650000</v>
      </c>
      <c r="J15" s="2">
        <f t="shared" si="1"/>
        <v>605000</v>
      </c>
      <c r="K15" s="1" t="s">
        <v>29</v>
      </c>
      <c r="M15"/>
    </row>
    <row r="16" spans="1:13" s="49" customFormat="1" ht="15" customHeight="1" x14ac:dyDescent="0.25">
      <c r="A16" s="1">
        <v>14</v>
      </c>
      <c r="B16" s="53" t="s">
        <v>53</v>
      </c>
      <c r="C16" s="38" t="s">
        <v>54</v>
      </c>
      <c r="D16" s="12"/>
      <c r="E16" s="12"/>
      <c r="F16" s="40"/>
      <c r="G16" s="2"/>
      <c r="H16" s="2">
        <f t="shared" si="0"/>
        <v>650000</v>
      </c>
      <c r="I16" s="2">
        <v>650000</v>
      </c>
      <c r="J16" s="2">
        <f t="shared" si="1"/>
        <v>605000</v>
      </c>
      <c r="K16" s="1" t="s">
        <v>29</v>
      </c>
      <c r="M16"/>
    </row>
    <row r="17" spans="1:12" s="49" customFormat="1" ht="15" customHeight="1" x14ac:dyDescent="0.25">
      <c r="A17" s="1">
        <v>15</v>
      </c>
      <c r="B17" s="53" t="s">
        <v>55</v>
      </c>
      <c r="C17" s="38">
        <v>20358250</v>
      </c>
      <c r="D17" s="12"/>
      <c r="E17" s="12"/>
      <c r="F17" s="40"/>
      <c r="G17" s="2"/>
      <c r="H17" s="2">
        <f t="shared" si="0"/>
        <v>650000</v>
      </c>
      <c r="I17" s="2">
        <v>650000</v>
      </c>
      <c r="J17" s="2">
        <f t="shared" si="1"/>
        <v>605000</v>
      </c>
      <c r="K17" s="1" t="s">
        <v>29</v>
      </c>
    </row>
    <row r="18" spans="1:12" s="49" customFormat="1" ht="15" customHeight="1" x14ac:dyDescent="0.25">
      <c r="A18" s="1">
        <v>16</v>
      </c>
      <c r="B18" s="53" t="s">
        <v>56</v>
      </c>
      <c r="C18" s="38">
        <v>28994918</v>
      </c>
      <c r="D18" s="12"/>
      <c r="E18" s="12"/>
      <c r="F18" s="40"/>
      <c r="G18" s="2"/>
      <c r="H18" s="2">
        <f t="shared" si="0"/>
        <v>650000</v>
      </c>
      <c r="I18" s="2">
        <v>650000</v>
      </c>
      <c r="J18" s="2">
        <f t="shared" si="1"/>
        <v>605000</v>
      </c>
      <c r="K18" s="1" t="s">
        <v>29</v>
      </c>
    </row>
    <row r="19" spans="1:12" s="49" customFormat="1" ht="15" customHeight="1" x14ac:dyDescent="0.25">
      <c r="A19" s="1">
        <v>17</v>
      </c>
      <c r="B19" s="53" t="s">
        <v>57</v>
      </c>
      <c r="C19" s="38">
        <v>17097579</v>
      </c>
      <c r="D19" s="12"/>
      <c r="E19" s="12"/>
      <c r="F19" s="40"/>
      <c r="G19" s="2"/>
      <c r="H19" s="2">
        <f t="shared" si="0"/>
        <v>650000</v>
      </c>
      <c r="I19" s="2">
        <v>650000</v>
      </c>
      <c r="J19" s="2">
        <f t="shared" si="1"/>
        <v>605000</v>
      </c>
      <c r="K19" s="1" t="s">
        <v>29</v>
      </c>
    </row>
    <row r="20" spans="1:12" s="49" customFormat="1" ht="15" customHeight="1" x14ac:dyDescent="0.25">
      <c r="A20" s="1">
        <v>18</v>
      </c>
      <c r="B20" s="53" t="s">
        <v>58</v>
      </c>
      <c r="C20" s="38">
        <v>1070589259</v>
      </c>
      <c r="D20" s="12"/>
      <c r="E20" s="12"/>
      <c r="F20" s="40"/>
      <c r="G20" s="2">
        <v>400000</v>
      </c>
      <c r="H20" s="2">
        <f t="shared" si="0"/>
        <v>250000</v>
      </c>
      <c r="I20" s="2">
        <v>650000</v>
      </c>
      <c r="J20" s="2">
        <f t="shared" si="1"/>
        <v>605000</v>
      </c>
      <c r="K20" s="1" t="s">
        <v>29</v>
      </c>
    </row>
    <row r="21" spans="1:12" s="49" customFormat="1" ht="15" customHeight="1" x14ac:dyDescent="0.25">
      <c r="A21" s="1">
        <v>19</v>
      </c>
      <c r="B21" s="53" t="s">
        <v>59</v>
      </c>
      <c r="C21" s="38" t="s">
        <v>60</v>
      </c>
      <c r="D21" s="12"/>
      <c r="E21" s="12"/>
      <c r="F21" s="40"/>
      <c r="G21" s="2">
        <v>300000</v>
      </c>
      <c r="H21" s="2">
        <f t="shared" si="0"/>
        <v>350000</v>
      </c>
      <c r="I21" s="2">
        <v>650000</v>
      </c>
      <c r="J21" s="2">
        <f t="shared" si="1"/>
        <v>605000</v>
      </c>
      <c r="K21" s="1" t="s">
        <v>29</v>
      </c>
    </row>
    <row r="22" spans="1:12" s="49" customFormat="1" ht="15" customHeight="1" x14ac:dyDescent="0.25">
      <c r="A22" s="1">
        <v>20</v>
      </c>
      <c r="B22" s="53" t="s">
        <v>61</v>
      </c>
      <c r="C22" s="38">
        <v>11317430</v>
      </c>
      <c r="D22" s="12"/>
      <c r="E22" s="12"/>
      <c r="F22" s="40"/>
      <c r="G22" s="2"/>
      <c r="H22" s="2">
        <f t="shared" si="0"/>
        <v>650000</v>
      </c>
      <c r="I22" s="2">
        <v>650000</v>
      </c>
      <c r="J22" s="2">
        <f t="shared" si="1"/>
        <v>605000</v>
      </c>
      <c r="K22" s="1" t="s">
        <v>29</v>
      </c>
    </row>
    <row r="23" spans="1:12" s="49" customFormat="1" ht="15" customHeight="1" x14ac:dyDescent="0.25">
      <c r="A23" s="1">
        <v>21</v>
      </c>
      <c r="B23" s="57" t="s">
        <v>96</v>
      </c>
      <c r="C23" s="45">
        <v>19450941</v>
      </c>
      <c r="D23" s="12"/>
      <c r="E23" s="12"/>
      <c r="F23" s="40"/>
      <c r="G23" s="2"/>
      <c r="H23" s="2">
        <f t="shared" si="0"/>
        <v>650000</v>
      </c>
      <c r="I23" s="2">
        <v>650000</v>
      </c>
      <c r="J23" s="2">
        <f t="shared" si="1"/>
        <v>605000</v>
      </c>
      <c r="K23" s="54" t="s">
        <v>29</v>
      </c>
      <c r="L23" s="56" t="s">
        <v>94</v>
      </c>
    </row>
    <row r="24" spans="1:12" s="49" customFormat="1" ht="15" customHeight="1" x14ac:dyDescent="0.25">
      <c r="A24" s="1">
        <v>22</v>
      </c>
      <c r="B24" s="53" t="s">
        <v>62</v>
      </c>
      <c r="C24" s="38">
        <v>20872851</v>
      </c>
      <c r="D24" s="12"/>
      <c r="E24" s="12"/>
      <c r="F24" s="40"/>
      <c r="G24" s="2">
        <v>500000</v>
      </c>
      <c r="H24" s="2">
        <f t="shared" si="0"/>
        <v>150000</v>
      </c>
      <c r="I24" s="2">
        <v>650000</v>
      </c>
      <c r="J24" s="2">
        <f t="shared" si="1"/>
        <v>605000</v>
      </c>
      <c r="K24" s="1" t="s">
        <v>29</v>
      </c>
    </row>
    <row r="25" spans="1:12" s="74" customFormat="1" ht="15" customHeight="1" x14ac:dyDescent="0.25">
      <c r="A25" s="1">
        <v>23</v>
      </c>
      <c r="B25" s="53" t="s">
        <v>63</v>
      </c>
      <c r="C25" s="38"/>
      <c r="D25" s="38"/>
      <c r="E25" s="38"/>
      <c r="F25" s="40"/>
      <c r="G25" s="41"/>
      <c r="H25" s="41">
        <f t="shared" si="0"/>
        <v>650000</v>
      </c>
      <c r="I25" s="2">
        <v>650000</v>
      </c>
      <c r="J25" s="2">
        <f t="shared" si="1"/>
        <v>605000</v>
      </c>
      <c r="K25" s="40" t="s">
        <v>29</v>
      </c>
    </row>
    <row r="26" spans="1:12" s="42" customFormat="1" ht="15" customHeight="1" x14ac:dyDescent="0.25">
      <c r="A26" s="1">
        <v>24</v>
      </c>
      <c r="B26" s="43" t="s">
        <v>20</v>
      </c>
      <c r="C26" s="38">
        <v>11450718</v>
      </c>
      <c r="D26" s="38"/>
      <c r="E26" s="38"/>
      <c r="F26" s="39"/>
      <c r="G26" s="41"/>
      <c r="H26" s="41">
        <f t="shared" si="0"/>
        <v>650000</v>
      </c>
      <c r="I26" s="2">
        <v>650000</v>
      </c>
      <c r="J26" s="2">
        <f t="shared" si="1"/>
        <v>605000</v>
      </c>
      <c r="K26" s="40" t="s">
        <v>29</v>
      </c>
    </row>
    <row r="27" spans="1:12" s="42" customFormat="1" ht="15" customHeight="1" x14ac:dyDescent="0.25">
      <c r="A27" s="1">
        <v>25</v>
      </c>
      <c r="B27" s="43" t="s">
        <v>21</v>
      </c>
      <c r="C27" s="38">
        <v>1070584824</v>
      </c>
      <c r="D27" s="38"/>
      <c r="E27" s="38"/>
      <c r="F27" s="39"/>
      <c r="G27" s="41"/>
      <c r="H27" s="41">
        <f t="shared" si="0"/>
        <v>650000</v>
      </c>
      <c r="I27" s="2">
        <v>650000</v>
      </c>
      <c r="J27" s="2">
        <f t="shared" si="1"/>
        <v>605000</v>
      </c>
      <c r="K27" s="40" t="s">
        <v>29</v>
      </c>
    </row>
    <row r="28" spans="1:12" s="42" customFormat="1" ht="15" customHeight="1" x14ac:dyDescent="0.25">
      <c r="A28" s="1">
        <v>26</v>
      </c>
      <c r="B28" s="43" t="s">
        <v>64</v>
      </c>
      <c r="C28" s="38">
        <v>51583764</v>
      </c>
      <c r="D28" s="38"/>
      <c r="E28" s="38"/>
      <c r="F28" s="39"/>
      <c r="G28" s="41">
        <v>100000</v>
      </c>
      <c r="H28" s="41">
        <f t="shared" si="0"/>
        <v>550000</v>
      </c>
      <c r="I28" s="2">
        <v>650000</v>
      </c>
      <c r="J28" s="2">
        <f t="shared" si="1"/>
        <v>605000</v>
      </c>
      <c r="K28" s="40" t="s">
        <v>105</v>
      </c>
    </row>
    <row r="29" spans="1:12" s="42" customFormat="1" ht="15" customHeight="1" x14ac:dyDescent="0.25">
      <c r="A29" s="1">
        <v>27</v>
      </c>
      <c r="B29" s="43" t="s">
        <v>98</v>
      </c>
      <c r="C29" s="38">
        <v>52502797</v>
      </c>
      <c r="D29" s="38"/>
      <c r="E29" s="38"/>
      <c r="F29" s="39">
        <v>3214854061</v>
      </c>
      <c r="G29" s="41"/>
      <c r="H29" s="41">
        <f t="shared" si="0"/>
        <v>650000</v>
      </c>
      <c r="I29" s="2">
        <v>650000</v>
      </c>
      <c r="J29" s="2">
        <f t="shared" si="1"/>
        <v>605000</v>
      </c>
      <c r="K29" s="40" t="s">
        <v>65</v>
      </c>
    </row>
    <row r="30" spans="1:12" ht="15" customHeight="1" x14ac:dyDescent="0.25">
      <c r="A30" s="1">
        <v>28</v>
      </c>
      <c r="B30" s="31" t="s">
        <v>22</v>
      </c>
      <c r="C30" s="12">
        <v>65739648</v>
      </c>
      <c r="D30" s="12"/>
      <c r="E30" s="12"/>
      <c r="F30" s="31"/>
      <c r="G30" s="41">
        <v>100000</v>
      </c>
      <c r="H30" s="2">
        <f t="shared" si="0"/>
        <v>550000</v>
      </c>
      <c r="I30" s="2">
        <v>650000</v>
      </c>
      <c r="J30" s="2">
        <f t="shared" si="1"/>
        <v>605000</v>
      </c>
      <c r="K30" s="1" t="s">
        <v>27</v>
      </c>
    </row>
    <row r="31" spans="1:12" s="42" customFormat="1" ht="15" customHeight="1" x14ac:dyDescent="0.25">
      <c r="A31" s="1">
        <v>29</v>
      </c>
      <c r="B31" s="57" t="s">
        <v>97</v>
      </c>
      <c r="C31" s="45">
        <v>20871295</v>
      </c>
      <c r="D31" s="38"/>
      <c r="E31" s="38"/>
      <c r="F31" s="39"/>
      <c r="G31" s="41"/>
      <c r="H31" s="2">
        <f t="shared" si="0"/>
        <v>650000</v>
      </c>
      <c r="I31" s="2">
        <v>650000</v>
      </c>
      <c r="J31" s="2">
        <f t="shared" si="1"/>
        <v>605000</v>
      </c>
      <c r="K31" s="54" t="s">
        <v>27</v>
      </c>
      <c r="L31" s="55" t="s">
        <v>95</v>
      </c>
    </row>
    <row r="32" spans="1:12" s="42" customFormat="1" ht="15" customHeight="1" x14ac:dyDescent="0.25">
      <c r="A32" s="1">
        <v>30</v>
      </c>
      <c r="B32" s="43" t="s">
        <v>66</v>
      </c>
      <c r="C32" s="38">
        <v>41721165</v>
      </c>
      <c r="D32" s="38"/>
      <c r="E32" s="38"/>
      <c r="F32" s="39"/>
      <c r="G32" s="41"/>
      <c r="H32" s="2">
        <f t="shared" si="0"/>
        <v>650000</v>
      </c>
      <c r="I32" s="2">
        <v>650000</v>
      </c>
      <c r="J32" s="2">
        <f t="shared" si="1"/>
        <v>605000</v>
      </c>
      <c r="K32" s="40" t="s">
        <v>27</v>
      </c>
    </row>
    <row r="33" spans="1:11" s="42" customFormat="1" ht="15" customHeight="1" x14ac:dyDescent="0.25">
      <c r="A33" s="1">
        <v>31</v>
      </c>
      <c r="B33" s="43" t="s">
        <v>67</v>
      </c>
      <c r="C33" s="38">
        <v>20871845</v>
      </c>
      <c r="D33" s="38"/>
      <c r="E33" s="38"/>
      <c r="F33" s="39"/>
      <c r="G33" s="41">
        <v>100000</v>
      </c>
      <c r="H33" s="2">
        <f t="shared" si="0"/>
        <v>550000</v>
      </c>
      <c r="I33" s="2">
        <v>650000</v>
      </c>
      <c r="J33" s="2">
        <f t="shared" si="1"/>
        <v>605000</v>
      </c>
      <c r="K33" s="40" t="s">
        <v>27</v>
      </c>
    </row>
    <row r="34" spans="1:11" s="42" customFormat="1" ht="15" customHeight="1" x14ac:dyDescent="0.25">
      <c r="A34" s="1">
        <v>32</v>
      </c>
      <c r="B34" s="43" t="s">
        <v>101</v>
      </c>
      <c r="C34" s="38" t="s">
        <v>102</v>
      </c>
      <c r="D34" s="38"/>
      <c r="E34" s="38"/>
      <c r="F34" s="39"/>
      <c r="G34" s="41"/>
      <c r="H34" s="2">
        <f t="shared" si="0"/>
        <v>650000</v>
      </c>
      <c r="I34" s="2">
        <v>650000</v>
      </c>
      <c r="J34" s="2">
        <f t="shared" si="1"/>
        <v>605000</v>
      </c>
      <c r="K34" s="40" t="s">
        <v>105</v>
      </c>
    </row>
    <row r="35" spans="1:11" s="42" customFormat="1" ht="15" customHeight="1" x14ac:dyDescent="0.25">
      <c r="A35" s="1">
        <v>33</v>
      </c>
      <c r="B35" s="43" t="s">
        <v>69</v>
      </c>
      <c r="C35" s="38">
        <v>51661821</v>
      </c>
      <c r="D35" s="38"/>
      <c r="E35" s="38"/>
      <c r="F35" s="39"/>
      <c r="G35" s="41">
        <v>400000</v>
      </c>
      <c r="H35" s="2">
        <f t="shared" si="0"/>
        <v>250000</v>
      </c>
      <c r="I35" s="2">
        <v>650000</v>
      </c>
      <c r="J35" s="2">
        <f t="shared" si="1"/>
        <v>605000</v>
      </c>
      <c r="K35" s="40" t="s">
        <v>29</v>
      </c>
    </row>
    <row r="36" spans="1:11" s="42" customFormat="1" ht="15" customHeight="1" x14ac:dyDescent="0.25">
      <c r="A36" s="1">
        <v>34</v>
      </c>
      <c r="B36" s="43" t="s">
        <v>70</v>
      </c>
      <c r="C36" s="38">
        <v>3149195</v>
      </c>
      <c r="D36" s="38"/>
      <c r="E36" s="38"/>
      <c r="F36" s="39"/>
      <c r="G36" s="41"/>
      <c r="H36" s="2">
        <f t="shared" si="0"/>
        <v>650000</v>
      </c>
      <c r="I36" s="2">
        <v>650000</v>
      </c>
      <c r="J36" s="2">
        <f t="shared" si="1"/>
        <v>605000</v>
      </c>
      <c r="K36" s="40" t="s">
        <v>29</v>
      </c>
    </row>
    <row r="37" spans="1:11" s="42" customFormat="1" ht="15" customHeight="1" x14ac:dyDescent="0.25">
      <c r="A37" s="1">
        <v>35</v>
      </c>
      <c r="B37" s="43" t="s">
        <v>79</v>
      </c>
      <c r="C37" s="38">
        <v>1072963580</v>
      </c>
      <c r="D37" s="38"/>
      <c r="E37" s="38"/>
      <c r="F37" s="39"/>
      <c r="G37" s="41">
        <v>200000</v>
      </c>
      <c r="H37" s="2">
        <f t="shared" si="0"/>
        <v>450000</v>
      </c>
      <c r="I37" s="2">
        <v>650000</v>
      </c>
      <c r="J37" s="2">
        <f t="shared" si="1"/>
        <v>605000</v>
      </c>
      <c r="K37" s="1" t="s">
        <v>26</v>
      </c>
    </row>
    <row r="38" spans="1:11" s="49" customFormat="1" ht="15" customHeight="1" x14ac:dyDescent="0.25">
      <c r="A38" s="1">
        <v>36</v>
      </c>
      <c r="B38" s="53" t="s">
        <v>80</v>
      </c>
      <c r="C38" s="38">
        <v>1072962362</v>
      </c>
      <c r="D38" s="12"/>
      <c r="E38" s="12"/>
      <c r="F38" s="40"/>
      <c r="G38" s="2"/>
      <c r="H38" s="2">
        <f t="shared" si="0"/>
        <v>650000</v>
      </c>
      <c r="I38" s="2">
        <v>650000</v>
      </c>
      <c r="J38" s="2">
        <f t="shared" si="1"/>
        <v>605000</v>
      </c>
      <c r="K38" s="1" t="s">
        <v>26</v>
      </c>
    </row>
    <row r="39" spans="1:11" s="102" customFormat="1" ht="15" customHeight="1" x14ac:dyDescent="0.25">
      <c r="A39" s="97">
        <v>37</v>
      </c>
      <c r="B39" s="98" t="s">
        <v>81</v>
      </c>
      <c r="C39" s="99" t="s">
        <v>78</v>
      </c>
      <c r="D39" s="100"/>
      <c r="E39" s="100"/>
      <c r="F39" s="97" t="s">
        <v>83</v>
      </c>
      <c r="G39" s="101"/>
      <c r="H39" s="101">
        <v>40000</v>
      </c>
      <c r="I39" s="101">
        <v>40000</v>
      </c>
      <c r="J39" s="101"/>
      <c r="K39" s="97" t="s">
        <v>26</v>
      </c>
    </row>
    <row r="40" spans="1:11" s="49" customFormat="1" ht="15" customHeight="1" x14ac:dyDescent="0.25">
      <c r="A40" s="1">
        <v>38</v>
      </c>
      <c r="B40" s="1" t="s">
        <v>84</v>
      </c>
      <c r="C40" s="1" t="s">
        <v>85</v>
      </c>
      <c r="D40" s="38" t="s">
        <v>86</v>
      </c>
      <c r="E40" s="38">
        <f>2023-1960</f>
        <v>63</v>
      </c>
      <c r="F40" s="40"/>
      <c r="G40" s="2">
        <v>400000</v>
      </c>
      <c r="H40" s="2">
        <f t="shared" si="0"/>
        <v>250000</v>
      </c>
      <c r="I40" s="2">
        <v>650000</v>
      </c>
      <c r="J40" s="2">
        <f t="shared" si="1"/>
        <v>605000</v>
      </c>
      <c r="K40" s="1" t="s">
        <v>26</v>
      </c>
    </row>
    <row r="41" spans="1:11" s="49" customFormat="1" ht="15" customHeight="1" x14ac:dyDescent="0.25">
      <c r="A41" s="1">
        <v>39</v>
      </c>
      <c r="B41" s="72" t="s">
        <v>87</v>
      </c>
      <c r="C41" s="73">
        <v>52323528</v>
      </c>
      <c r="D41" s="38" t="s">
        <v>88</v>
      </c>
      <c r="E41" s="38">
        <f>2023-1976</f>
        <v>47</v>
      </c>
      <c r="F41" s="40"/>
      <c r="G41" s="2"/>
      <c r="H41" s="2">
        <f t="shared" si="0"/>
        <v>650000</v>
      </c>
      <c r="I41" s="2">
        <v>650000</v>
      </c>
      <c r="J41" s="2">
        <f t="shared" si="1"/>
        <v>605000</v>
      </c>
      <c r="K41" s="1" t="s">
        <v>26</v>
      </c>
    </row>
    <row r="42" spans="1:11" s="49" customFormat="1" ht="15" customHeight="1" x14ac:dyDescent="0.25">
      <c r="A42" s="1">
        <v>40</v>
      </c>
      <c r="B42" s="50" t="s">
        <v>89</v>
      </c>
      <c r="C42" s="12" t="s">
        <v>90</v>
      </c>
      <c r="D42" s="38" t="s">
        <v>91</v>
      </c>
      <c r="E42" s="38">
        <f>2023-2013</f>
        <v>10</v>
      </c>
      <c r="F42" s="51"/>
      <c r="G42" s="2"/>
      <c r="H42" s="2">
        <f t="shared" si="0"/>
        <v>650000</v>
      </c>
      <c r="I42" s="2">
        <v>650000</v>
      </c>
      <c r="J42" s="2">
        <f t="shared" si="1"/>
        <v>605000</v>
      </c>
      <c r="K42" s="1" t="s">
        <v>26</v>
      </c>
    </row>
    <row r="43" spans="1:11" s="49" customFormat="1" ht="15" customHeight="1" x14ac:dyDescent="0.25">
      <c r="A43" s="1">
        <v>41</v>
      </c>
      <c r="B43" s="44" t="s">
        <v>23</v>
      </c>
      <c r="C43" s="45">
        <v>79538678</v>
      </c>
      <c r="D43" s="45"/>
      <c r="E43" s="45"/>
      <c r="F43" s="46"/>
      <c r="G43" s="47"/>
      <c r="H43" s="47"/>
      <c r="I43" s="47"/>
      <c r="J43" s="2"/>
      <c r="K43" s="48" t="s">
        <v>5</v>
      </c>
    </row>
    <row r="44" spans="1:11" s="49" customFormat="1" ht="15" customHeight="1" x14ac:dyDescent="0.25">
      <c r="A44" s="1">
        <v>42</v>
      </c>
      <c r="B44" s="44" t="s">
        <v>24</v>
      </c>
      <c r="C44" s="45">
        <v>79656808</v>
      </c>
      <c r="D44" s="45" t="s">
        <v>72</v>
      </c>
      <c r="E44" s="45">
        <f>2023-1974</f>
        <v>49</v>
      </c>
      <c r="F44" s="48">
        <v>3108628246</v>
      </c>
      <c r="G44" s="47"/>
      <c r="H44" s="47"/>
      <c r="I44" s="47"/>
      <c r="J44" s="2"/>
      <c r="K44" s="48" t="s">
        <v>5</v>
      </c>
    </row>
    <row r="45" spans="1:11" s="49" customFormat="1" ht="15" customHeight="1" x14ac:dyDescent="0.25">
      <c r="A45" s="40">
        <v>43</v>
      </c>
      <c r="B45" s="44" t="s">
        <v>25</v>
      </c>
      <c r="C45" s="45">
        <v>1075628177</v>
      </c>
      <c r="D45" s="45" t="s">
        <v>71</v>
      </c>
      <c r="E45" s="45">
        <f>2023-1994</f>
        <v>29</v>
      </c>
      <c r="F45" s="48">
        <v>3134043843</v>
      </c>
      <c r="G45" s="47"/>
      <c r="H45" s="47"/>
      <c r="I45" s="47"/>
      <c r="J45" s="2"/>
      <c r="K45" s="48" t="s">
        <v>5</v>
      </c>
    </row>
    <row r="46" spans="1:11" ht="18.75" x14ac:dyDescent="0.3">
      <c r="A46" s="1"/>
      <c r="B46" s="1"/>
      <c r="C46" s="12"/>
      <c r="D46" s="12"/>
      <c r="E46" s="12"/>
      <c r="F46" s="4" t="s">
        <v>6</v>
      </c>
      <c r="G46" s="2">
        <f>SUM(G3:G45)</f>
        <v>4500000</v>
      </c>
      <c r="H46" s="5">
        <f>SUM(H3:H45)</f>
        <v>20890000</v>
      </c>
      <c r="I46" s="92">
        <f>SUM(I3:I45)</f>
        <v>25390000</v>
      </c>
      <c r="J46" s="92">
        <f>SUM(J3:J45)</f>
        <v>23595000</v>
      </c>
      <c r="K46" s="7"/>
    </row>
    <row r="47" spans="1:11" ht="19.5" thickBot="1" x14ac:dyDescent="0.35">
      <c r="A47" s="6"/>
      <c r="B47" s="8"/>
      <c r="C47" s="13"/>
      <c r="D47" s="13"/>
      <c r="E47" s="13"/>
      <c r="F47" s="9" t="s">
        <v>7</v>
      </c>
      <c r="G47" s="10"/>
      <c r="H47" s="10">
        <f>+H46+G46</f>
        <v>25390000</v>
      </c>
      <c r="I47" s="93"/>
      <c r="J47" s="93"/>
      <c r="K47" s="11"/>
    </row>
    <row r="49" spans="10:10" x14ac:dyDescent="0.25">
      <c r="J49" s="3">
        <f>J46+'COSTOS Y GASTOS '!H8</f>
        <v>25350000</v>
      </c>
    </row>
  </sheetData>
  <mergeCells count="1">
    <mergeCell ref="A1:K1"/>
  </mergeCells>
  <pageMargins left="0.70866141732283472" right="0.70866141732283472" top="0.74803149606299213" bottom="0.74803149606299213" header="0.31496062992125984" footer="0.31496062992125984"/>
  <pageSetup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5"/>
  <sheetViews>
    <sheetView topLeftCell="A10" zoomScale="90" zoomScaleNormal="90" workbookViewId="0">
      <selection sqref="A1:E45"/>
    </sheetView>
  </sheetViews>
  <sheetFormatPr baseColWidth="10" defaultRowHeight="15" x14ac:dyDescent="0.25"/>
  <cols>
    <col min="1" max="1" width="4.140625" style="37" bestFit="1" customWidth="1"/>
    <col min="2" max="2" width="39.7109375" customWidth="1"/>
    <col min="3" max="3" width="20" bestFit="1" customWidth="1"/>
    <col min="4" max="4" width="18" bestFit="1" customWidth="1"/>
    <col min="5" max="5" width="18" customWidth="1"/>
  </cols>
  <sheetData>
    <row r="1" spans="1:5" ht="26.25" x14ac:dyDescent="0.4">
      <c r="A1" s="78" t="s">
        <v>77</v>
      </c>
      <c r="B1" s="78"/>
      <c r="C1" s="78"/>
      <c r="D1" s="78"/>
      <c r="E1" s="78"/>
    </row>
    <row r="2" spans="1:5" ht="18.75" x14ac:dyDescent="0.3">
      <c r="A2" s="36" t="s">
        <v>16</v>
      </c>
      <c r="B2" s="33" t="s">
        <v>0</v>
      </c>
      <c r="C2" s="34" t="s">
        <v>1</v>
      </c>
      <c r="D2" s="32" t="s">
        <v>4</v>
      </c>
      <c r="E2" s="32" t="s">
        <v>19</v>
      </c>
    </row>
    <row r="3" spans="1:5" x14ac:dyDescent="0.25">
      <c r="A3" s="1">
        <v>1</v>
      </c>
      <c r="B3" s="50" t="s">
        <v>28</v>
      </c>
      <c r="C3" s="12">
        <v>28995338</v>
      </c>
      <c r="D3" s="31"/>
      <c r="E3" s="31"/>
    </row>
    <row r="4" spans="1:5" x14ac:dyDescent="0.25">
      <c r="A4" s="1">
        <v>2</v>
      </c>
      <c r="B4" s="50" t="s">
        <v>30</v>
      </c>
      <c r="C4" s="12">
        <v>20874813</v>
      </c>
      <c r="D4" s="31"/>
      <c r="E4" s="31"/>
    </row>
    <row r="5" spans="1:5" x14ac:dyDescent="0.25">
      <c r="A5" s="1">
        <v>3</v>
      </c>
      <c r="B5" s="50" t="s">
        <v>31</v>
      </c>
      <c r="C5" s="12">
        <v>11451326</v>
      </c>
      <c r="D5" s="31"/>
      <c r="E5" s="31"/>
    </row>
    <row r="6" spans="1:5" x14ac:dyDescent="0.25">
      <c r="A6" s="48">
        <v>4</v>
      </c>
      <c r="B6" s="57" t="s">
        <v>36</v>
      </c>
      <c r="C6" s="45">
        <v>39668968</v>
      </c>
      <c r="D6" s="46"/>
      <c r="E6" s="81" t="s">
        <v>73</v>
      </c>
    </row>
    <row r="7" spans="1:5" x14ac:dyDescent="0.25">
      <c r="A7" s="48">
        <v>5</v>
      </c>
      <c r="B7" s="57" t="s">
        <v>35</v>
      </c>
      <c r="C7" s="45" t="s">
        <v>37</v>
      </c>
      <c r="D7" s="46"/>
      <c r="E7" s="82"/>
    </row>
    <row r="8" spans="1:5" x14ac:dyDescent="0.25">
      <c r="A8" s="58">
        <v>6</v>
      </c>
      <c r="B8" s="59" t="s">
        <v>43</v>
      </c>
      <c r="C8" s="60">
        <v>21017485</v>
      </c>
      <c r="D8" s="64"/>
      <c r="E8" s="87" t="s">
        <v>74</v>
      </c>
    </row>
    <row r="9" spans="1:5" x14ac:dyDescent="0.25">
      <c r="A9" s="58">
        <v>7</v>
      </c>
      <c r="B9" s="59" t="s">
        <v>45</v>
      </c>
      <c r="C9" s="60">
        <v>21017346</v>
      </c>
      <c r="D9" s="64"/>
      <c r="E9" s="88"/>
    </row>
    <row r="10" spans="1:5" x14ac:dyDescent="0.25">
      <c r="A10" s="61">
        <v>8</v>
      </c>
      <c r="B10" s="62" t="s">
        <v>47</v>
      </c>
      <c r="C10" s="63">
        <v>80211311</v>
      </c>
      <c r="D10" s="65"/>
      <c r="E10" s="65" t="s">
        <v>75</v>
      </c>
    </row>
    <row r="11" spans="1:5" x14ac:dyDescent="0.25">
      <c r="A11" s="1">
        <v>9</v>
      </c>
      <c r="B11" s="75" t="s">
        <v>99</v>
      </c>
      <c r="C11" s="76">
        <v>65690154</v>
      </c>
      <c r="D11" s="31"/>
      <c r="E11" s="83"/>
    </row>
    <row r="12" spans="1:5" x14ac:dyDescent="0.25">
      <c r="A12" s="1">
        <v>10</v>
      </c>
      <c r="B12" s="75" t="s">
        <v>100</v>
      </c>
      <c r="C12" s="76">
        <v>4083012</v>
      </c>
      <c r="D12" s="31"/>
      <c r="E12" s="84"/>
    </row>
    <row r="13" spans="1:5" x14ac:dyDescent="0.25">
      <c r="A13" s="67">
        <v>11</v>
      </c>
      <c r="B13" s="68" t="s">
        <v>38</v>
      </c>
      <c r="C13" s="69">
        <v>52505200</v>
      </c>
      <c r="D13" s="70"/>
      <c r="E13" s="85" t="s">
        <v>73</v>
      </c>
    </row>
    <row r="14" spans="1:5" x14ac:dyDescent="0.25">
      <c r="A14" s="67">
        <v>12</v>
      </c>
      <c r="B14" s="68" t="s">
        <v>39</v>
      </c>
      <c r="C14" s="69">
        <v>80355465</v>
      </c>
      <c r="D14" s="70"/>
      <c r="E14" s="86"/>
    </row>
    <row r="15" spans="1:5" x14ac:dyDescent="0.25">
      <c r="A15" s="1">
        <v>13</v>
      </c>
      <c r="B15" s="53" t="s">
        <v>52</v>
      </c>
      <c r="C15" s="38">
        <v>20358259</v>
      </c>
      <c r="D15" s="31"/>
      <c r="E15" s="31"/>
    </row>
    <row r="16" spans="1:5" x14ac:dyDescent="0.25">
      <c r="A16" s="1">
        <v>14</v>
      </c>
      <c r="B16" s="53" t="s">
        <v>53</v>
      </c>
      <c r="C16" s="38" t="s">
        <v>54</v>
      </c>
      <c r="D16" s="31"/>
      <c r="E16" s="31"/>
    </row>
    <row r="17" spans="1:5" ht="30" x14ac:dyDescent="0.25">
      <c r="A17" s="1">
        <v>15</v>
      </c>
      <c r="B17" s="53" t="s">
        <v>55</v>
      </c>
      <c r="C17" s="38">
        <v>20358250</v>
      </c>
      <c r="D17" s="31"/>
      <c r="E17" s="31"/>
    </row>
    <row r="18" spans="1:5" x14ac:dyDescent="0.25">
      <c r="A18" s="1">
        <v>16</v>
      </c>
      <c r="B18" s="53" t="s">
        <v>56</v>
      </c>
      <c r="C18" s="38">
        <v>28994918</v>
      </c>
      <c r="D18" s="31"/>
      <c r="E18" s="31"/>
    </row>
    <row r="19" spans="1:5" x14ac:dyDescent="0.25">
      <c r="A19" s="1">
        <v>17</v>
      </c>
      <c r="B19" s="53" t="s">
        <v>57</v>
      </c>
      <c r="C19" s="38">
        <v>17097579</v>
      </c>
      <c r="D19" s="31"/>
      <c r="E19" s="31"/>
    </row>
    <row r="20" spans="1:5" x14ac:dyDescent="0.25">
      <c r="A20" s="1">
        <v>18</v>
      </c>
      <c r="B20" s="53" t="s">
        <v>58</v>
      </c>
      <c r="C20" s="38">
        <v>1070589259</v>
      </c>
      <c r="D20" s="31"/>
      <c r="E20" s="31"/>
    </row>
    <row r="21" spans="1:5" x14ac:dyDescent="0.25">
      <c r="A21" s="1">
        <v>19</v>
      </c>
      <c r="B21" s="53" t="s">
        <v>59</v>
      </c>
      <c r="C21" s="38" t="s">
        <v>60</v>
      </c>
      <c r="D21" s="31"/>
      <c r="E21" s="31"/>
    </row>
    <row r="22" spans="1:5" x14ac:dyDescent="0.25">
      <c r="A22" s="1">
        <v>20</v>
      </c>
      <c r="B22" s="53" t="s">
        <v>61</v>
      </c>
      <c r="C22" s="38">
        <v>11317430</v>
      </c>
      <c r="D22" s="31"/>
      <c r="E22" s="31"/>
    </row>
    <row r="23" spans="1:5" x14ac:dyDescent="0.25">
      <c r="A23" s="1">
        <v>21</v>
      </c>
      <c r="B23" s="57" t="s">
        <v>96</v>
      </c>
      <c r="C23" s="45">
        <v>19450941</v>
      </c>
      <c r="D23" s="46"/>
      <c r="E23" s="81"/>
    </row>
    <row r="24" spans="1:5" x14ac:dyDescent="0.25">
      <c r="A24" s="40">
        <v>29</v>
      </c>
      <c r="B24" s="57" t="s">
        <v>97</v>
      </c>
      <c r="C24" s="45">
        <v>20871295</v>
      </c>
      <c r="D24" s="46"/>
      <c r="E24" s="82"/>
    </row>
    <row r="25" spans="1:5" x14ac:dyDescent="0.25">
      <c r="A25" s="1">
        <v>22</v>
      </c>
      <c r="B25" s="53" t="s">
        <v>62</v>
      </c>
      <c r="C25" s="38">
        <v>20872851</v>
      </c>
      <c r="D25" s="31"/>
      <c r="E25" s="31"/>
    </row>
    <row r="26" spans="1:5" s="42" customFormat="1" x14ac:dyDescent="0.25">
      <c r="A26" s="40">
        <v>23</v>
      </c>
      <c r="B26" s="53" t="s">
        <v>63</v>
      </c>
      <c r="C26" s="38"/>
      <c r="D26" s="39"/>
      <c r="E26" s="39"/>
    </row>
    <row r="27" spans="1:5" x14ac:dyDescent="0.25">
      <c r="A27" s="40">
        <v>24</v>
      </c>
      <c r="B27" s="43" t="s">
        <v>20</v>
      </c>
      <c r="C27" s="38">
        <v>11450718</v>
      </c>
      <c r="D27" s="31"/>
      <c r="E27" s="31"/>
    </row>
    <row r="28" spans="1:5" x14ac:dyDescent="0.25">
      <c r="A28" s="40">
        <v>25</v>
      </c>
      <c r="B28" s="43" t="s">
        <v>21</v>
      </c>
      <c r="C28" s="38">
        <v>1070584824</v>
      </c>
      <c r="D28" s="31"/>
      <c r="E28" s="31"/>
    </row>
    <row r="29" spans="1:5" x14ac:dyDescent="0.25">
      <c r="A29" s="40">
        <v>26</v>
      </c>
      <c r="B29" s="43" t="s">
        <v>64</v>
      </c>
      <c r="C29" s="38">
        <v>51583764</v>
      </c>
      <c r="D29" s="31"/>
      <c r="E29" s="31"/>
    </row>
    <row r="30" spans="1:5" s="42" customFormat="1" x14ac:dyDescent="0.25">
      <c r="A30" s="40">
        <v>27</v>
      </c>
      <c r="B30" s="43" t="s">
        <v>98</v>
      </c>
      <c r="C30" s="38">
        <v>52502797</v>
      </c>
      <c r="D30" s="39"/>
      <c r="E30" s="39"/>
    </row>
    <row r="31" spans="1:5" x14ac:dyDescent="0.25">
      <c r="A31" s="1">
        <v>28</v>
      </c>
      <c r="B31" s="31" t="s">
        <v>22</v>
      </c>
      <c r="C31" s="12">
        <v>65739648</v>
      </c>
      <c r="D31" s="31"/>
      <c r="E31" s="31"/>
    </row>
    <row r="32" spans="1:5" x14ac:dyDescent="0.25">
      <c r="A32" s="40">
        <v>30</v>
      </c>
      <c r="B32" s="43" t="s">
        <v>66</v>
      </c>
      <c r="C32" s="38">
        <v>41721165</v>
      </c>
      <c r="D32" s="31"/>
      <c r="E32" s="31"/>
    </row>
    <row r="33" spans="1:5" x14ac:dyDescent="0.25">
      <c r="A33" s="40">
        <v>31</v>
      </c>
      <c r="B33" s="43" t="s">
        <v>67</v>
      </c>
      <c r="C33" s="38">
        <v>20871845</v>
      </c>
      <c r="D33" s="31"/>
      <c r="E33" s="31"/>
    </row>
    <row r="34" spans="1:5" x14ac:dyDescent="0.25">
      <c r="A34" s="1">
        <v>32</v>
      </c>
      <c r="B34" s="43" t="s">
        <v>101</v>
      </c>
      <c r="C34" s="38" t="s">
        <v>102</v>
      </c>
      <c r="D34" s="31"/>
      <c r="E34" s="31"/>
    </row>
    <row r="35" spans="1:5" x14ac:dyDescent="0.25">
      <c r="A35" s="40">
        <v>33</v>
      </c>
      <c r="B35" s="43" t="s">
        <v>69</v>
      </c>
      <c r="C35" s="38">
        <v>51661821</v>
      </c>
      <c r="D35" s="31"/>
      <c r="E35" s="31"/>
    </row>
    <row r="36" spans="1:5" x14ac:dyDescent="0.25">
      <c r="A36" s="40">
        <v>34</v>
      </c>
      <c r="B36" s="43" t="s">
        <v>70</v>
      </c>
      <c r="C36" s="38">
        <v>3149195</v>
      </c>
      <c r="D36" s="31"/>
      <c r="E36" s="31"/>
    </row>
    <row r="37" spans="1:5" x14ac:dyDescent="0.25">
      <c r="A37" s="40">
        <v>35</v>
      </c>
      <c r="B37" s="43" t="s">
        <v>79</v>
      </c>
      <c r="C37" s="38">
        <v>1072963580</v>
      </c>
      <c r="D37" s="31"/>
      <c r="E37" s="31"/>
    </row>
    <row r="38" spans="1:5" x14ac:dyDescent="0.25">
      <c r="A38" s="1">
        <v>36</v>
      </c>
      <c r="B38" s="53" t="s">
        <v>80</v>
      </c>
      <c r="C38" s="38">
        <v>1072962362</v>
      </c>
      <c r="D38" s="31"/>
      <c r="E38" s="31"/>
    </row>
    <row r="39" spans="1:5" x14ac:dyDescent="0.25">
      <c r="A39" s="1"/>
      <c r="B39" s="53" t="s">
        <v>81</v>
      </c>
      <c r="C39" s="71" t="s">
        <v>78</v>
      </c>
      <c r="D39" s="31"/>
      <c r="E39" s="31"/>
    </row>
    <row r="40" spans="1:5" x14ac:dyDescent="0.25">
      <c r="A40" s="40">
        <v>37</v>
      </c>
      <c r="B40" s="1" t="s">
        <v>84</v>
      </c>
      <c r="C40" s="1" t="s">
        <v>85</v>
      </c>
      <c r="D40" s="31"/>
      <c r="E40" s="31"/>
    </row>
    <row r="41" spans="1:5" x14ac:dyDescent="0.25">
      <c r="A41" s="40">
        <v>38</v>
      </c>
      <c r="B41" s="72" t="s">
        <v>87</v>
      </c>
      <c r="C41" s="73">
        <v>52323528</v>
      </c>
      <c r="D41" s="31"/>
      <c r="E41" s="31"/>
    </row>
    <row r="42" spans="1:5" x14ac:dyDescent="0.25">
      <c r="A42" s="40">
        <v>39</v>
      </c>
      <c r="B42" s="50" t="s">
        <v>89</v>
      </c>
      <c r="C42" s="12" t="s">
        <v>90</v>
      </c>
      <c r="D42" s="31"/>
      <c r="E42" s="31"/>
    </row>
    <row r="43" spans="1:5" s="42" customFormat="1" x14ac:dyDescent="0.25">
      <c r="A43" s="40">
        <v>40</v>
      </c>
      <c r="B43" s="43" t="s">
        <v>23</v>
      </c>
      <c r="C43" s="38">
        <v>79538678</v>
      </c>
      <c r="D43" s="39"/>
      <c r="E43" s="39"/>
    </row>
    <row r="44" spans="1:5" x14ac:dyDescent="0.25">
      <c r="A44" s="61">
        <v>41</v>
      </c>
      <c r="B44" s="66" t="s">
        <v>24</v>
      </c>
      <c r="C44" s="63">
        <v>79656808</v>
      </c>
      <c r="D44" s="65"/>
      <c r="E44" s="79" t="s">
        <v>76</v>
      </c>
    </row>
    <row r="45" spans="1:5" x14ac:dyDescent="0.25">
      <c r="A45" s="61">
        <v>42</v>
      </c>
      <c r="B45" s="66" t="s">
        <v>25</v>
      </c>
      <c r="C45" s="63">
        <v>1075628177</v>
      </c>
      <c r="D45" s="65"/>
      <c r="E45" s="80"/>
    </row>
  </sheetData>
  <mergeCells count="7">
    <mergeCell ref="A1:E1"/>
    <mergeCell ref="E44:E45"/>
    <mergeCell ref="E23:E24"/>
    <mergeCell ref="E11:E12"/>
    <mergeCell ref="E13:E14"/>
    <mergeCell ref="E6:E7"/>
    <mergeCell ref="E8:E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9"/>
  <sheetViews>
    <sheetView tabSelected="1" zoomScale="54" workbookViewId="0">
      <selection activeCell="F4" sqref="F4"/>
    </sheetView>
  </sheetViews>
  <sheetFormatPr baseColWidth="10" defaultRowHeight="15" x14ac:dyDescent="0.25"/>
  <cols>
    <col min="2" max="2" width="69.140625" bestFit="1" customWidth="1"/>
    <col min="3" max="3" width="31.42578125" customWidth="1"/>
    <col min="4" max="4" width="13.85546875" bestFit="1" customWidth="1"/>
    <col min="6" max="6" width="21.140625" bestFit="1" customWidth="1"/>
    <col min="8" max="8" width="16" bestFit="1" customWidth="1"/>
    <col min="10" max="10" width="18" bestFit="1" customWidth="1"/>
    <col min="11" max="11" width="17.140625" bestFit="1" customWidth="1"/>
  </cols>
  <sheetData>
    <row r="2" spans="2:8" ht="21" x14ac:dyDescent="0.35">
      <c r="B2" s="89" t="s">
        <v>9</v>
      </c>
      <c r="C2" s="89"/>
      <c r="D2" s="16"/>
      <c r="E2" s="16"/>
      <c r="F2" s="90" t="s">
        <v>10</v>
      </c>
      <c r="G2" s="91"/>
      <c r="H2" s="19">
        <v>45000</v>
      </c>
    </row>
    <row r="3" spans="2:8" ht="21" x14ac:dyDescent="0.35">
      <c r="B3" s="17" t="s">
        <v>11</v>
      </c>
      <c r="C3" s="103">
        <v>4800000</v>
      </c>
      <c r="D3" s="16"/>
      <c r="E3" s="16"/>
      <c r="F3" s="17" t="s">
        <v>27</v>
      </c>
      <c r="G3" s="21">
        <v>6</v>
      </c>
      <c r="H3" s="22">
        <f>+G3*$H$2</f>
        <v>270000</v>
      </c>
    </row>
    <row r="4" spans="2:8" ht="21" x14ac:dyDescent="0.35">
      <c r="B4" s="17" t="s">
        <v>12</v>
      </c>
      <c r="C4" s="103">
        <v>220000</v>
      </c>
      <c r="D4" s="16"/>
      <c r="E4" s="16"/>
      <c r="F4" s="17" t="s">
        <v>26</v>
      </c>
      <c r="G4" s="21">
        <v>5</v>
      </c>
      <c r="H4" s="22">
        <f>+G4*$H$2</f>
        <v>225000</v>
      </c>
    </row>
    <row r="5" spans="2:8" ht="21" x14ac:dyDescent="0.35">
      <c r="B5" s="17" t="s">
        <v>106</v>
      </c>
      <c r="C5" s="103">
        <v>10250000</v>
      </c>
      <c r="D5" s="23"/>
      <c r="E5" s="16"/>
      <c r="F5" s="17" t="s">
        <v>93</v>
      </c>
      <c r="G5" s="21">
        <v>21</v>
      </c>
      <c r="H5" s="22">
        <f>G5*H2</f>
        <v>945000</v>
      </c>
    </row>
    <row r="6" spans="2:8" ht="21" x14ac:dyDescent="0.35">
      <c r="B6" s="17" t="s">
        <v>107</v>
      </c>
      <c r="C6" s="103">
        <v>6150000</v>
      </c>
      <c r="D6" s="16"/>
      <c r="E6" s="16"/>
      <c r="F6" s="17" t="s">
        <v>92</v>
      </c>
      <c r="G6" s="21">
        <v>7</v>
      </c>
      <c r="H6" s="22">
        <f>+G6*$H$2</f>
        <v>315000</v>
      </c>
    </row>
    <row r="7" spans="2:8" ht="21" x14ac:dyDescent="0.35">
      <c r="B7" s="17" t="s">
        <v>108</v>
      </c>
      <c r="C7" s="103">
        <v>120000</v>
      </c>
      <c r="D7" s="16"/>
      <c r="E7" s="16"/>
      <c r="F7" s="17" t="s">
        <v>13</v>
      </c>
      <c r="G7" s="21">
        <v>0</v>
      </c>
      <c r="H7" s="22">
        <f>+G7*$H$2</f>
        <v>0</v>
      </c>
    </row>
    <row r="8" spans="2:8" ht="21" x14ac:dyDescent="0.35">
      <c r="B8" s="17" t="s">
        <v>109</v>
      </c>
      <c r="C8" s="103">
        <v>80000</v>
      </c>
      <c r="D8" s="16"/>
      <c r="E8" s="16"/>
      <c r="F8" s="94" t="s">
        <v>13</v>
      </c>
      <c r="G8" s="95">
        <f>SUM(G3:G7)</f>
        <v>39</v>
      </c>
      <c r="H8" s="22">
        <f>SUM(H3:H7)</f>
        <v>1755000</v>
      </c>
    </row>
    <row r="9" spans="2:8" ht="21" x14ac:dyDescent="0.35">
      <c r="B9" s="17" t="s">
        <v>10</v>
      </c>
      <c r="C9" s="20">
        <f>+H8</f>
        <v>1755000</v>
      </c>
      <c r="D9" s="16"/>
      <c r="E9" s="16"/>
      <c r="F9" s="24"/>
      <c r="G9" s="25"/>
      <c r="H9" s="26"/>
    </row>
    <row r="10" spans="2:8" ht="21" x14ac:dyDescent="0.35">
      <c r="B10" s="17" t="s">
        <v>13</v>
      </c>
      <c r="C10" s="20">
        <f>SUM(C3:C9)</f>
        <v>23375000</v>
      </c>
      <c r="D10" s="16"/>
      <c r="E10" s="16"/>
      <c r="F10" s="24"/>
      <c r="G10" s="25"/>
      <c r="H10" s="26"/>
    </row>
    <row r="11" spans="2:8" ht="21" x14ac:dyDescent="0.35">
      <c r="B11" s="16"/>
      <c r="C11" s="28"/>
      <c r="D11" s="16"/>
      <c r="E11" s="16"/>
      <c r="F11" s="16"/>
      <c r="G11" s="27"/>
      <c r="H11" s="16"/>
    </row>
    <row r="12" spans="2:8" ht="21" x14ac:dyDescent="0.35">
      <c r="B12" s="17" t="s">
        <v>14</v>
      </c>
      <c r="C12" s="20">
        <f>'BUS Y SALDOS '!I46</f>
        <v>25390000</v>
      </c>
      <c r="D12" s="16"/>
      <c r="E12" s="17">
        <v>40</v>
      </c>
      <c r="F12" s="17" t="s">
        <v>17</v>
      </c>
      <c r="G12" s="27"/>
      <c r="H12" s="16"/>
    </row>
    <row r="13" spans="2:8" ht="21" x14ac:dyDescent="0.35">
      <c r="B13" s="17" t="s">
        <v>15</v>
      </c>
      <c r="C13" s="96">
        <f>+C12-C10</f>
        <v>2015000</v>
      </c>
      <c r="D13" s="16"/>
      <c r="E13" s="17">
        <v>3</v>
      </c>
      <c r="F13" s="17" t="s">
        <v>18</v>
      </c>
      <c r="G13" s="27"/>
      <c r="H13" s="29"/>
    </row>
    <row r="14" spans="2:8" ht="21" x14ac:dyDescent="0.35">
      <c r="B14" s="16"/>
      <c r="C14" s="28"/>
      <c r="D14" s="16"/>
      <c r="E14" s="17">
        <f>+E12+E13</f>
        <v>43</v>
      </c>
      <c r="F14" s="17" t="s">
        <v>13</v>
      </c>
      <c r="G14" s="27"/>
      <c r="H14" s="16"/>
    </row>
    <row r="15" spans="2:8" ht="21" x14ac:dyDescent="0.35">
      <c r="D15" s="3"/>
      <c r="G15" s="18"/>
      <c r="H15" s="16"/>
    </row>
    <row r="16" spans="2:8" x14ac:dyDescent="0.25">
      <c r="G16" s="18"/>
    </row>
    <row r="17" spans="3:7" x14ac:dyDescent="0.25">
      <c r="C17" s="30"/>
      <c r="G17" s="18"/>
    </row>
    <row r="18" spans="3:7" x14ac:dyDescent="0.25">
      <c r="G18" s="18"/>
    </row>
    <row r="19" spans="3:7" x14ac:dyDescent="0.25">
      <c r="C19" s="30"/>
      <c r="G19" s="18"/>
    </row>
  </sheetData>
  <mergeCells count="2">
    <mergeCell ref="B2:C2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BUS Y SALDOS </vt:lpstr>
      <vt:lpstr>ACOMODACION  HOTEL</vt:lpstr>
      <vt:lpstr>COSTOS Y GASTOS 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DANIELA STEFANI  CRUZ MORENO</cp:lastModifiedBy>
  <cp:lastPrinted>2023-01-16T23:55:30Z</cp:lastPrinted>
  <dcterms:created xsi:type="dcterms:W3CDTF">2022-06-14T21:13:15Z</dcterms:created>
  <dcterms:modified xsi:type="dcterms:W3CDTF">2023-11-20T17:29:33Z</dcterms:modified>
</cp:coreProperties>
</file>