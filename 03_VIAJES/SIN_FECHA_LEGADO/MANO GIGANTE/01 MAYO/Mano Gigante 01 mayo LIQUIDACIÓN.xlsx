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ANO GIGANTE\01 MAYO\"/>
    </mc:Choice>
  </mc:AlternateContent>
  <xr:revisionPtr revIDLastSave="0" documentId="8_{CA2B160D-8FC5-4EFA-A67C-9B58B81657FE}" xr6:coauthVersionLast="47" xr6:coauthVersionMax="47" xr10:uidLastSave="{00000000-0000-0000-0000-000000000000}"/>
  <bookViews>
    <workbookView xWindow="-120" yWindow="-120" windowWidth="20730" windowHeight="11160" xr2:uid="{4BC76612-E0F3-4CF8-9DBD-F7A8AA131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1" l="1"/>
  <c r="P27" i="1"/>
  <c r="P2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7" i="1"/>
  <c r="M28" i="1"/>
  <c r="M29" i="1"/>
  <c r="M32" i="1"/>
  <c r="M33" i="1"/>
  <c r="M34" i="1"/>
  <c r="M35" i="1"/>
  <c r="M37" i="1"/>
  <c r="M38" i="1"/>
  <c r="M39" i="1"/>
  <c r="M40" i="1"/>
  <c r="M41" i="1"/>
  <c r="M42" i="1"/>
  <c r="L43" i="1"/>
  <c r="R17" i="1"/>
  <c r="R11" i="1"/>
  <c r="R12" i="1"/>
  <c r="R13" i="1"/>
  <c r="R14" i="1"/>
  <c r="R15" i="1"/>
  <c r="R10" i="1"/>
  <c r="P17" i="1"/>
  <c r="M43" i="1" l="1"/>
  <c r="M44" i="1" s="1"/>
</calcChain>
</file>

<file path=xl/sharedStrings.xml><?xml version="1.0" encoding="utf-8"?>
<sst xmlns="http://schemas.openxmlformats.org/spreadsheetml/2006/main" count="256" uniqueCount="99">
  <si>
    <t>N°</t>
  </si>
  <si>
    <t>NOMBRE</t>
  </si>
  <si>
    <t>Cristian Camilo Bernal</t>
  </si>
  <si>
    <t>T.D</t>
  </si>
  <si>
    <t>N.D</t>
  </si>
  <si>
    <t>F.N</t>
  </si>
  <si>
    <t>MUNICIPIO</t>
  </si>
  <si>
    <t>TELEFONO</t>
  </si>
  <si>
    <t>COMISONISTAS</t>
  </si>
  <si>
    <t>ABONO</t>
  </si>
  <si>
    <t>VALOR</t>
  </si>
  <si>
    <t>COMISIÓN</t>
  </si>
  <si>
    <t>TETE</t>
  </si>
  <si>
    <t>LAD</t>
  </si>
  <si>
    <t>""</t>
  </si>
  <si>
    <t>Yenny sanchez</t>
  </si>
  <si>
    <t>C.C</t>
  </si>
  <si>
    <t>ANAPOIMA</t>
  </si>
  <si>
    <t>Sandra Patricia Lopez Torres</t>
  </si>
  <si>
    <t>HULANDAS</t>
  </si>
  <si>
    <t>Maria Erminia Torres Montalbo</t>
  </si>
  <si>
    <t>María Lilia  Sarmiento Guzmán</t>
  </si>
  <si>
    <t xml:space="preserve">Laura Cristina Lopez Torres </t>
  </si>
  <si>
    <t xml:space="preserve">Ana Edilma Yate torres </t>
  </si>
  <si>
    <t>Osfari Giraldo</t>
  </si>
  <si>
    <t>APULO</t>
  </si>
  <si>
    <t>TOCAIMA</t>
  </si>
  <si>
    <t xml:space="preserve"> Martha Liliana Medina moya</t>
  </si>
  <si>
    <t>Diciembre 1-1975</t>
  </si>
  <si>
    <t>Silvia Esther sandoval torres</t>
  </si>
  <si>
    <t xml:space="preserve">Juan Pablo yate torres </t>
  </si>
  <si>
    <t>Noviembre 04 1972</t>
  </si>
  <si>
    <t>Angela Patricia  Bernal Sanchez</t>
  </si>
  <si>
    <t>Elias Manrique Lemus</t>
  </si>
  <si>
    <t>ALEJA</t>
  </si>
  <si>
    <t xml:space="preserve">Eliana Patricia Manrique Bernal </t>
  </si>
  <si>
    <t>Danny Santiago Herrera Moreno</t>
  </si>
  <si>
    <t>Antonia Herrera Arias</t>
  </si>
  <si>
    <t>T.I</t>
  </si>
  <si>
    <t xml:space="preserve"> Danna Lucia Herrera Manrique</t>
  </si>
  <si>
    <t>R.C</t>
  </si>
  <si>
    <t>DIANA BASTIDAS</t>
  </si>
  <si>
    <t xml:space="preserve">Jose Yuri Duarte Molina </t>
  </si>
  <si>
    <t>Fabián Camargo Castañeda</t>
  </si>
  <si>
    <t>Maria Inés Castañeda padua</t>
  </si>
  <si>
    <t>Empresa</t>
  </si>
  <si>
    <t>Jeimy Rocio Bohorquez Lopez</t>
  </si>
  <si>
    <t>Ghiner Lilian Cantor Suárez</t>
  </si>
  <si>
    <t>Sandro Alberto Angel Acosta</t>
  </si>
  <si>
    <t xml:space="preserve">Carlos Andres Hernandez Montero </t>
  </si>
  <si>
    <t>Joel Alexander Quintero Sumoza</t>
  </si>
  <si>
    <t>PPT. N</t>
  </si>
  <si>
    <t>Julia sanchez montaño</t>
  </si>
  <si>
    <t xml:space="preserve">Ginna Paola guerrero Rubiano </t>
  </si>
  <si>
    <t xml:space="preserve">Ian David Romero Guerrero </t>
  </si>
  <si>
    <t>Samuel David Romero Guerrero</t>
  </si>
  <si>
    <t>MAFE</t>
  </si>
  <si>
    <t>MENÚ</t>
  </si>
  <si>
    <t>FIAMBRE</t>
  </si>
  <si>
    <t>ARROZ DE LA MONTAÑA</t>
  </si>
  <si>
    <t>Carmen Yate Torres</t>
  </si>
  <si>
    <t>edith</t>
  </si>
  <si>
    <t>Diego Alexander Cantor Isaza.</t>
  </si>
  <si>
    <t xml:space="preserve">  Elvira Bernal</t>
  </si>
  <si>
    <t>Marzo 28 de 1987</t>
  </si>
  <si>
    <t>edtih</t>
  </si>
  <si>
    <t xml:space="preserve">Maria Lopez </t>
  </si>
  <si>
    <t>total</t>
  </si>
  <si>
    <t>Daniela Ríos Chávez</t>
  </si>
  <si>
    <t>Jhon Jairo Barreto Ospitia</t>
  </si>
  <si>
    <t>Daniela Stefani Cruz Moreno</t>
  </si>
  <si>
    <t xml:space="preserve">Luis Duarte </t>
  </si>
  <si>
    <t>lesión de columna</t>
  </si>
  <si>
    <t xml:space="preserve">puesto alfrente </t>
  </si>
  <si>
    <t xml:space="preserve">Luis Hernando Romero Vazques </t>
  </si>
  <si>
    <t>Luisa Fernanda Romero Sosa</t>
  </si>
  <si>
    <t>311 508 5301</t>
  </si>
  <si>
    <t>322 212 6010</t>
  </si>
  <si>
    <t>311 829 9131</t>
  </si>
  <si>
    <t>321 254 3066</t>
  </si>
  <si>
    <t>316 485 8463</t>
  </si>
  <si>
    <t>301 744 0615</t>
  </si>
  <si>
    <t>320 897 6102</t>
  </si>
  <si>
    <t>322 405 4491</t>
  </si>
  <si>
    <t>310 309 1852</t>
  </si>
  <si>
    <t>COMISIONISTAS</t>
  </si>
  <si>
    <t>EDITH</t>
  </si>
  <si>
    <t>DIANA B</t>
  </si>
  <si>
    <t>CANTIDAD</t>
  </si>
  <si>
    <t>TOTAL</t>
  </si>
  <si>
    <t>EMPRESA</t>
  </si>
  <si>
    <t>TRANSPORTE</t>
  </si>
  <si>
    <t>INGRESO A TERMALES DE RIVERA</t>
  </si>
  <si>
    <t xml:space="preserve">SEGURO </t>
  </si>
  <si>
    <t>INGRESO A MANO GIGANTE + TRANSPORTE + ALMUERZO</t>
  </si>
  <si>
    <t>INGRESOS</t>
  </si>
  <si>
    <t>UTILIDAD</t>
  </si>
  <si>
    <t xml:space="preserve">COSTOS Y GASTOS </t>
  </si>
  <si>
    <t>GASTOS DE REPRESENTACIÓN (DESAYUNOS)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</si>
</sst>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/>
    <xf numFmtId="15" fontId="0" fillId="0" borderId="0" xfId="0" applyNumberFormat="1"/>
    <xf numFmtId="44" fontId="0" fillId="0" borderId="0" xfId="1" applyFont="1"/>
    <xf numFmtId="3" fontId="0" fillId="2" borderId="0" xfId="0" applyNumberFormat="1" applyFill="1"/>
    <xf numFmtId="44" fontId="0" fillId="2" borderId="0" xfId="1" applyFont="1" applyFill="1"/>
    <xf numFmtId="14" fontId="0" fillId="0" borderId="0" xfId="0" applyNumberFormat="1"/>
    <xf numFmtId="14" fontId="0" fillId="2" borderId="0" xfId="0" applyNumberFormat="1" applyFill="1"/>
    <xf numFmtId="15" fontId="0" fillId="0" borderId="0" xfId="0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1" xfId="0" applyBorder="1"/>
    <xf numFmtId="44" fontId="0" fillId="0" borderId="0" xfId="1" applyFont="1" applyAlignment="1">
      <alignment horizontal="center"/>
    </xf>
    <xf numFmtId="44" fontId="0" fillId="0" borderId="1" xfId="1" applyFont="1" applyBorder="1"/>
    <xf numFmtId="44" fontId="0" fillId="0" borderId="0" xfId="1" applyFont="1" applyFill="1"/>
    <xf numFmtId="42" fontId="0" fillId="0" borderId="0" xfId="2" applyFont="1" applyAlignment="1">
      <alignment horizontal="center"/>
    </xf>
    <xf numFmtId="42" fontId="0" fillId="0" borderId="0" xfId="2" applyFont="1"/>
    <xf numFmtId="42" fontId="0" fillId="2" borderId="0" xfId="2" applyFont="1" applyFill="1"/>
    <xf numFmtId="42" fontId="2" fillId="0" borderId="0" xfId="2" applyFont="1"/>
    <xf numFmtId="42" fontId="0" fillId="0" borderId="0" xfId="0" applyNumberFormat="1"/>
    <xf numFmtId="42" fontId="0" fillId="2" borderId="0" xfId="0" applyNumberFormat="1" applyFill="1"/>
    <xf numFmtId="42" fontId="0" fillId="4" borderId="0" xfId="0" applyNumberFormat="1" applyFill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42" fontId="0" fillId="0" borderId="1" xfId="2" applyFont="1" applyBorder="1"/>
    <xf numFmtId="42" fontId="0" fillId="0" borderId="1" xfId="2" applyFont="1" applyBorder="1" applyAlignment="1">
      <alignment horizontal="center"/>
    </xf>
    <xf numFmtId="42" fontId="0" fillId="0" borderId="3" xfId="0" applyNumberFormat="1" applyFill="1" applyBorder="1"/>
    <xf numFmtId="42" fontId="0" fillId="0" borderId="4" xfId="0" applyNumberFormat="1" applyFill="1" applyBorder="1"/>
    <xf numFmtId="42" fontId="0" fillId="0" borderId="2" xfId="2" applyFont="1" applyBorder="1"/>
    <xf numFmtId="42" fontId="0" fillId="0" borderId="4" xfId="2" applyFont="1" applyBorder="1"/>
    <xf numFmtId="0" fontId="0" fillId="0" borderId="2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5" borderId="4" xfId="0" applyFill="1" applyBorder="1"/>
    <xf numFmtId="0" fontId="0" fillId="2" borderId="4" xfId="0" applyFill="1" applyBorder="1"/>
    <xf numFmtId="0" fontId="0" fillId="4" borderId="3" xfId="0" applyFill="1" applyBorder="1"/>
  </cellXfs>
  <cellStyles count="3">
    <cellStyle name="Moneda" xfId="1" builtinId="4"/>
    <cellStyle name="Moneda [0]" xfId="2" builtinId="7"/>
    <cellStyle name="Normal" xfId="0" builtinId="0"/>
  </cellStyles>
  <dxfs count="9"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2" formatCode="_-&quot;$&quot;\ * #,##0_-;\-&quot;$&quot;\ * #,##0_-;_-&quot;$&quot;\ * &quot;-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5D859-7DA3-4F60-A9BB-B4EDDA38B4B3}" name="Tabla1" displayName="Tabla1" ref="B3:M44" totalsRowCount="1" headerRowDxfId="8">
  <autoFilter ref="B3:M43" xr:uid="{7325D859-7DA3-4F60-A9BB-B4EDDA38B4B3}"/>
  <tableColumns count="12">
    <tableColumn id="1" xr3:uid="{FD673FE4-49BD-4A2A-8EA2-BFCAB630DF53}" name="N°" dataDxfId="7" totalsRowDxfId="4"/>
    <tableColumn id="2" xr3:uid="{EFF253DC-88C2-440B-BE6F-3AE4C265D2DF}" name="NOMBRE"/>
    <tableColumn id="3" xr3:uid="{39A87F8A-E22B-498E-8DA9-9AEFACFC4D37}" name="T.D"/>
    <tableColumn id="4" xr3:uid="{6C568EDE-6FF5-44B0-9F55-9FF87E38E2E3}" name="N.D"/>
    <tableColumn id="5" xr3:uid="{5D7C9364-A250-4ECD-AFB0-FB2EA0BA7B75}" name="F.N"/>
    <tableColumn id="12" xr3:uid="{E4F40542-772D-448E-B290-4B40C7D9B07C}" name="MENÚ" dataDxfId="6" totalsRowDxfId="3"/>
    <tableColumn id="6" xr3:uid="{D86BD529-E15C-4606-826E-2AA9D20A569F}" name="TELEFONO"/>
    <tableColumn id="7" xr3:uid="{D364B96B-1B5D-48F8-8B77-F2F5A277F616}" name="MUNICIPIO"/>
    <tableColumn id="8" xr3:uid="{EA1F7A80-0AC8-4891-A970-F449B4D5530A}" name="COMISONISTAS"/>
    <tableColumn id="9" xr3:uid="{3B3158D8-5C23-4B94-A8A7-0F42A133418D}" name="ABONO" totalsRowDxfId="2" dataCellStyle="Moneda" totalsRowCellStyle="Moneda"/>
    <tableColumn id="10" xr3:uid="{3A8735E1-3BC4-40F7-BC0D-CFAF39509359}" name="VALOR" totalsRowDxfId="1" dataCellStyle="Moneda [0]" totalsRowCellStyle="Moneda [0]"/>
    <tableColumn id="11" xr3:uid="{1619688A-FD9E-4E25-BF60-789B8E85E441}" name="COMISIÓN" totalsRowFunction="custom" dataDxfId="5" totalsRowDxfId="0">
      <calculatedColumnFormula>Tabla1[[#This Row],[VALOR]]-15000</calculatedColumnFormula>
      <totalsRowFormula>M43+R17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7F7B-6960-45E7-8D5B-924F689B0ED0}">
  <dimension ref="B3:R44"/>
  <sheetViews>
    <sheetView tabSelected="1" topLeftCell="G15" workbookViewId="0">
      <selection activeCell="O30" sqref="O30"/>
    </sheetView>
  </sheetViews>
  <sheetFormatPr baseColWidth="10" defaultRowHeight="15" x14ac:dyDescent="0.25"/>
  <cols>
    <col min="2" max="2" width="5.28515625" style="1" customWidth="1"/>
    <col min="3" max="3" width="32.28515625" bestFit="1" customWidth="1"/>
    <col min="5" max="5" width="12.7109375" bestFit="1" customWidth="1"/>
    <col min="6" max="6" width="16.42578125" bestFit="1" customWidth="1"/>
    <col min="7" max="7" width="22.5703125" style="1" bestFit="1" customWidth="1"/>
    <col min="8" max="8" width="13.28515625" customWidth="1"/>
    <col min="9" max="9" width="16.85546875" customWidth="1"/>
    <col min="10" max="11" width="13" bestFit="1" customWidth="1"/>
    <col min="12" max="12" width="12.5703125" style="23" customWidth="1"/>
    <col min="13" max="13" width="15" bestFit="1" customWidth="1"/>
    <col min="15" max="15" width="28.85546875" customWidth="1"/>
    <col min="16" max="16" width="17.42578125" customWidth="1"/>
    <col min="17" max="17" width="12" style="9" bestFit="1" customWidth="1"/>
    <col min="18" max="18" width="13" style="9" bestFit="1" customWidth="1"/>
  </cols>
  <sheetData>
    <row r="3" spans="2:18" s="1" customFormat="1" x14ac:dyDescent="0.25">
      <c r="B3" s="1" t="s">
        <v>0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57</v>
      </c>
      <c r="H3" s="1" t="s">
        <v>7</v>
      </c>
      <c r="I3" s="1" t="s">
        <v>6</v>
      </c>
      <c r="J3" s="1" t="s">
        <v>8</v>
      </c>
      <c r="K3" s="1" t="s">
        <v>9</v>
      </c>
      <c r="L3" s="22" t="s">
        <v>10</v>
      </c>
      <c r="M3" s="1" t="s">
        <v>11</v>
      </c>
      <c r="O3" s="3" t="s">
        <v>25</v>
      </c>
      <c r="P3" s="4"/>
      <c r="Q3" s="19"/>
      <c r="R3" s="19"/>
    </row>
    <row r="4" spans="2:18" x14ac:dyDescent="0.25">
      <c r="B4" s="1">
        <v>1</v>
      </c>
      <c r="C4" t="s">
        <v>2</v>
      </c>
      <c r="D4" t="s">
        <v>16</v>
      </c>
      <c r="E4" s="2">
        <v>1073629922</v>
      </c>
      <c r="G4" s="1" t="s">
        <v>59</v>
      </c>
      <c r="I4" s="7" t="s">
        <v>25</v>
      </c>
      <c r="J4" t="s">
        <v>12</v>
      </c>
      <c r="K4" s="9"/>
      <c r="L4" s="23">
        <v>195000</v>
      </c>
      <c r="M4" s="26">
        <f>Tabla1[[#This Row],[VALOR]]-15000</f>
        <v>180000</v>
      </c>
      <c r="O4" s="3" t="s">
        <v>17</v>
      </c>
      <c r="P4" s="5"/>
    </row>
    <row r="5" spans="2:18" x14ac:dyDescent="0.25">
      <c r="B5" s="1">
        <v>2</v>
      </c>
      <c r="C5" t="s">
        <v>62</v>
      </c>
      <c r="D5" t="s">
        <v>16</v>
      </c>
      <c r="E5" s="2">
        <v>11451489</v>
      </c>
      <c r="F5" s="8">
        <v>28471</v>
      </c>
      <c r="G5" s="1" t="s">
        <v>59</v>
      </c>
      <c r="I5" s="7" t="s">
        <v>25</v>
      </c>
      <c r="J5" t="s">
        <v>65</v>
      </c>
      <c r="K5" s="9">
        <v>200000</v>
      </c>
      <c r="L5" s="23">
        <v>195000</v>
      </c>
      <c r="M5" s="26">
        <f>Tabla1[[#This Row],[VALOR]]-15000</f>
        <v>180000</v>
      </c>
      <c r="O5" s="3" t="s">
        <v>26</v>
      </c>
      <c r="P5" s="6"/>
    </row>
    <row r="6" spans="2:18" x14ac:dyDescent="0.25">
      <c r="B6" s="1">
        <v>3</v>
      </c>
      <c r="C6" t="s">
        <v>63</v>
      </c>
      <c r="D6" t="s">
        <v>16</v>
      </c>
      <c r="E6">
        <v>1075625118</v>
      </c>
      <c r="F6" t="s">
        <v>64</v>
      </c>
      <c r="G6" s="1" t="s">
        <v>59</v>
      </c>
      <c r="I6" s="7" t="s">
        <v>25</v>
      </c>
      <c r="J6" t="s">
        <v>61</v>
      </c>
      <c r="K6" s="9" t="s">
        <v>14</v>
      </c>
      <c r="L6" s="23">
        <v>195000</v>
      </c>
      <c r="M6" s="26">
        <f>Tabla1[[#This Row],[VALOR]]-15000</f>
        <v>180000</v>
      </c>
    </row>
    <row r="7" spans="2:18" x14ac:dyDescent="0.25">
      <c r="B7" s="1">
        <v>4</v>
      </c>
      <c r="C7" t="s">
        <v>68</v>
      </c>
      <c r="D7" t="s">
        <v>16</v>
      </c>
      <c r="E7">
        <v>1005850176</v>
      </c>
      <c r="G7" s="1" t="s">
        <v>58</v>
      </c>
      <c r="I7" t="s">
        <v>17</v>
      </c>
      <c r="J7" t="s">
        <v>34</v>
      </c>
      <c r="K7" s="9"/>
      <c r="L7" s="23">
        <v>195000</v>
      </c>
      <c r="M7" s="26">
        <f>Tabla1[[#This Row],[VALOR]]-15000</f>
        <v>180000</v>
      </c>
    </row>
    <row r="8" spans="2:18" x14ac:dyDescent="0.25">
      <c r="B8" s="1">
        <v>5</v>
      </c>
      <c r="C8" t="s">
        <v>69</v>
      </c>
      <c r="D8" t="s">
        <v>16</v>
      </c>
      <c r="E8">
        <v>1072426169</v>
      </c>
      <c r="G8" s="1" t="s">
        <v>59</v>
      </c>
      <c r="I8" t="s">
        <v>17</v>
      </c>
      <c r="J8" t="s">
        <v>34</v>
      </c>
      <c r="K8" s="9"/>
      <c r="L8" s="23">
        <v>195000</v>
      </c>
      <c r="M8" s="26">
        <f>Tabla1[[#This Row],[VALOR]]-15000</f>
        <v>180000</v>
      </c>
    </row>
    <row r="9" spans="2:18" x14ac:dyDescent="0.25">
      <c r="B9" s="1">
        <v>6</v>
      </c>
      <c r="C9" t="s">
        <v>18</v>
      </c>
      <c r="D9" t="s">
        <v>16</v>
      </c>
      <c r="E9">
        <v>1072962584</v>
      </c>
      <c r="G9" s="1" t="s">
        <v>59</v>
      </c>
      <c r="H9" t="s">
        <v>76</v>
      </c>
      <c r="I9" s="7" t="s">
        <v>19</v>
      </c>
      <c r="J9" t="s">
        <v>13</v>
      </c>
      <c r="K9" s="9">
        <v>200000</v>
      </c>
      <c r="L9" s="23">
        <v>195000</v>
      </c>
      <c r="M9" s="26">
        <f>Tabla1[[#This Row],[VALOR]]-15000</f>
        <v>180000</v>
      </c>
      <c r="O9" s="18" t="s">
        <v>85</v>
      </c>
      <c r="P9" s="18" t="s">
        <v>88</v>
      </c>
      <c r="Q9" s="20" t="s">
        <v>10</v>
      </c>
      <c r="R9" s="20" t="s">
        <v>89</v>
      </c>
    </row>
    <row r="10" spans="2:18" x14ac:dyDescent="0.25">
      <c r="B10" s="1">
        <v>7</v>
      </c>
      <c r="C10" t="s">
        <v>20</v>
      </c>
      <c r="D10" t="s">
        <v>16</v>
      </c>
      <c r="E10">
        <v>20871960</v>
      </c>
      <c r="G10" s="1" t="s">
        <v>59</v>
      </c>
      <c r="H10" t="s">
        <v>77</v>
      </c>
      <c r="I10" s="7" t="s">
        <v>19</v>
      </c>
      <c r="J10" t="s">
        <v>13</v>
      </c>
      <c r="K10" s="9" t="s">
        <v>14</v>
      </c>
      <c r="L10" s="23">
        <v>195000</v>
      </c>
      <c r="M10" s="26">
        <f>Tabla1[[#This Row],[VALOR]]-15000</f>
        <v>180000</v>
      </c>
      <c r="O10" s="18" t="s">
        <v>12</v>
      </c>
      <c r="P10" s="18">
        <v>3</v>
      </c>
      <c r="Q10" s="20">
        <v>15000</v>
      </c>
      <c r="R10" s="20">
        <f>P10*Q10</f>
        <v>45000</v>
      </c>
    </row>
    <row r="11" spans="2:18" x14ac:dyDescent="0.25">
      <c r="B11" s="1">
        <v>8</v>
      </c>
      <c r="C11" t="s">
        <v>22</v>
      </c>
      <c r="D11" t="s">
        <v>16</v>
      </c>
      <c r="E11">
        <v>1003673010</v>
      </c>
      <c r="G11" s="1" t="s">
        <v>59</v>
      </c>
      <c r="I11" s="7" t="s">
        <v>19</v>
      </c>
      <c r="J11" t="s">
        <v>13</v>
      </c>
      <c r="K11" s="9" t="s">
        <v>14</v>
      </c>
      <c r="L11" s="23">
        <v>195000</v>
      </c>
      <c r="M11" s="26">
        <f>Tabla1[[#This Row],[VALOR]]-15000</f>
        <v>180000</v>
      </c>
      <c r="O11" s="18" t="s">
        <v>86</v>
      </c>
      <c r="P11" s="18">
        <v>2</v>
      </c>
      <c r="Q11" s="20">
        <v>15000</v>
      </c>
      <c r="R11" s="20">
        <f t="shared" ref="R11:R15" si="0">P11*Q11</f>
        <v>30000</v>
      </c>
    </row>
    <row r="12" spans="2:18" x14ac:dyDescent="0.25">
      <c r="B12" s="1">
        <v>9</v>
      </c>
      <c r="C12" t="s">
        <v>21</v>
      </c>
      <c r="D12" t="s">
        <v>16</v>
      </c>
      <c r="E12">
        <v>20871532</v>
      </c>
      <c r="G12" s="1" t="s">
        <v>59</v>
      </c>
      <c r="H12" t="s">
        <v>78</v>
      </c>
      <c r="I12" s="7" t="s">
        <v>19</v>
      </c>
      <c r="J12" t="s">
        <v>13</v>
      </c>
      <c r="K12" s="9" t="s">
        <v>14</v>
      </c>
      <c r="L12" s="23">
        <v>195000</v>
      </c>
      <c r="M12" s="26">
        <f>Tabla1[[#This Row],[VALOR]]-15000</f>
        <v>180000</v>
      </c>
      <c r="O12" s="18" t="s">
        <v>34</v>
      </c>
      <c r="P12" s="18">
        <v>8</v>
      </c>
      <c r="Q12" s="20">
        <v>15000</v>
      </c>
      <c r="R12" s="20">
        <f t="shared" si="0"/>
        <v>120000</v>
      </c>
    </row>
    <row r="13" spans="2:18" x14ac:dyDescent="0.25">
      <c r="B13" s="1">
        <v>10</v>
      </c>
      <c r="C13" t="s">
        <v>15</v>
      </c>
      <c r="D13" t="s">
        <v>16</v>
      </c>
      <c r="E13" s="2">
        <v>52196420</v>
      </c>
      <c r="G13" s="1" t="s">
        <v>59</v>
      </c>
      <c r="I13" s="7" t="s">
        <v>19</v>
      </c>
      <c r="J13" t="s">
        <v>13</v>
      </c>
      <c r="K13" s="9" t="s">
        <v>67</v>
      </c>
      <c r="L13" s="23">
        <v>195000</v>
      </c>
      <c r="M13" s="26">
        <f>Tabla1[[#This Row],[VALOR]]-15000</f>
        <v>180000</v>
      </c>
      <c r="O13" s="18" t="s">
        <v>13</v>
      </c>
      <c r="P13" s="18">
        <v>16</v>
      </c>
      <c r="Q13" s="20">
        <v>15000</v>
      </c>
      <c r="R13" s="20">
        <f t="shared" si="0"/>
        <v>240000</v>
      </c>
    </row>
    <row r="14" spans="2:18" x14ac:dyDescent="0.25">
      <c r="B14" s="1">
        <v>11</v>
      </c>
      <c r="C14" t="s">
        <v>23</v>
      </c>
      <c r="D14" t="s">
        <v>16</v>
      </c>
      <c r="E14">
        <v>20871387</v>
      </c>
      <c r="G14" s="1" t="s">
        <v>58</v>
      </c>
      <c r="H14" t="s">
        <v>79</v>
      </c>
      <c r="I14" s="7" t="s">
        <v>25</v>
      </c>
      <c r="J14" t="s">
        <v>13</v>
      </c>
      <c r="K14" s="9">
        <v>200000</v>
      </c>
      <c r="L14" s="23">
        <v>195000</v>
      </c>
      <c r="M14" s="26">
        <f>Tabla1[[#This Row],[VALOR]]-15000</f>
        <v>180000</v>
      </c>
      <c r="O14" s="18" t="s">
        <v>87</v>
      </c>
      <c r="P14" s="18">
        <v>2</v>
      </c>
      <c r="Q14" s="20">
        <v>15000</v>
      </c>
      <c r="R14" s="20">
        <f t="shared" si="0"/>
        <v>30000</v>
      </c>
    </row>
    <row r="15" spans="2:18" x14ac:dyDescent="0.25">
      <c r="B15" s="1">
        <v>12</v>
      </c>
      <c r="C15" t="s">
        <v>24</v>
      </c>
      <c r="D15" t="s">
        <v>16</v>
      </c>
      <c r="E15">
        <v>39643231</v>
      </c>
      <c r="G15" s="1" t="s">
        <v>59</v>
      </c>
      <c r="H15" t="s">
        <v>80</v>
      </c>
      <c r="I15" s="7" t="s">
        <v>25</v>
      </c>
      <c r="J15" t="s">
        <v>13</v>
      </c>
      <c r="K15" s="9"/>
      <c r="L15" s="23">
        <v>195000</v>
      </c>
      <c r="M15" s="26">
        <f>Tabla1[[#This Row],[VALOR]]-15000</f>
        <v>180000</v>
      </c>
      <c r="O15" s="18" t="s">
        <v>56</v>
      </c>
      <c r="P15" s="18">
        <v>4</v>
      </c>
      <c r="Q15" s="20">
        <v>15000</v>
      </c>
      <c r="R15" s="20">
        <f t="shared" si="0"/>
        <v>60000</v>
      </c>
    </row>
    <row r="16" spans="2:18" x14ac:dyDescent="0.25">
      <c r="B16" s="1">
        <v>13</v>
      </c>
      <c r="C16" t="s">
        <v>27</v>
      </c>
      <c r="D16" t="s">
        <v>16</v>
      </c>
      <c r="E16">
        <v>52333511</v>
      </c>
      <c r="F16" t="s">
        <v>28</v>
      </c>
      <c r="G16" s="1" t="s">
        <v>58</v>
      </c>
      <c r="H16" t="s">
        <v>83</v>
      </c>
      <c r="I16" t="s">
        <v>25</v>
      </c>
      <c r="J16" t="s">
        <v>13</v>
      </c>
      <c r="K16" s="9"/>
      <c r="L16" s="23">
        <v>195000</v>
      </c>
      <c r="M16" s="26">
        <f>Tabla1[[#This Row],[VALOR]]-15000</f>
        <v>180000</v>
      </c>
      <c r="O16" s="18" t="s">
        <v>90</v>
      </c>
      <c r="P16" s="18">
        <v>2</v>
      </c>
      <c r="Q16" s="20">
        <v>0</v>
      </c>
      <c r="R16" s="20">
        <v>0</v>
      </c>
    </row>
    <row r="17" spans="2:18" x14ac:dyDescent="0.25">
      <c r="B17" s="1">
        <v>14</v>
      </c>
      <c r="C17" t="s">
        <v>49</v>
      </c>
      <c r="D17" t="s">
        <v>16</v>
      </c>
      <c r="E17">
        <v>1073427132</v>
      </c>
      <c r="G17" s="1" t="s">
        <v>59</v>
      </c>
      <c r="H17" t="s">
        <v>81</v>
      </c>
      <c r="I17" t="s">
        <v>26</v>
      </c>
      <c r="J17" t="s">
        <v>41</v>
      </c>
      <c r="K17" s="9">
        <v>300000</v>
      </c>
      <c r="L17" s="23">
        <v>195000</v>
      </c>
      <c r="M17" s="26">
        <f>Tabla1[[#This Row],[VALOR]]-15000</f>
        <v>180000</v>
      </c>
      <c r="O17" s="18" t="s">
        <v>89</v>
      </c>
      <c r="P17" s="18">
        <f>SUM(P10:P16)</f>
        <v>37</v>
      </c>
      <c r="Q17" s="20"/>
      <c r="R17" s="20">
        <f>SUM(R10:R16)</f>
        <v>525000</v>
      </c>
    </row>
    <row r="18" spans="2:18" x14ac:dyDescent="0.25">
      <c r="B18" s="1">
        <v>15</v>
      </c>
      <c r="C18" t="s">
        <v>50</v>
      </c>
      <c r="D18" t="s">
        <v>51</v>
      </c>
      <c r="E18">
        <v>5238338</v>
      </c>
      <c r="G18" s="1" t="s">
        <v>59</v>
      </c>
      <c r="H18">
        <v>3017440615</v>
      </c>
      <c r="I18" t="s">
        <v>26</v>
      </c>
      <c r="J18" t="s">
        <v>41</v>
      </c>
      <c r="K18" s="9"/>
      <c r="L18" s="23">
        <v>195000</v>
      </c>
      <c r="M18" s="26">
        <f>Tabla1[[#This Row],[VALOR]]-15000</f>
        <v>180000</v>
      </c>
    </row>
    <row r="19" spans="2:18" x14ac:dyDescent="0.25">
      <c r="B19" s="1">
        <v>16</v>
      </c>
      <c r="C19" t="s">
        <v>29</v>
      </c>
      <c r="D19" t="s">
        <v>16</v>
      </c>
      <c r="E19">
        <v>39525319</v>
      </c>
      <c r="F19" s="8">
        <v>22053</v>
      </c>
      <c r="G19" s="14" t="s">
        <v>58</v>
      </c>
      <c r="H19" t="s">
        <v>82</v>
      </c>
      <c r="I19" t="s">
        <v>25</v>
      </c>
      <c r="J19" t="s">
        <v>13</v>
      </c>
      <c r="K19" s="9"/>
      <c r="L19" s="23">
        <v>195000</v>
      </c>
      <c r="M19" s="26">
        <f>Tabla1[[#This Row],[VALOR]]-15000</f>
        <v>180000</v>
      </c>
      <c r="O19" s="38" t="s">
        <v>97</v>
      </c>
      <c r="P19" s="38"/>
    </row>
    <row r="20" spans="2:18" x14ac:dyDescent="0.25">
      <c r="B20" s="1">
        <v>17</v>
      </c>
      <c r="C20" t="s">
        <v>30</v>
      </c>
      <c r="D20" t="s">
        <v>16</v>
      </c>
      <c r="E20">
        <v>79139636</v>
      </c>
      <c r="F20" t="s">
        <v>31</v>
      </c>
      <c r="G20" s="1" t="s">
        <v>59</v>
      </c>
      <c r="H20" t="s">
        <v>84</v>
      </c>
      <c r="I20" t="s">
        <v>25</v>
      </c>
      <c r="J20" t="s">
        <v>13</v>
      </c>
      <c r="K20" s="9"/>
      <c r="L20" s="23">
        <v>195000</v>
      </c>
      <c r="M20" s="26">
        <f>Tabla1[[#This Row],[VALOR]]-15000</f>
        <v>180000</v>
      </c>
      <c r="O20" s="18" t="s">
        <v>91</v>
      </c>
      <c r="P20" s="31">
        <v>2000000</v>
      </c>
    </row>
    <row r="21" spans="2:18" ht="19.5" customHeight="1" x14ac:dyDescent="0.25">
      <c r="B21" s="1">
        <v>18</v>
      </c>
      <c r="C21" t="s">
        <v>32</v>
      </c>
      <c r="D21" t="s">
        <v>16</v>
      </c>
      <c r="E21" s="2">
        <v>21119044</v>
      </c>
      <c r="G21" s="1" t="s">
        <v>58</v>
      </c>
      <c r="I21" t="s">
        <v>25</v>
      </c>
      <c r="J21" t="s">
        <v>34</v>
      </c>
      <c r="K21" s="9">
        <v>250000</v>
      </c>
      <c r="L21" s="23">
        <v>195000</v>
      </c>
      <c r="M21" s="26">
        <f>Tabla1[[#This Row],[VALOR]]-15000</f>
        <v>180000</v>
      </c>
      <c r="O21" s="29" t="s">
        <v>94</v>
      </c>
      <c r="P21" s="32">
        <v>1788000</v>
      </c>
    </row>
    <row r="22" spans="2:18" ht="22.5" customHeight="1" x14ac:dyDescent="0.25">
      <c r="B22" s="1">
        <v>19</v>
      </c>
      <c r="C22" t="s">
        <v>33</v>
      </c>
      <c r="D22" t="s">
        <v>16</v>
      </c>
      <c r="E22" s="2">
        <v>13906487</v>
      </c>
      <c r="G22" s="1" t="s">
        <v>59</v>
      </c>
      <c r="I22" t="s">
        <v>25</v>
      </c>
      <c r="J22" t="s">
        <v>34</v>
      </c>
      <c r="K22" s="9" t="s">
        <v>14</v>
      </c>
      <c r="L22" s="23">
        <v>195000</v>
      </c>
      <c r="M22" s="26">
        <f>Tabla1[[#This Row],[VALOR]]-15000</f>
        <v>180000</v>
      </c>
      <c r="O22" s="29"/>
      <c r="P22" s="32"/>
    </row>
    <row r="23" spans="2:18" ht="36.75" customHeight="1" x14ac:dyDescent="0.25">
      <c r="B23" s="1">
        <v>20</v>
      </c>
      <c r="C23" t="s">
        <v>35</v>
      </c>
      <c r="D23" t="s">
        <v>16</v>
      </c>
      <c r="E23" s="2">
        <v>1073630384</v>
      </c>
      <c r="G23" s="1" t="s">
        <v>59</v>
      </c>
      <c r="I23" t="s">
        <v>17</v>
      </c>
      <c r="J23" t="s">
        <v>34</v>
      </c>
      <c r="K23" s="9" t="s">
        <v>14</v>
      </c>
      <c r="L23" s="23">
        <v>195000</v>
      </c>
      <c r="M23" s="26">
        <f>Tabla1[[#This Row],[VALOR]]-15000</f>
        <v>180000</v>
      </c>
      <c r="O23" s="30" t="s">
        <v>92</v>
      </c>
      <c r="P23" s="31">
        <v>998500</v>
      </c>
    </row>
    <row r="24" spans="2:18" x14ac:dyDescent="0.25">
      <c r="B24" s="1">
        <v>21</v>
      </c>
      <c r="C24" t="s">
        <v>36</v>
      </c>
      <c r="D24" t="s">
        <v>16</v>
      </c>
      <c r="E24" s="2">
        <v>1121888616</v>
      </c>
      <c r="G24" s="1" t="s">
        <v>59</v>
      </c>
      <c r="I24" t="s">
        <v>17</v>
      </c>
      <c r="J24" t="s">
        <v>34</v>
      </c>
      <c r="K24" s="9" t="s">
        <v>14</v>
      </c>
      <c r="L24" s="23">
        <v>195000</v>
      </c>
      <c r="M24" s="26">
        <f>Tabla1[[#This Row],[VALOR]]-15000</f>
        <v>180000</v>
      </c>
      <c r="O24" s="18" t="s">
        <v>93</v>
      </c>
      <c r="P24" s="31">
        <v>80000</v>
      </c>
    </row>
    <row r="25" spans="2:18" ht="34.5" customHeight="1" thickBot="1" x14ac:dyDescent="0.3">
      <c r="B25" s="1">
        <v>22</v>
      </c>
      <c r="C25" t="s">
        <v>37</v>
      </c>
      <c r="D25" t="s">
        <v>38</v>
      </c>
      <c r="E25" s="2">
        <v>1195464772</v>
      </c>
      <c r="G25" s="1" t="s">
        <v>58</v>
      </c>
      <c r="I25" t="s">
        <v>17</v>
      </c>
      <c r="J25" t="s">
        <v>34</v>
      </c>
      <c r="K25" s="9" t="s">
        <v>14</v>
      </c>
      <c r="L25" s="23">
        <v>195000</v>
      </c>
      <c r="M25" s="26">
        <f>Tabla1[[#This Row],[VALOR]]-15000</f>
        <v>180000</v>
      </c>
      <c r="O25" s="37" t="s">
        <v>98</v>
      </c>
      <c r="P25" s="35">
        <v>24000</v>
      </c>
    </row>
    <row r="26" spans="2:18" s="7" customFormat="1" ht="15.75" thickBot="1" x14ac:dyDescent="0.3">
      <c r="B26" s="4"/>
      <c r="C26" s="7" t="s">
        <v>39</v>
      </c>
      <c r="D26" s="7" t="s">
        <v>40</v>
      </c>
      <c r="E26" s="10">
        <v>1072964377</v>
      </c>
      <c r="F26" s="10">
        <v>25000</v>
      </c>
      <c r="G26" s="15"/>
      <c r="I26" t="s">
        <v>17</v>
      </c>
      <c r="J26" s="7" t="s">
        <v>34</v>
      </c>
      <c r="K26" s="11" t="s">
        <v>14</v>
      </c>
      <c r="L26" s="23">
        <v>25000</v>
      </c>
      <c r="M26" s="27">
        <v>25000</v>
      </c>
      <c r="O26" s="39" t="s">
        <v>89</v>
      </c>
      <c r="P26" s="36">
        <f>SUM(P20:P25)</f>
        <v>4890500</v>
      </c>
      <c r="Q26" s="21"/>
      <c r="R26" s="21"/>
    </row>
    <row r="27" spans="2:18" ht="15.75" thickBot="1" x14ac:dyDescent="0.3">
      <c r="B27" s="1">
        <v>23</v>
      </c>
      <c r="C27" t="s">
        <v>74</v>
      </c>
      <c r="D27" t="s">
        <v>16</v>
      </c>
      <c r="E27" s="2">
        <v>11451254</v>
      </c>
      <c r="G27" s="1" t="s">
        <v>58</v>
      </c>
      <c r="I27" t="s">
        <v>25</v>
      </c>
      <c r="J27" t="s">
        <v>13</v>
      </c>
      <c r="K27" s="9"/>
      <c r="L27" s="23">
        <v>195000</v>
      </c>
      <c r="M27" s="26">
        <f>Tabla1[[#This Row],[VALOR]]-15000</f>
        <v>180000</v>
      </c>
      <c r="O27" s="40" t="s">
        <v>95</v>
      </c>
      <c r="P27" s="34">
        <f>M43</f>
        <v>6350000</v>
      </c>
      <c r="Q27" s="21"/>
      <c r="R27" s="21"/>
    </row>
    <row r="28" spans="2:18" x14ac:dyDescent="0.25">
      <c r="B28" s="1">
        <v>24</v>
      </c>
      <c r="C28" t="s">
        <v>75</v>
      </c>
      <c r="D28" t="s">
        <v>16</v>
      </c>
      <c r="E28">
        <v>1031655167</v>
      </c>
      <c r="G28" s="1" t="s">
        <v>59</v>
      </c>
      <c r="I28" t="s">
        <v>25</v>
      </c>
      <c r="J28" t="s">
        <v>13</v>
      </c>
      <c r="K28" s="9"/>
      <c r="L28" s="23">
        <v>195000</v>
      </c>
      <c r="M28" s="26">
        <f>Tabla1[[#This Row],[VALOR]]-15000</f>
        <v>180000</v>
      </c>
      <c r="O28" s="41" t="s">
        <v>96</v>
      </c>
      <c r="P28" s="33">
        <f>P27-P26</f>
        <v>1459500</v>
      </c>
    </row>
    <row r="29" spans="2:18" x14ac:dyDescent="0.25">
      <c r="B29" s="1">
        <v>25</v>
      </c>
      <c r="C29" t="s">
        <v>42</v>
      </c>
      <c r="D29" t="s">
        <v>16</v>
      </c>
      <c r="E29">
        <v>11450718</v>
      </c>
      <c r="G29" s="1" t="s">
        <v>59</v>
      </c>
      <c r="I29" t="s">
        <v>25</v>
      </c>
      <c r="J29" t="s">
        <v>13</v>
      </c>
      <c r="K29" s="9"/>
      <c r="L29" s="23">
        <v>195000</v>
      </c>
      <c r="M29" s="26">
        <f>Tabla1[[#This Row],[VALOR]]-15000</f>
        <v>180000</v>
      </c>
    </row>
    <row r="30" spans="2:18" x14ac:dyDescent="0.25">
      <c r="B30" s="1">
        <v>26</v>
      </c>
      <c r="C30" t="s">
        <v>70</v>
      </c>
      <c r="D30" t="s">
        <v>16</v>
      </c>
      <c r="E30" s="2">
        <v>1003568868</v>
      </c>
      <c r="G30" s="1" t="s">
        <v>59</v>
      </c>
      <c r="I30" t="s">
        <v>25</v>
      </c>
      <c r="J30" t="s">
        <v>45</v>
      </c>
      <c r="K30" s="9"/>
      <c r="L30" s="23">
        <v>0</v>
      </c>
      <c r="M30" s="26">
        <v>0</v>
      </c>
    </row>
    <row r="31" spans="2:18" x14ac:dyDescent="0.25">
      <c r="B31" s="1">
        <v>27</v>
      </c>
      <c r="C31" t="s">
        <v>71</v>
      </c>
      <c r="D31" t="s">
        <v>16</v>
      </c>
      <c r="E31" s="2">
        <v>79538678</v>
      </c>
      <c r="G31" s="1" t="s">
        <v>58</v>
      </c>
      <c r="I31" t="s">
        <v>25</v>
      </c>
      <c r="J31" t="s">
        <v>45</v>
      </c>
      <c r="K31" s="9"/>
      <c r="L31" s="23">
        <v>0</v>
      </c>
      <c r="M31" s="26">
        <v>0</v>
      </c>
    </row>
    <row r="32" spans="2:18" x14ac:dyDescent="0.25">
      <c r="B32" s="1">
        <v>28</v>
      </c>
      <c r="C32" t="s">
        <v>43</v>
      </c>
      <c r="D32" t="s">
        <v>16</v>
      </c>
      <c r="E32">
        <v>1075627307</v>
      </c>
      <c r="G32" s="1" t="s">
        <v>58</v>
      </c>
      <c r="I32" t="s">
        <v>26</v>
      </c>
      <c r="J32" t="s">
        <v>13</v>
      </c>
      <c r="K32" s="9"/>
      <c r="L32" s="23">
        <v>195000</v>
      </c>
      <c r="M32" s="26">
        <f>Tabla1[[#This Row],[VALOR]]-15000</f>
        <v>180000</v>
      </c>
    </row>
    <row r="33" spans="2:18" x14ac:dyDescent="0.25">
      <c r="B33" s="1">
        <v>29</v>
      </c>
      <c r="C33" t="s">
        <v>44</v>
      </c>
      <c r="D33" t="s">
        <v>16</v>
      </c>
      <c r="E33">
        <v>52349383</v>
      </c>
      <c r="G33" s="1" t="s">
        <v>58</v>
      </c>
      <c r="I33" t="s">
        <v>26</v>
      </c>
      <c r="J33" t="s">
        <v>13</v>
      </c>
      <c r="K33" s="9"/>
      <c r="L33" s="23">
        <v>195000</v>
      </c>
      <c r="M33" s="26">
        <f>Tabla1[[#This Row],[VALOR]]-15000</f>
        <v>180000</v>
      </c>
    </row>
    <row r="34" spans="2:18" x14ac:dyDescent="0.25">
      <c r="B34" s="1">
        <v>30</v>
      </c>
      <c r="C34" t="s">
        <v>53</v>
      </c>
      <c r="D34" t="s">
        <v>16</v>
      </c>
      <c r="E34">
        <v>1073630253</v>
      </c>
      <c r="F34" s="12">
        <v>35605</v>
      </c>
      <c r="G34" s="16" t="s">
        <v>58</v>
      </c>
      <c r="I34" t="s">
        <v>25</v>
      </c>
      <c r="J34" t="s">
        <v>12</v>
      </c>
      <c r="K34" s="9"/>
      <c r="L34" s="23">
        <v>195000</v>
      </c>
      <c r="M34" s="26">
        <f>Tabla1[[#This Row],[VALOR]]-15000</f>
        <v>180000</v>
      </c>
    </row>
    <row r="35" spans="2:18" x14ac:dyDescent="0.25">
      <c r="B35" s="1">
        <v>31</v>
      </c>
      <c r="C35" t="s">
        <v>54</v>
      </c>
      <c r="D35" t="s">
        <v>16</v>
      </c>
      <c r="E35">
        <v>1073630398</v>
      </c>
      <c r="F35" s="12">
        <v>42469</v>
      </c>
      <c r="G35" s="16" t="s">
        <v>59</v>
      </c>
      <c r="I35" t="s">
        <v>25</v>
      </c>
      <c r="J35" t="s">
        <v>12</v>
      </c>
      <c r="K35" s="9"/>
      <c r="L35" s="23">
        <v>195000</v>
      </c>
      <c r="M35" s="26">
        <f>Tabla1[[#This Row],[VALOR]]-15000</f>
        <v>180000</v>
      </c>
    </row>
    <row r="36" spans="2:18" s="7" customFormat="1" x14ac:dyDescent="0.25">
      <c r="B36" s="4"/>
      <c r="C36" s="7" t="s">
        <v>55</v>
      </c>
      <c r="D36" s="7" t="s">
        <v>40</v>
      </c>
      <c r="E36" s="7">
        <v>1073630909</v>
      </c>
      <c r="F36" s="13">
        <v>44818</v>
      </c>
      <c r="G36" s="17"/>
      <c r="I36" s="7" t="s">
        <v>25</v>
      </c>
      <c r="J36" s="7" t="s">
        <v>12</v>
      </c>
      <c r="K36" s="11"/>
      <c r="L36" s="24">
        <v>25000</v>
      </c>
      <c r="M36" s="27">
        <v>25000</v>
      </c>
      <c r="Q36" s="11"/>
      <c r="R36" s="11"/>
    </row>
    <row r="37" spans="2:18" x14ac:dyDescent="0.25">
      <c r="B37" s="1">
        <v>32</v>
      </c>
      <c r="C37" t="s">
        <v>46</v>
      </c>
      <c r="D37" t="s">
        <v>16</v>
      </c>
      <c r="E37">
        <v>1075626865</v>
      </c>
      <c r="G37" s="1" t="s">
        <v>59</v>
      </c>
      <c r="I37" t="s">
        <v>26</v>
      </c>
      <c r="J37" t="s">
        <v>56</v>
      </c>
      <c r="K37" s="9">
        <v>200000</v>
      </c>
      <c r="L37" s="23">
        <v>195000</v>
      </c>
      <c r="M37" s="26">
        <f>Tabla1[[#This Row],[VALOR]]-15000</f>
        <v>180000</v>
      </c>
    </row>
    <row r="38" spans="2:18" x14ac:dyDescent="0.25">
      <c r="B38" s="1">
        <v>33</v>
      </c>
      <c r="C38" t="s">
        <v>47</v>
      </c>
      <c r="D38" t="s">
        <v>16</v>
      </c>
      <c r="E38">
        <v>21017274</v>
      </c>
      <c r="G38" s="1" t="s">
        <v>58</v>
      </c>
      <c r="I38" t="s">
        <v>26</v>
      </c>
      <c r="J38" t="s">
        <v>56</v>
      </c>
      <c r="K38" s="9" t="s">
        <v>14</v>
      </c>
      <c r="L38" s="23">
        <v>195000</v>
      </c>
      <c r="M38" s="26">
        <f>Tabla1[[#This Row],[VALOR]]-15000</f>
        <v>180000</v>
      </c>
    </row>
    <row r="39" spans="2:18" x14ac:dyDescent="0.25">
      <c r="B39" s="1">
        <v>34</v>
      </c>
      <c r="C39" t="s">
        <v>48</v>
      </c>
      <c r="D39" t="s">
        <v>16</v>
      </c>
      <c r="E39">
        <v>93338047</v>
      </c>
      <c r="G39" s="1" t="s">
        <v>59</v>
      </c>
      <c r="I39" t="s">
        <v>26</v>
      </c>
      <c r="J39" t="s">
        <v>56</v>
      </c>
      <c r="K39" s="9" t="s">
        <v>14</v>
      </c>
      <c r="L39" s="23">
        <v>195000</v>
      </c>
      <c r="M39" s="26">
        <f>Tabla1[[#This Row],[VALOR]]-15000</f>
        <v>180000</v>
      </c>
    </row>
    <row r="40" spans="2:18" x14ac:dyDescent="0.25">
      <c r="B40" s="1">
        <v>35</v>
      </c>
      <c r="C40" t="s">
        <v>66</v>
      </c>
      <c r="D40" t="s">
        <v>16</v>
      </c>
      <c r="E40">
        <v>21014850</v>
      </c>
      <c r="G40" s="1" t="s">
        <v>58</v>
      </c>
      <c r="I40" t="s">
        <v>26</v>
      </c>
      <c r="J40" t="s">
        <v>56</v>
      </c>
      <c r="K40" s="9" t="s">
        <v>14</v>
      </c>
      <c r="L40" s="23">
        <v>195000</v>
      </c>
      <c r="M40" s="26">
        <f>Tabla1[[#This Row],[VALOR]]-15000</f>
        <v>180000</v>
      </c>
    </row>
    <row r="41" spans="2:18" x14ac:dyDescent="0.25">
      <c r="B41" s="1">
        <v>36</v>
      </c>
      <c r="C41" t="s">
        <v>52</v>
      </c>
      <c r="D41" t="s">
        <v>16</v>
      </c>
      <c r="E41" s="2">
        <v>21054827</v>
      </c>
      <c r="G41" s="1" t="s">
        <v>59</v>
      </c>
      <c r="I41" t="s">
        <v>25</v>
      </c>
      <c r="J41" t="s">
        <v>34</v>
      </c>
      <c r="K41" s="9"/>
      <c r="L41" s="23">
        <v>195000</v>
      </c>
      <c r="M41" s="26">
        <f>Tabla1[[#This Row],[VALOR]]-15000</f>
        <v>180000</v>
      </c>
    </row>
    <row r="42" spans="2:18" x14ac:dyDescent="0.25">
      <c r="B42" s="1">
        <v>37</v>
      </c>
      <c r="C42" t="s">
        <v>60</v>
      </c>
      <c r="D42" t="s">
        <v>16</v>
      </c>
      <c r="E42">
        <v>20871212</v>
      </c>
      <c r="G42" s="1" t="s">
        <v>59</v>
      </c>
      <c r="I42" t="s">
        <v>25</v>
      </c>
      <c r="J42" t="s">
        <v>13</v>
      </c>
      <c r="K42" s="9" t="s">
        <v>72</v>
      </c>
      <c r="L42" s="23">
        <v>195000</v>
      </c>
      <c r="M42" s="26">
        <f>Tabla1[[#This Row],[VALOR]]-15000</f>
        <v>180000</v>
      </c>
    </row>
    <row r="43" spans="2:18" x14ac:dyDescent="0.25">
      <c r="K43" s="9" t="s">
        <v>73</v>
      </c>
      <c r="L43" s="25">
        <f>SUBTOTAL(109,L4:L42)</f>
        <v>6875000</v>
      </c>
      <c r="M43" s="28">
        <f>SUBTOTAL(109,M4:M42)</f>
        <v>6350000</v>
      </c>
    </row>
    <row r="44" spans="2:18" x14ac:dyDescent="0.25">
      <c r="K44" s="9"/>
      <c r="M44" s="26">
        <f>M43+R17</f>
        <v>6875000</v>
      </c>
    </row>
  </sheetData>
  <mergeCells count="3">
    <mergeCell ref="O21:O22"/>
    <mergeCell ref="P21:P22"/>
    <mergeCell ref="O19:P1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2024-02-10T17:17:28Z</dcterms:created>
  <dcterms:modified xsi:type="dcterms:W3CDTF">2024-06-19T18:55:15Z</dcterms:modified>
</cp:coreProperties>
</file>