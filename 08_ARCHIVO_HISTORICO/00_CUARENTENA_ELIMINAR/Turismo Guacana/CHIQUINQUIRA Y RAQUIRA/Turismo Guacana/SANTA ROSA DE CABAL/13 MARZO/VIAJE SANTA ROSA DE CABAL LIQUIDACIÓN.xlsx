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SANTA ROSA DE CABAL\13 MARZO\"/>
    </mc:Choice>
  </mc:AlternateContent>
  <xr:revisionPtr revIDLastSave="0" documentId="8_{74A4CEE5-3DD9-4D02-B034-B3B5D8726ADA}" xr6:coauthVersionLast="47" xr6:coauthVersionMax="47" xr10:uidLastSave="{00000000-0000-0000-0000-000000000000}"/>
  <bookViews>
    <workbookView xWindow="-120" yWindow="-120" windowWidth="20730" windowHeight="11040" xr2:uid="{86021D68-EB1B-4D63-925F-4D359EC0991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8" i="1" l="1"/>
  <c r="N31" i="1" s="1"/>
  <c r="N30" i="1"/>
  <c r="J45" i="1"/>
  <c r="J44" i="1"/>
  <c r="N32" i="1" s="1"/>
  <c r="I44" i="1"/>
  <c r="O17" i="1"/>
  <c r="O18" i="1"/>
  <c r="O19" i="1"/>
  <c r="O20" i="1"/>
  <c r="O22" i="1"/>
  <c r="O16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41" i="1"/>
  <c r="J42" i="1"/>
  <c r="N27" i="1"/>
  <c r="N22" i="1"/>
  <c r="H5" i="2"/>
  <c r="N7" i="1"/>
  <c r="N33" i="1" l="1"/>
</calcChain>
</file>

<file path=xl/sharedStrings.xml><?xml version="1.0" encoding="utf-8"?>
<sst xmlns="http://schemas.openxmlformats.org/spreadsheetml/2006/main" count="263" uniqueCount="94">
  <si>
    <t>N°</t>
  </si>
  <si>
    <t>NOMBRE</t>
  </si>
  <si>
    <t>N.D</t>
  </si>
  <si>
    <t>FECHA DE NACIMIENTO</t>
  </si>
  <si>
    <t>TELEFONO</t>
  </si>
  <si>
    <t>COMISIONISTA</t>
  </si>
  <si>
    <t>T.D</t>
  </si>
  <si>
    <t>C.C</t>
  </si>
  <si>
    <t>Cristina Sierra</t>
  </si>
  <si>
    <t xml:space="preserve">Claudia Villamil </t>
  </si>
  <si>
    <t>Mireya Rodríguez León</t>
  </si>
  <si>
    <t>Yesid Penagos  Herrera</t>
  </si>
  <si>
    <t xml:space="preserve">Aminta Quiroga </t>
  </si>
  <si>
    <t xml:space="preserve"> 311 537 6344</t>
  </si>
  <si>
    <t>314 371 1498</t>
  </si>
  <si>
    <t>Maria Alicia Mancera Ramirez</t>
  </si>
  <si>
    <t>c.c</t>
  </si>
  <si>
    <t>314 257 9877</t>
  </si>
  <si>
    <t>José Vicente Miranda</t>
  </si>
  <si>
    <t>oficina, avisan por wpp</t>
  </si>
  <si>
    <t>Luis Alfonso pinzon segura</t>
  </si>
  <si>
    <t>Martha Lucía Martínez Jiméne</t>
  </si>
  <si>
    <t>Mario Ceballos Corredor</t>
  </si>
  <si>
    <t>Mercedes Rico Vargas</t>
  </si>
  <si>
    <t>Juan Sebastian Mahecha Rincon</t>
  </si>
  <si>
    <t>Elizabeth Puentes Gomez</t>
  </si>
  <si>
    <t>Mireya</t>
  </si>
  <si>
    <t>Tocaima</t>
  </si>
  <si>
    <t>Anapoima</t>
  </si>
  <si>
    <t>Apulo</t>
  </si>
  <si>
    <t>Sandra Carranza Sosa</t>
  </si>
  <si>
    <t>311 241 3984</t>
  </si>
  <si>
    <t>Jeison Andrés Rueda Acero</t>
  </si>
  <si>
    <t>LAD</t>
  </si>
  <si>
    <t>ABONO</t>
  </si>
  <si>
    <t>Martha Rocío Torres</t>
  </si>
  <si>
    <t>Jesus David Rodríguez</t>
  </si>
  <si>
    <t>GLORIA OCAMPO</t>
  </si>
  <si>
    <t>Cristobal Moreno Torres</t>
  </si>
  <si>
    <t>Maria Matilde Torres Cortes</t>
  </si>
  <si>
    <t>Ana Julia Duarte</t>
  </si>
  <si>
    <t>Alberto Vargas Rojas</t>
  </si>
  <si>
    <t>Erika Muñoz Medina</t>
  </si>
  <si>
    <t>Florinda Daza Marin</t>
  </si>
  <si>
    <t>Luis Duarte</t>
  </si>
  <si>
    <t>Gabriel Cabrera</t>
  </si>
  <si>
    <t>EDITH</t>
  </si>
  <si>
    <t>EMPRESA</t>
  </si>
  <si>
    <t>María Elena Angulo</t>
  </si>
  <si>
    <t>Martha Constanza Martinez</t>
  </si>
  <si>
    <t>Elsy  Lopez</t>
  </si>
  <si>
    <t>Luisa Fernanada Yepes</t>
  </si>
  <si>
    <t>322 758 7113</t>
  </si>
  <si>
    <t>Armando Cruz</t>
  </si>
  <si>
    <t>320 904 6998</t>
  </si>
  <si>
    <t>mafe</t>
  </si>
  <si>
    <t>Gloria Marcela Salgado Vasquez</t>
  </si>
  <si>
    <t>310 618 9151</t>
  </si>
  <si>
    <t>Gloria Yaneth Jimenez</t>
  </si>
  <si>
    <t>Graciela Diaz Palacio</t>
  </si>
  <si>
    <t>Ligia Marbin Diaz Palacio</t>
  </si>
  <si>
    <t>311871 1852</t>
  </si>
  <si>
    <t>Elvira hernandez de mancera</t>
  </si>
  <si>
    <t>Mireya Reyes Ramirez</t>
  </si>
  <si>
    <t>diana bastidas</t>
  </si>
  <si>
    <t>María Teresa Muñoz Medina</t>
  </si>
  <si>
    <t>celular</t>
  </si>
  <si>
    <t>no</t>
  </si>
  <si>
    <t>314 233 3403</t>
  </si>
  <si>
    <t>314 405 2200</t>
  </si>
  <si>
    <t>Karina Martínez</t>
  </si>
  <si>
    <t>Luciana sabogal</t>
  </si>
  <si>
    <t>R.C</t>
  </si>
  <si>
    <t>NO</t>
  </si>
  <si>
    <t>lad</t>
  </si>
  <si>
    <t>mireya</t>
  </si>
  <si>
    <t>edith</t>
  </si>
  <si>
    <t>empresa</t>
  </si>
  <si>
    <t xml:space="preserve">diana bastidas </t>
  </si>
  <si>
    <t>TRANSPORTE</t>
  </si>
  <si>
    <t>ALMUERZO</t>
  </si>
  <si>
    <t>INGRESO A TERMALES</t>
  </si>
  <si>
    <t>SEGURO</t>
  </si>
  <si>
    <t>GASTOS DE REPRESENTACIÓN</t>
  </si>
  <si>
    <t xml:space="preserve">desayuno del sr. Gabriel, wisky </t>
  </si>
  <si>
    <t>total</t>
  </si>
  <si>
    <t xml:space="preserve">ingresos </t>
  </si>
  <si>
    <t>utilidad</t>
  </si>
  <si>
    <t>valor</t>
  </si>
  <si>
    <t>comisión</t>
  </si>
  <si>
    <t>TOTAL</t>
  </si>
  <si>
    <t>PAX</t>
  </si>
  <si>
    <t>VALOR</t>
  </si>
  <si>
    <t>COSTOS Y GASTOS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</si>
</sst>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3" fontId="0" fillId="0" borderId="1" xfId="0" applyNumberFormat="1" applyBorder="1" applyAlignment="1">
      <alignment horizontal="center"/>
    </xf>
    <xf numFmtId="0" fontId="0" fillId="2" borderId="0" xfId="0" applyFont="1" applyFill="1"/>
    <xf numFmtId="0" fontId="0" fillId="4" borderId="0" xfId="0" applyFont="1" applyFill="1"/>
    <xf numFmtId="0" fontId="0" fillId="3" borderId="0" xfId="0" applyFont="1" applyFill="1"/>
    <xf numFmtId="0" fontId="2" fillId="6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0" borderId="0" xfId="0" applyFont="1"/>
    <xf numFmtId="0" fontId="0" fillId="5" borderId="2" xfId="0" applyFill="1" applyBorder="1" applyAlignment="1">
      <alignment horizontal="center"/>
    </xf>
    <xf numFmtId="0" fontId="0" fillId="2" borderId="1" xfId="0" applyFill="1" applyBorder="1"/>
    <xf numFmtId="0" fontId="0" fillId="5" borderId="1" xfId="0" applyFill="1" applyBorder="1" applyAlignment="1">
      <alignment horizontal="center"/>
    </xf>
    <xf numFmtId="3" fontId="0" fillId="5" borderId="1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/>
    <xf numFmtId="0" fontId="0" fillId="3" borderId="1" xfId="0" applyFill="1" applyBorder="1"/>
    <xf numFmtId="0" fontId="0" fillId="5" borderId="2" xfId="0" applyFont="1" applyFill="1" applyBorder="1" applyAlignment="1">
      <alignment horizontal="center"/>
    </xf>
    <xf numFmtId="0" fontId="0" fillId="3" borderId="1" xfId="0" applyFont="1" applyFill="1" applyBorder="1"/>
    <xf numFmtId="0" fontId="0" fillId="5" borderId="1" xfId="0" applyFont="1" applyFill="1" applyBorder="1" applyAlignment="1">
      <alignment horizontal="center"/>
    </xf>
    <xf numFmtId="3" fontId="0" fillId="5" borderId="1" xfId="0" applyNumberFormat="1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3" fontId="0" fillId="0" borderId="1" xfId="0" applyNumberFormat="1" applyFont="1" applyBorder="1" applyAlignment="1">
      <alignment horizontal="center"/>
    </xf>
    <xf numFmtId="44" fontId="0" fillId="0" borderId="0" xfId="1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3" xfId="0" applyBorder="1"/>
    <xf numFmtId="44" fontId="0" fillId="0" borderId="3" xfId="1" applyFont="1" applyBorder="1"/>
    <xf numFmtId="44" fontId="1" fillId="0" borderId="0" xfId="0" applyNumberFormat="1" applyFont="1" applyAlignment="1">
      <alignment horizontal="center"/>
    </xf>
    <xf numFmtId="0" fontId="0" fillId="0" borderId="3" xfId="0" applyBorder="1" applyAlignment="1">
      <alignment horizontal="center"/>
    </xf>
    <xf numFmtId="44" fontId="0" fillId="0" borderId="5" xfId="0" applyNumberFormat="1" applyBorder="1"/>
    <xf numFmtId="0" fontId="0" fillId="0" borderId="4" xfId="0" applyBorder="1"/>
    <xf numFmtId="44" fontId="0" fillId="0" borderId="4" xfId="1" applyFont="1" applyBorder="1"/>
    <xf numFmtId="44" fontId="0" fillId="0" borderId="6" xfId="0" applyNumberFormat="1" applyBorder="1"/>
    <xf numFmtId="0" fontId="0" fillId="3" borderId="5" xfId="0" applyFill="1" applyBorder="1"/>
    <xf numFmtId="0" fontId="0" fillId="4" borderId="6" xfId="0" applyFill="1" applyBorder="1"/>
    <xf numFmtId="0" fontId="0" fillId="7" borderId="6" xfId="0" applyFill="1" applyBorder="1"/>
  </cellXfs>
  <cellStyles count="2">
    <cellStyle name="Moneda" xfId="1" builtinId="4"/>
    <cellStyle name="Normal" xfId="0" builtinId="0"/>
  </cellStyles>
  <dxfs count="19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0F2451-142B-4BE1-AF43-4017DC8317E3}" name="Tabla1" displayName="Tabla1" ref="B3:K44" totalsRowCount="1" headerRowDxfId="18">
  <autoFilter ref="B3:K43" xr:uid="{B40F2451-142B-4BE1-AF43-4017DC8317E3}"/>
  <tableColumns count="10">
    <tableColumn id="1" xr3:uid="{8A6B238F-F0BF-4D08-9BB6-47ABECF4CD01}" name="N°" dataDxfId="17" totalsRowDxfId="8"/>
    <tableColumn id="2" xr3:uid="{BDD5278F-E53E-4B31-809F-A8B0C1319E98}" name="NOMBRE"/>
    <tableColumn id="3" xr3:uid="{8FE049D1-E600-4B12-B7D6-AC04388B0E7C}" name="T.D" dataDxfId="16" totalsRowDxfId="7"/>
    <tableColumn id="4" xr3:uid="{ABAB9460-7835-4D09-BDA4-9B8B8FAD6132}" name="N.D" dataDxfId="15" totalsRowDxfId="6"/>
    <tableColumn id="5" xr3:uid="{10B9FA97-E146-4F72-A383-3C9AEC2876CB}" name="FECHA DE NACIMIENTO" dataDxfId="14" totalsRowDxfId="5"/>
    <tableColumn id="6" xr3:uid="{5033357B-5D72-4B25-A62D-1CE58245E18B}" name="TELEFONO" dataDxfId="13" totalsRowDxfId="4"/>
    <tableColumn id="8" xr3:uid="{6D0FA8E3-AB0E-4DD6-B219-6910EBCD8B22}" name="ABONO" dataDxfId="12" totalsRowDxfId="3" dataCellStyle="Moneda" totalsRowCellStyle="Moneda"/>
    <tableColumn id="9" xr3:uid="{661E149A-1130-4ACD-8EC0-554B48E8E46B}" name="valor" totalsRowFunction="sum" dataDxfId="10" totalsRowDxfId="2" dataCellStyle="Moneda" totalsRowCellStyle="Moneda"/>
    <tableColumn id="10" xr3:uid="{93F765D1-9EA5-47FD-9AA8-AF8A476D2C52}" name="comisión" totalsRowFunction="sum" dataDxfId="9" totalsRowDxfId="1" dataCellStyle="Moneda">
      <calculatedColumnFormula>Tabla1[[#This Row],[valor]]-15000</calculatedColumnFormula>
    </tableColumn>
    <tableColumn id="7" xr3:uid="{5B03DDDA-A180-4F69-B9C6-EE57AE3B2847}" name="COMISIONISTA" dataDxfId="1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410BE-0F9A-4F43-9A2E-B477E7648FD8}">
  <dimension ref="B3:O45"/>
  <sheetViews>
    <sheetView tabSelected="1" topLeftCell="I14" zoomScale="119" zoomScaleNormal="57" workbookViewId="0">
      <selection activeCell="O17" sqref="O17"/>
    </sheetView>
  </sheetViews>
  <sheetFormatPr baseColWidth="10" defaultRowHeight="15" x14ac:dyDescent="0.25"/>
  <cols>
    <col min="2" max="2" width="7.7109375" style="1" bestFit="1" customWidth="1"/>
    <col min="3" max="3" width="40.28515625" bestFit="1" customWidth="1"/>
    <col min="4" max="4" width="11.42578125" style="1"/>
    <col min="5" max="5" width="15.28515625" style="1" bestFit="1" customWidth="1"/>
    <col min="6" max="6" width="35.5703125" style="1" bestFit="1" customWidth="1"/>
    <col min="7" max="7" width="21" style="1" bestFit="1" customWidth="1"/>
    <col min="8" max="8" width="17.140625" style="29" bestFit="1" customWidth="1"/>
    <col min="9" max="10" width="17.140625" style="29" customWidth="1"/>
    <col min="11" max="11" width="25.5703125" style="1" bestFit="1" customWidth="1"/>
    <col min="12" max="12" width="23.42578125" bestFit="1" customWidth="1"/>
    <col min="13" max="13" width="27.28515625" bestFit="1" customWidth="1"/>
    <col min="14" max="14" width="15.7109375" bestFit="1" customWidth="1"/>
    <col min="15" max="15" width="23" bestFit="1" customWidth="1"/>
  </cols>
  <sheetData>
    <row r="3" spans="2:15" s="1" customFormat="1" x14ac:dyDescent="0.25">
      <c r="B3" s="1" t="s">
        <v>0</v>
      </c>
      <c r="C3" s="1" t="s">
        <v>1</v>
      </c>
      <c r="D3" s="1" t="s">
        <v>6</v>
      </c>
      <c r="E3" s="1" t="s">
        <v>2</v>
      </c>
      <c r="F3" s="1" t="s">
        <v>3</v>
      </c>
      <c r="G3" s="1" t="s">
        <v>4</v>
      </c>
      <c r="H3" s="29" t="s">
        <v>34</v>
      </c>
      <c r="I3" s="29" t="s">
        <v>88</v>
      </c>
      <c r="J3" s="29" t="s">
        <v>89</v>
      </c>
      <c r="K3" s="1" t="s">
        <v>5</v>
      </c>
    </row>
    <row r="4" spans="2:15" x14ac:dyDescent="0.25">
      <c r="B4" s="1">
        <v>1</v>
      </c>
      <c r="C4" s="4" t="s">
        <v>8</v>
      </c>
      <c r="D4" s="1" t="s">
        <v>7</v>
      </c>
      <c r="E4" s="2">
        <v>21015224</v>
      </c>
      <c r="F4" s="3"/>
      <c r="I4" s="29">
        <v>188000</v>
      </c>
      <c r="J4" s="29">
        <f>Tabla1[[#This Row],[valor]]-15000</f>
        <v>173000</v>
      </c>
      <c r="K4" s="1" t="s">
        <v>55</v>
      </c>
      <c r="M4" s="4" t="s">
        <v>27</v>
      </c>
      <c r="N4">
        <v>16</v>
      </c>
    </row>
    <row r="5" spans="2:15" x14ac:dyDescent="0.25">
      <c r="B5" s="1">
        <v>2</v>
      </c>
      <c r="C5" s="4" t="s">
        <v>56</v>
      </c>
      <c r="D5" s="1" t="s">
        <v>7</v>
      </c>
      <c r="E5" s="2">
        <v>21013913</v>
      </c>
      <c r="F5" s="3"/>
      <c r="G5" s="1" t="s">
        <v>57</v>
      </c>
      <c r="H5" s="29">
        <v>150000</v>
      </c>
      <c r="I5" s="29">
        <v>188000</v>
      </c>
      <c r="J5" s="29">
        <f>Tabla1[[#This Row],[valor]]-15000</f>
        <v>173000</v>
      </c>
      <c r="K5" s="1" t="s">
        <v>26</v>
      </c>
      <c r="M5" s="5" t="s">
        <v>28</v>
      </c>
      <c r="N5">
        <v>7</v>
      </c>
    </row>
    <row r="6" spans="2:15" x14ac:dyDescent="0.25">
      <c r="B6" s="1">
        <v>3</v>
      </c>
      <c r="C6" s="4" t="s">
        <v>9</v>
      </c>
      <c r="D6" s="1" t="s">
        <v>7</v>
      </c>
      <c r="E6" s="2">
        <v>21017918</v>
      </c>
      <c r="F6" s="3"/>
      <c r="H6" s="29">
        <v>250000</v>
      </c>
      <c r="I6" s="29">
        <v>188000</v>
      </c>
      <c r="J6" s="29">
        <f>Tabla1[[#This Row],[valor]]-15000</f>
        <v>173000</v>
      </c>
      <c r="K6" s="1" t="s">
        <v>55</v>
      </c>
      <c r="M6" s="6" t="s">
        <v>29</v>
      </c>
      <c r="N6">
        <v>18</v>
      </c>
    </row>
    <row r="7" spans="2:15" x14ac:dyDescent="0.25">
      <c r="B7" s="1">
        <v>4</v>
      </c>
      <c r="C7" s="4" t="s">
        <v>58</v>
      </c>
      <c r="D7" s="1" t="s">
        <v>7</v>
      </c>
      <c r="E7" s="2">
        <v>21014371</v>
      </c>
      <c r="F7" s="3"/>
      <c r="G7" s="1" t="s">
        <v>67</v>
      </c>
      <c r="H7" s="29">
        <v>150000</v>
      </c>
      <c r="I7" s="29">
        <v>188000</v>
      </c>
      <c r="J7" s="29">
        <f>Tabla1[[#This Row],[valor]]-15000</f>
        <v>173000</v>
      </c>
      <c r="K7" s="1" t="s">
        <v>26</v>
      </c>
      <c r="N7">
        <f>SUM(N4:N6)</f>
        <v>41</v>
      </c>
    </row>
    <row r="8" spans="2:15" x14ac:dyDescent="0.25">
      <c r="B8" s="1">
        <v>5</v>
      </c>
      <c r="C8" s="4" t="s">
        <v>59</v>
      </c>
      <c r="D8" s="1" t="s">
        <v>7</v>
      </c>
      <c r="E8" s="2">
        <v>21014236</v>
      </c>
      <c r="F8" s="3"/>
      <c r="G8" s="1" t="s">
        <v>67</v>
      </c>
      <c r="H8" s="29">
        <v>50000</v>
      </c>
      <c r="I8" s="29">
        <v>188000</v>
      </c>
      <c r="J8" s="29">
        <f>Tabla1[[#This Row],[valor]]-15000</f>
        <v>173000</v>
      </c>
      <c r="K8" s="1" t="s">
        <v>26</v>
      </c>
    </row>
    <row r="9" spans="2:15" x14ac:dyDescent="0.25">
      <c r="B9" s="1">
        <v>6</v>
      </c>
      <c r="C9" s="4" t="s">
        <v>10</v>
      </c>
      <c r="D9" s="1" t="s">
        <v>7</v>
      </c>
      <c r="E9" s="2">
        <v>41792549</v>
      </c>
      <c r="F9" s="3"/>
      <c r="G9" s="1" t="s">
        <v>66</v>
      </c>
      <c r="I9" s="29">
        <v>188000</v>
      </c>
      <c r="J9" s="29">
        <f>Tabla1[[#This Row],[valor]]-15000</f>
        <v>173000</v>
      </c>
      <c r="K9" s="1" t="s">
        <v>64</v>
      </c>
    </row>
    <row r="10" spans="2:15" x14ac:dyDescent="0.25">
      <c r="B10" s="1">
        <v>7</v>
      </c>
      <c r="C10" s="4" t="s">
        <v>62</v>
      </c>
      <c r="D10" s="1" t="s">
        <v>7</v>
      </c>
      <c r="E10" s="2">
        <v>20609664</v>
      </c>
      <c r="F10" s="3"/>
      <c r="G10" s="1" t="s">
        <v>69</v>
      </c>
      <c r="I10" s="29">
        <v>188000</v>
      </c>
      <c r="J10" s="29">
        <f>Tabla1[[#This Row],[valor]]-15000</f>
        <v>173000</v>
      </c>
      <c r="K10" s="1" t="s">
        <v>64</v>
      </c>
    </row>
    <row r="11" spans="2:15" x14ac:dyDescent="0.25">
      <c r="B11" s="1">
        <v>8</v>
      </c>
      <c r="C11" s="4" t="s">
        <v>11</v>
      </c>
      <c r="D11" s="1" t="s">
        <v>7</v>
      </c>
      <c r="E11" s="2">
        <v>80354522</v>
      </c>
      <c r="F11" s="3"/>
      <c r="G11" s="1" t="s">
        <v>13</v>
      </c>
      <c r="I11" s="29">
        <v>188000</v>
      </c>
      <c r="J11" s="29">
        <f>Tabla1[[#This Row],[valor]]-15000</f>
        <v>173000</v>
      </c>
      <c r="K11" s="1" t="s">
        <v>55</v>
      </c>
    </row>
    <row r="12" spans="2:15" x14ac:dyDescent="0.25">
      <c r="B12" s="1">
        <v>9</v>
      </c>
      <c r="C12" s="4" t="s">
        <v>12</v>
      </c>
      <c r="D12" s="1" t="s">
        <v>7</v>
      </c>
      <c r="E12" s="2">
        <v>21016270</v>
      </c>
      <c r="F12" s="3"/>
      <c r="G12" s="1" t="s">
        <v>14</v>
      </c>
      <c r="H12" s="29" t="s">
        <v>66</v>
      </c>
      <c r="I12" s="29">
        <v>188000</v>
      </c>
      <c r="J12" s="29">
        <f>Tabla1[[#This Row],[valor]]-15000</f>
        <v>173000</v>
      </c>
      <c r="K12" s="1" t="s">
        <v>55</v>
      </c>
    </row>
    <row r="13" spans="2:15" x14ac:dyDescent="0.25">
      <c r="B13" s="1">
        <v>10</v>
      </c>
      <c r="C13" s="6" t="s">
        <v>15</v>
      </c>
      <c r="D13" s="1" t="s">
        <v>16</v>
      </c>
      <c r="E13" s="2">
        <v>41600310</v>
      </c>
      <c r="F13" s="3">
        <v>19148</v>
      </c>
      <c r="G13" s="1" t="s">
        <v>17</v>
      </c>
      <c r="H13" s="29" t="s">
        <v>66</v>
      </c>
      <c r="I13" s="29">
        <v>188000</v>
      </c>
      <c r="J13" s="29">
        <f>Tabla1[[#This Row],[valor]]-15000</f>
        <v>173000</v>
      </c>
      <c r="K13" s="1" t="s">
        <v>46</v>
      </c>
      <c r="L13" s="30" t="s">
        <v>19</v>
      </c>
    </row>
    <row r="14" spans="2:15" x14ac:dyDescent="0.25">
      <c r="B14" s="1">
        <v>11</v>
      </c>
      <c r="C14" s="6" t="s">
        <v>18</v>
      </c>
      <c r="D14" s="1" t="s">
        <v>16</v>
      </c>
      <c r="E14" s="2">
        <v>14248202</v>
      </c>
      <c r="F14" s="3"/>
      <c r="I14" s="29">
        <v>188000</v>
      </c>
      <c r="J14" s="29">
        <f>Tabla1[[#This Row],[valor]]-15000</f>
        <v>173000</v>
      </c>
      <c r="K14" s="1" t="s">
        <v>46</v>
      </c>
      <c r="L14" s="30"/>
    </row>
    <row r="15" spans="2:15" x14ac:dyDescent="0.25">
      <c r="B15" s="1">
        <v>12</v>
      </c>
      <c r="C15" s="9" t="s">
        <v>20</v>
      </c>
      <c r="D15" s="1" t="s">
        <v>7</v>
      </c>
      <c r="E15" s="2">
        <v>178969</v>
      </c>
      <c r="F15" s="3"/>
      <c r="G15" s="1" t="s">
        <v>66</v>
      </c>
      <c r="I15" s="29">
        <v>188000</v>
      </c>
      <c r="J15" s="29">
        <f>Tabla1[[#This Row],[valor]]-15000</f>
        <v>173000</v>
      </c>
      <c r="K15" s="1" t="s">
        <v>33</v>
      </c>
      <c r="M15" s="31" t="s">
        <v>5</v>
      </c>
      <c r="N15" s="31" t="s">
        <v>91</v>
      </c>
      <c r="O15" s="31" t="s">
        <v>92</v>
      </c>
    </row>
    <row r="16" spans="2:15" x14ac:dyDescent="0.25">
      <c r="B16" s="1">
        <v>13</v>
      </c>
      <c r="C16" s="9" t="s">
        <v>21</v>
      </c>
      <c r="D16" s="1" t="s">
        <v>7</v>
      </c>
      <c r="E16" s="2">
        <v>51602823</v>
      </c>
      <c r="F16" s="3"/>
      <c r="G16" s="1" t="s">
        <v>67</v>
      </c>
      <c r="I16" s="29">
        <v>188000</v>
      </c>
      <c r="J16" s="29">
        <f>Tabla1[[#This Row],[valor]]-15000</f>
        <v>173000</v>
      </c>
      <c r="K16" s="1" t="s">
        <v>33</v>
      </c>
      <c r="M16" s="31" t="s">
        <v>55</v>
      </c>
      <c r="N16" s="31">
        <v>4</v>
      </c>
      <c r="O16" s="32">
        <f>15000*N16</f>
        <v>60000</v>
      </c>
    </row>
    <row r="17" spans="2:15" x14ac:dyDescent="0.25">
      <c r="B17" s="1">
        <v>14</v>
      </c>
      <c r="C17" s="9" t="s">
        <v>22</v>
      </c>
      <c r="D17" s="1" t="s">
        <v>7</v>
      </c>
      <c r="E17" s="2">
        <v>19434860</v>
      </c>
      <c r="F17" s="3"/>
      <c r="G17" s="1" t="s">
        <v>66</v>
      </c>
      <c r="I17" s="29">
        <v>188000</v>
      </c>
      <c r="J17" s="29">
        <f>Tabla1[[#This Row],[valor]]-15000</f>
        <v>173000</v>
      </c>
      <c r="K17" s="1" t="s">
        <v>33</v>
      </c>
      <c r="M17" s="31" t="s">
        <v>74</v>
      </c>
      <c r="N17" s="31">
        <v>12</v>
      </c>
      <c r="O17" s="32">
        <f t="shared" ref="O17:O21" si="0">15000*N17</f>
        <v>180000</v>
      </c>
    </row>
    <row r="18" spans="2:15" x14ac:dyDescent="0.25">
      <c r="B18" s="1">
        <v>15</v>
      </c>
      <c r="C18" s="8" t="s">
        <v>23</v>
      </c>
      <c r="D18" s="1" t="s">
        <v>7</v>
      </c>
      <c r="E18" s="2">
        <v>21056217</v>
      </c>
      <c r="F18" s="3"/>
      <c r="I18" s="29">
        <v>188000</v>
      </c>
      <c r="J18" s="29">
        <f>Tabla1[[#This Row],[valor]]-15000</f>
        <v>173000</v>
      </c>
      <c r="K18" s="1" t="s">
        <v>26</v>
      </c>
      <c r="M18" s="31" t="s">
        <v>75</v>
      </c>
      <c r="N18" s="31">
        <v>8</v>
      </c>
      <c r="O18" s="32">
        <f t="shared" si="0"/>
        <v>120000</v>
      </c>
    </row>
    <row r="19" spans="2:15" x14ac:dyDescent="0.25">
      <c r="B19" s="1">
        <v>16</v>
      </c>
      <c r="C19" s="10" t="s">
        <v>24</v>
      </c>
      <c r="D19" s="1" t="s">
        <v>7</v>
      </c>
      <c r="E19" s="2">
        <v>1015438937</v>
      </c>
      <c r="F19" s="3"/>
      <c r="G19" s="1" t="s">
        <v>68</v>
      </c>
      <c r="I19" s="29">
        <v>188000</v>
      </c>
      <c r="J19" s="29">
        <f>Tabla1[[#This Row],[valor]]-15000</f>
        <v>173000</v>
      </c>
      <c r="K19" s="1" t="s">
        <v>26</v>
      </c>
      <c r="M19" s="31" t="s">
        <v>76</v>
      </c>
      <c r="N19" s="31">
        <v>10</v>
      </c>
      <c r="O19" s="32">
        <f t="shared" si="0"/>
        <v>150000</v>
      </c>
    </row>
    <row r="20" spans="2:15" x14ac:dyDescent="0.25">
      <c r="B20" s="1">
        <v>17</v>
      </c>
      <c r="C20" s="8" t="s">
        <v>25</v>
      </c>
      <c r="D20" s="1" t="s">
        <v>7</v>
      </c>
      <c r="E20" s="2">
        <v>21012699</v>
      </c>
      <c r="F20" s="3"/>
      <c r="I20" s="29">
        <v>188000</v>
      </c>
      <c r="J20" s="29">
        <f>Tabla1[[#This Row],[valor]]-15000</f>
        <v>173000</v>
      </c>
      <c r="K20" s="1" t="s">
        <v>26</v>
      </c>
      <c r="M20" s="31" t="s">
        <v>78</v>
      </c>
      <c r="N20" s="31">
        <v>2</v>
      </c>
      <c r="O20" s="32">
        <f t="shared" si="0"/>
        <v>30000</v>
      </c>
    </row>
    <row r="21" spans="2:15" x14ac:dyDescent="0.25">
      <c r="B21" s="1">
        <v>18</v>
      </c>
      <c r="C21" s="8" t="s">
        <v>63</v>
      </c>
      <c r="D21" s="1" t="s">
        <v>7</v>
      </c>
      <c r="E21" s="2">
        <v>21012620</v>
      </c>
      <c r="F21" s="3"/>
      <c r="G21" s="1" t="s">
        <v>66</v>
      </c>
      <c r="I21" s="29">
        <v>188000</v>
      </c>
      <c r="J21" s="29">
        <f>Tabla1[[#This Row],[valor]]-15000</f>
        <v>173000</v>
      </c>
      <c r="K21" s="1" t="s">
        <v>26</v>
      </c>
      <c r="M21" s="31" t="s">
        <v>77</v>
      </c>
      <c r="N21" s="31">
        <v>3</v>
      </c>
      <c r="O21" s="32">
        <v>0</v>
      </c>
    </row>
    <row r="22" spans="2:15" x14ac:dyDescent="0.25">
      <c r="B22" s="1">
        <v>19</v>
      </c>
      <c r="C22" s="9" t="s">
        <v>30</v>
      </c>
      <c r="D22" s="1" t="s">
        <v>7</v>
      </c>
      <c r="E22" s="2">
        <v>20872349</v>
      </c>
      <c r="F22" s="3"/>
      <c r="G22" s="1" t="s">
        <v>31</v>
      </c>
      <c r="H22" s="29">
        <v>130000</v>
      </c>
      <c r="I22" s="29">
        <v>188000</v>
      </c>
      <c r="J22" s="29">
        <f>Tabla1[[#This Row],[valor]]-15000</f>
        <v>173000</v>
      </c>
      <c r="K22" s="1" t="s">
        <v>33</v>
      </c>
      <c r="M22" s="31" t="s">
        <v>90</v>
      </c>
      <c r="N22" s="31">
        <f>SUM(N16:N21)</f>
        <v>39</v>
      </c>
      <c r="O22" s="32">
        <f>SUM(O16:O21)</f>
        <v>540000</v>
      </c>
    </row>
    <row r="23" spans="2:15" x14ac:dyDescent="0.25">
      <c r="B23" s="1">
        <v>20</v>
      </c>
      <c r="C23" s="9" t="s">
        <v>32</v>
      </c>
      <c r="D23" s="1" t="s">
        <v>7</v>
      </c>
      <c r="E23" s="2">
        <v>1030538922</v>
      </c>
      <c r="F23" s="3"/>
      <c r="G23" s="1" t="s">
        <v>67</v>
      </c>
      <c r="I23" s="29">
        <v>188000</v>
      </c>
      <c r="J23" s="29">
        <f>Tabla1[[#This Row],[valor]]-15000</f>
        <v>173000</v>
      </c>
      <c r="K23" s="1" t="s">
        <v>33</v>
      </c>
    </row>
    <row r="24" spans="2:15" x14ac:dyDescent="0.25">
      <c r="B24" s="1">
        <v>21</v>
      </c>
      <c r="C24" s="10" t="s">
        <v>35</v>
      </c>
      <c r="D24" s="1" t="s">
        <v>7</v>
      </c>
      <c r="E24" s="2">
        <v>51930796</v>
      </c>
      <c r="F24" s="3"/>
      <c r="G24" s="1">
        <v>3142914965</v>
      </c>
      <c r="I24" s="29">
        <v>188000</v>
      </c>
      <c r="J24" s="29">
        <f>Tabla1[[#This Row],[valor]]-15000</f>
        <v>173000</v>
      </c>
      <c r="K24" s="1" t="s">
        <v>33</v>
      </c>
    </row>
    <row r="25" spans="2:15" x14ac:dyDescent="0.25">
      <c r="B25" s="1">
        <v>22</v>
      </c>
      <c r="C25" s="10" t="s">
        <v>36</v>
      </c>
      <c r="D25" s="1" t="s">
        <v>7</v>
      </c>
      <c r="E25" s="2">
        <v>70627291</v>
      </c>
      <c r="F25" s="3"/>
      <c r="G25" s="1">
        <v>3142914965</v>
      </c>
      <c r="I25" s="29">
        <v>188000</v>
      </c>
      <c r="J25" s="29">
        <f>Tabla1[[#This Row],[valor]]-15000</f>
        <v>173000</v>
      </c>
      <c r="K25" s="1" t="s">
        <v>33</v>
      </c>
      <c r="M25" s="34" t="s">
        <v>93</v>
      </c>
      <c r="N25" s="34"/>
    </row>
    <row r="26" spans="2:15" x14ac:dyDescent="0.25">
      <c r="B26" s="1">
        <v>23</v>
      </c>
      <c r="C26" s="9" t="s">
        <v>37</v>
      </c>
      <c r="D26" s="1" t="s">
        <v>7</v>
      </c>
      <c r="E26" s="2">
        <v>39612927</v>
      </c>
      <c r="F26" s="3"/>
      <c r="I26" s="29">
        <v>188000</v>
      </c>
      <c r="J26" s="29">
        <f>Tabla1[[#This Row],[valor]]-15000</f>
        <v>173000</v>
      </c>
      <c r="K26" s="1" t="s">
        <v>46</v>
      </c>
      <c r="M26" s="31" t="s">
        <v>79</v>
      </c>
      <c r="N26" s="32">
        <v>2100000</v>
      </c>
    </row>
    <row r="27" spans="2:15" x14ac:dyDescent="0.25">
      <c r="B27" s="1">
        <v>24</v>
      </c>
      <c r="C27" s="9" t="s">
        <v>48</v>
      </c>
      <c r="D27" s="1" t="s">
        <v>7</v>
      </c>
      <c r="E27" s="2">
        <v>39523509</v>
      </c>
      <c r="F27" s="3"/>
      <c r="I27" s="29">
        <v>188000</v>
      </c>
      <c r="J27" s="29">
        <f>Tabla1[[#This Row],[valor]]-15000</f>
        <v>173000</v>
      </c>
      <c r="K27" s="1" t="s">
        <v>46</v>
      </c>
      <c r="M27" s="31" t="s">
        <v>80</v>
      </c>
      <c r="N27" s="32">
        <f>39*17000</f>
        <v>663000</v>
      </c>
    </row>
    <row r="28" spans="2:15" x14ac:dyDescent="0.25">
      <c r="B28" s="1">
        <v>25</v>
      </c>
      <c r="C28" s="9" t="s">
        <v>49</v>
      </c>
      <c r="D28" s="1" t="s">
        <v>7</v>
      </c>
      <c r="E28" s="2">
        <v>51914877</v>
      </c>
      <c r="F28" s="3"/>
      <c r="I28" s="29">
        <v>188000</v>
      </c>
      <c r="J28" s="29">
        <f>Tabla1[[#This Row],[valor]]-15000</f>
        <v>173000</v>
      </c>
      <c r="K28" s="1" t="s">
        <v>46</v>
      </c>
      <c r="M28" s="31" t="s">
        <v>81</v>
      </c>
      <c r="N28" s="32">
        <f>1579500-36900</f>
        <v>1542600</v>
      </c>
    </row>
    <row r="29" spans="2:15" x14ac:dyDescent="0.25">
      <c r="B29" s="1">
        <v>26</v>
      </c>
      <c r="C29" s="10" t="s">
        <v>38</v>
      </c>
      <c r="D29" s="1" t="s">
        <v>7</v>
      </c>
      <c r="E29" s="2">
        <v>179769</v>
      </c>
      <c r="F29" s="3"/>
      <c r="I29" s="29">
        <v>188000</v>
      </c>
      <c r="J29" s="29">
        <f>Tabla1[[#This Row],[valor]]-15000</f>
        <v>173000</v>
      </c>
      <c r="K29" s="1" t="s">
        <v>33</v>
      </c>
      <c r="M29" s="31" t="s">
        <v>82</v>
      </c>
      <c r="N29" s="32">
        <v>80000</v>
      </c>
    </row>
    <row r="30" spans="2:15" ht="15.75" thickBot="1" x14ac:dyDescent="0.3">
      <c r="B30" s="1">
        <v>27</v>
      </c>
      <c r="C30" s="10" t="s">
        <v>39</v>
      </c>
      <c r="D30" s="1" t="s">
        <v>7</v>
      </c>
      <c r="E30" s="2">
        <v>20870548</v>
      </c>
      <c r="F30" s="3"/>
      <c r="I30" s="29">
        <v>188000</v>
      </c>
      <c r="J30" s="29">
        <f>Tabla1[[#This Row],[valor]]-15000</f>
        <v>173000</v>
      </c>
      <c r="K30" s="1" t="s">
        <v>33</v>
      </c>
      <c r="M30" s="36" t="s">
        <v>83</v>
      </c>
      <c r="N30" s="37">
        <f>21000+101000</f>
        <v>122000</v>
      </c>
      <c r="O30" t="s">
        <v>84</v>
      </c>
    </row>
    <row r="31" spans="2:15" ht="15.75" thickBot="1" x14ac:dyDescent="0.3">
      <c r="B31" s="1">
        <v>28</v>
      </c>
      <c r="C31" s="8" t="s">
        <v>51</v>
      </c>
      <c r="D31" s="1" t="s">
        <v>7</v>
      </c>
      <c r="E31" s="2">
        <v>1075627230</v>
      </c>
      <c r="F31" s="3">
        <v>33775</v>
      </c>
      <c r="G31" s="1" t="s">
        <v>52</v>
      </c>
      <c r="H31" s="29">
        <v>200000</v>
      </c>
      <c r="I31" s="29">
        <v>188000</v>
      </c>
      <c r="J31" s="29">
        <f>Tabla1[[#This Row],[valor]]-15000</f>
        <v>173000</v>
      </c>
      <c r="K31" s="1" t="s">
        <v>33</v>
      </c>
      <c r="M31" s="41" t="s">
        <v>85</v>
      </c>
      <c r="N31" s="38">
        <f>SUM(N26:N30)</f>
        <v>4507600</v>
      </c>
    </row>
    <row r="32" spans="2:15" ht="15.75" thickBot="1" x14ac:dyDescent="0.3">
      <c r="B32" s="1">
        <v>29</v>
      </c>
      <c r="C32" s="8" t="s">
        <v>53</v>
      </c>
      <c r="D32" s="1" t="s">
        <v>7</v>
      </c>
      <c r="E32" s="2">
        <v>80354726</v>
      </c>
      <c r="F32" s="3">
        <v>45475</v>
      </c>
      <c r="G32" s="1" t="s">
        <v>54</v>
      </c>
      <c r="I32" s="29">
        <v>188000</v>
      </c>
      <c r="J32" s="29">
        <f>Tabla1[[#This Row],[valor]]-15000</f>
        <v>173000</v>
      </c>
      <c r="K32" s="1" t="s">
        <v>33</v>
      </c>
      <c r="M32" s="40" t="s">
        <v>86</v>
      </c>
      <c r="N32" s="38">
        <f>Tabla1[[#Totals],[comisión]]</f>
        <v>6243000</v>
      </c>
    </row>
    <row r="33" spans="2:14" x14ac:dyDescent="0.25">
      <c r="B33" s="1">
        <v>30</v>
      </c>
      <c r="C33" s="9" t="s">
        <v>40</v>
      </c>
      <c r="D33" s="1" t="s">
        <v>7</v>
      </c>
      <c r="E33" s="2">
        <v>23609821</v>
      </c>
      <c r="F33" s="3"/>
      <c r="I33" s="29">
        <v>188000</v>
      </c>
      <c r="J33" s="29">
        <f>Tabla1[[#This Row],[valor]]-15000</f>
        <v>173000</v>
      </c>
      <c r="K33" s="1" t="s">
        <v>46</v>
      </c>
      <c r="M33" s="39" t="s">
        <v>87</v>
      </c>
      <c r="N33" s="35">
        <f>N32-N31</f>
        <v>1735400</v>
      </c>
    </row>
    <row r="34" spans="2:14" x14ac:dyDescent="0.25">
      <c r="B34" s="1">
        <v>31</v>
      </c>
      <c r="C34" s="9" t="s">
        <v>41</v>
      </c>
      <c r="D34" s="1" t="s">
        <v>7</v>
      </c>
      <c r="E34" s="2">
        <v>19378439</v>
      </c>
      <c r="F34" s="3"/>
      <c r="I34" s="29">
        <v>188000</v>
      </c>
      <c r="J34" s="29">
        <f>Tabla1[[#This Row],[valor]]-15000</f>
        <v>173000</v>
      </c>
      <c r="K34" s="1" t="s">
        <v>46</v>
      </c>
    </row>
    <row r="35" spans="2:14" x14ac:dyDescent="0.25">
      <c r="B35" s="1">
        <v>32</v>
      </c>
      <c r="C35" s="9" t="s">
        <v>42</v>
      </c>
      <c r="D35" s="1" t="s">
        <v>7</v>
      </c>
      <c r="E35" s="2">
        <v>20871245</v>
      </c>
      <c r="F35" s="3"/>
      <c r="G35" s="1" t="s">
        <v>66</v>
      </c>
      <c r="I35" s="29">
        <v>188000</v>
      </c>
      <c r="J35" s="29">
        <f>Tabla1[[#This Row],[valor]]-15000</f>
        <v>173000</v>
      </c>
      <c r="K35" s="1" t="s">
        <v>46</v>
      </c>
    </row>
    <row r="36" spans="2:14" x14ac:dyDescent="0.25">
      <c r="B36" s="1">
        <v>33</v>
      </c>
      <c r="C36" s="9" t="s">
        <v>65</v>
      </c>
      <c r="D36" s="1" t="s">
        <v>7</v>
      </c>
      <c r="E36" s="2">
        <v>20872173</v>
      </c>
      <c r="F36" s="3">
        <v>29597</v>
      </c>
      <c r="I36" s="29">
        <v>188000</v>
      </c>
      <c r="J36" s="29">
        <f>Tabla1[[#This Row],[valor]]-15000</f>
        <v>173000</v>
      </c>
      <c r="K36" s="1" t="s">
        <v>46</v>
      </c>
    </row>
    <row r="37" spans="2:14" x14ac:dyDescent="0.25">
      <c r="B37" s="1">
        <v>34</v>
      </c>
      <c r="C37" s="9" t="s">
        <v>43</v>
      </c>
      <c r="D37" s="1" t="s">
        <v>7</v>
      </c>
      <c r="E37" s="2">
        <v>65379648</v>
      </c>
      <c r="F37" s="3"/>
      <c r="G37" s="1" t="s">
        <v>66</v>
      </c>
      <c r="I37" s="29">
        <v>188000</v>
      </c>
      <c r="J37" s="29">
        <f>Tabla1[[#This Row],[valor]]-15000</f>
        <v>173000</v>
      </c>
      <c r="K37" s="1" t="s">
        <v>46</v>
      </c>
    </row>
    <row r="38" spans="2:14" x14ac:dyDescent="0.25">
      <c r="B38" s="1">
        <v>35</v>
      </c>
      <c r="C38" s="9" t="s">
        <v>44</v>
      </c>
      <c r="D38" s="1" t="s">
        <v>7</v>
      </c>
      <c r="E38" s="2">
        <v>79538678</v>
      </c>
      <c r="F38" s="3"/>
      <c r="I38" s="29">
        <v>0</v>
      </c>
      <c r="J38" s="29">
        <v>0</v>
      </c>
      <c r="K38" s="1" t="s">
        <v>47</v>
      </c>
    </row>
    <row r="39" spans="2:14" x14ac:dyDescent="0.25">
      <c r="B39" s="1">
        <v>36</v>
      </c>
      <c r="C39" s="8" t="s">
        <v>45</v>
      </c>
      <c r="D39" s="1" t="s">
        <v>7</v>
      </c>
      <c r="E39" s="2">
        <v>79656808</v>
      </c>
      <c r="F39" s="3"/>
      <c r="I39" s="29">
        <v>0</v>
      </c>
      <c r="J39" s="29">
        <v>0</v>
      </c>
      <c r="K39" s="1" t="s">
        <v>47</v>
      </c>
    </row>
    <row r="40" spans="2:14" x14ac:dyDescent="0.25">
      <c r="B40" s="1">
        <v>37</v>
      </c>
      <c r="C40" s="9" t="s">
        <v>50</v>
      </c>
      <c r="D40" s="1" t="s">
        <v>7</v>
      </c>
      <c r="E40" s="7">
        <v>52231833</v>
      </c>
      <c r="F40" s="3"/>
      <c r="I40" s="29">
        <v>0</v>
      </c>
      <c r="J40" s="29">
        <v>0</v>
      </c>
      <c r="K40" s="1" t="s">
        <v>47</v>
      </c>
    </row>
    <row r="41" spans="2:14" x14ac:dyDescent="0.25">
      <c r="B41" s="1">
        <v>38</v>
      </c>
      <c r="C41" s="8" t="s">
        <v>60</v>
      </c>
      <c r="D41" s="1" t="s">
        <v>7</v>
      </c>
      <c r="E41" s="2">
        <v>21015380</v>
      </c>
      <c r="F41" s="3"/>
      <c r="G41" s="1" t="s">
        <v>61</v>
      </c>
      <c r="H41" s="29">
        <v>50000</v>
      </c>
      <c r="I41" s="29">
        <v>188000</v>
      </c>
      <c r="J41" s="29">
        <f>Tabla1[[#This Row],[valor]]-15000</f>
        <v>173000</v>
      </c>
      <c r="K41" s="1" t="s">
        <v>26</v>
      </c>
    </row>
    <row r="42" spans="2:14" x14ac:dyDescent="0.25">
      <c r="B42" s="1">
        <v>39</v>
      </c>
      <c r="C42" s="5" t="s">
        <v>70</v>
      </c>
      <c r="D42" s="1" t="s">
        <v>7</v>
      </c>
      <c r="E42" s="2">
        <v>44153474</v>
      </c>
      <c r="F42" s="3"/>
      <c r="I42" s="29">
        <v>188000</v>
      </c>
      <c r="J42" s="29">
        <f>Tabla1[[#This Row],[valor]]-15000</f>
        <v>173000</v>
      </c>
      <c r="K42" s="1" t="s">
        <v>33</v>
      </c>
    </row>
    <row r="43" spans="2:14" x14ac:dyDescent="0.25">
      <c r="B43" s="1">
        <v>40</v>
      </c>
      <c r="C43" s="5" t="s">
        <v>71</v>
      </c>
      <c r="D43" s="1" t="s">
        <v>72</v>
      </c>
      <c r="E43" s="2">
        <v>1011254988</v>
      </c>
      <c r="F43" s="3"/>
      <c r="H43" s="29">
        <v>15000</v>
      </c>
      <c r="I43" s="29">
        <v>15000</v>
      </c>
      <c r="J43" s="29">
        <v>15000</v>
      </c>
      <c r="K43" s="1" t="s">
        <v>73</v>
      </c>
    </row>
    <row r="44" spans="2:14" x14ac:dyDescent="0.25">
      <c r="E44" s="2"/>
      <c r="F44" s="3"/>
      <c r="I44" s="29">
        <f>SUBTOTAL(109,Tabla1[valor])</f>
        <v>6783000</v>
      </c>
      <c r="J44" s="33">
        <f>SUBTOTAL(109,Tabla1[comisión])</f>
        <v>6243000</v>
      </c>
    </row>
    <row r="45" spans="2:14" x14ac:dyDescent="0.25">
      <c r="J45" s="29">
        <f>Tabla1[[#Totals],[comisión]]+O22</f>
        <v>6783000</v>
      </c>
    </row>
  </sheetData>
  <mergeCells count="2">
    <mergeCell ref="L13:L14"/>
    <mergeCell ref="M25:N25"/>
  </mergeCells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7D04E-C38C-4EF8-A468-A35916F30C31}">
  <dimension ref="B2:H42"/>
  <sheetViews>
    <sheetView topLeftCell="A25" workbookViewId="0">
      <selection activeCell="B2" sqref="B2:H42"/>
    </sheetView>
  </sheetViews>
  <sheetFormatPr baseColWidth="10" defaultRowHeight="15" x14ac:dyDescent="0.25"/>
  <cols>
    <col min="2" max="2" width="3.140625" bestFit="1" customWidth="1"/>
    <col min="3" max="3" width="29.28515625" bestFit="1" customWidth="1"/>
    <col min="5" max="5" width="12.7109375" bestFit="1" customWidth="1"/>
  </cols>
  <sheetData>
    <row r="2" spans="2:8" x14ac:dyDescent="0.25">
      <c r="B2" s="11" t="s">
        <v>0</v>
      </c>
      <c r="C2" s="12" t="s">
        <v>1</v>
      </c>
      <c r="D2" s="12" t="s">
        <v>6</v>
      </c>
      <c r="E2" s="12" t="s">
        <v>2</v>
      </c>
      <c r="F2" s="13"/>
      <c r="G2" s="4" t="s">
        <v>27</v>
      </c>
      <c r="H2" s="13">
        <v>16</v>
      </c>
    </row>
    <row r="3" spans="2:8" x14ac:dyDescent="0.25">
      <c r="B3" s="14">
        <v>1</v>
      </c>
      <c r="C3" s="15" t="s">
        <v>8</v>
      </c>
      <c r="D3" s="16" t="s">
        <v>7</v>
      </c>
      <c r="E3" s="17">
        <v>21015224</v>
      </c>
      <c r="G3" s="5" t="s">
        <v>28</v>
      </c>
      <c r="H3">
        <v>7</v>
      </c>
    </row>
    <row r="4" spans="2:8" x14ac:dyDescent="0.25">
      <c r="B4" s="18">
        <v>2</v>
      </c>
      <c r="C4" s="15" t="s">
        <v>56</v>
      </c>
      <c r="D4" s="19" t="s">
        <v>7</v>
      </c>
      <c r="E4" s="7">
        <v>21013913</v>
      </c>
      <c r="G4" s="6" t="s">
        <v>29</v>
      </c>
      <c r="H4">
        <v>17</v>
      </c>
    </row>
    <row r="5" spans="2:8" x14ac:dyDescent="0.25">
      <c r="B5" s="14">
        <v>3</v>
      </c>
      <c r="C5" s="15" t="s">
        <v>9</v>
      </c>
      <c r="D5" s="16" t="s">
        <v>7</v>
      </c>
      <c r="E5" s="17">
        <v>21017918</v>
      </c>
      <c r="H5">
        <f>SUM(H2:H4)</f>
        <v>40</v>
      </c>
    </row>
    <row r="6" spans="2:8" x14ac:dyDescent="0.25">
      <c r="B6" s="18">
        <v>4</v>
      </c>
      <c r="C6" s="15" t="s">
        <v>58</v>
      </c>
      <c r="D6" s="19" t="s">
        <v>7</v>
      </c>
      <c r="E6" s="7">
        <v>21014371</v>
      </c>
    </row>
    <row r="7" spans="2:8" x14ac:dyDescent="0.25">
      <c r="B7" s="14">
        <v>5</v>
      </c>
      <c r="C7" s="15" t="s">
        <v>59</v>
      </c>
      <c r="D7" s="16" t="s">
        <v>7</v>
      </c>
      <c r="E7" s="17">
        <v>21014236</v>
      </c>
    </row>
    <row r="8" spans="2:8" x14ac:dyDescent="0.25">
      <c r="B8" s="18">
        <v>6</v>
      </c>
      <c r="C8" s="15" t="s">
        <v>10</v>
      </c>
      <c r="D8" s="19" t="s">
        <v>7</v>
      </c>
      <c r="E8" s="7">
        <v>41792549</v>
      </c>
    </row>
    <row r="9" spans="2:8" x14ac:dyDescent="0.25">
      <c r="B9" s="14">
        <v>7</v>
      </c>
      <c r="C9" s="15" t="s">
        <v>62</v>
      </c>
      <c r="D9" s="16" t="s">
        <v>7</v>
      </c>
      <c r="E9" s="17">
        <v>20609664</v>
      </c>
    </row>
    <row r="10" spans="2:8" x14ac:dyDescent="0.25">
      <c r="B10" s="18">
        <v>8</v>
      </c>
      <c r="C10" s="15" t="s">
        <v>11</v>
      </c>
      <c r="D10" s="19" t="s">
        <v>7</v>
      </c>
      <c r="E10" s="7">
        <v>80354522</v>
      </c>
    </row>
    <row r="11" spans="2:8" x14ac:dyDescent="0.25">
      <c r="B11" s="14">
        <v>9</v>
      </c>
      <c r="C11" s="15" t="s">
        <v>12</v>
      </c>
      <c r="D11" s="16" t="s">
        <v>7</v>
      </c>
      <c r="E11" s="17">
        <v>21016270</v>
      </c>
    </row>
    <row r="12" spans="2:8" x14ac:dyDescent="0.25">
      <c r="B12" s="18">
        <v>10</v>
      </c>
      <c r="C12" s="20" t="s">
        <v>15</v>
      </c>
      <c r="D12" s="19" t="s">
        <v>16</v>
      </c>
      <c r="E12" s="7">
        <v>41600310</v>
      </c>
    </row>
    <row r="13" spans="2:8" x14ac:dyDescent="0.25">
      <c r="B13" s="14">
        <v>11</v>
      </c>
      <c r="C13" s="20" t="s">
        <v>18</v>
      </c>
      <c r="D13" s="16" t="s">
        <v>16</v>
      </c>
      <c r="E13" s="17">
        <v>14248202</v>
      </c>
    </row>
    <row r="14" spans="2:8" x14ac:dyDescent="0.25">
      <c r="B14" s="18">
        <v>12</v>
      </c>
      <c r="C14" s="20" t="s">
        <v>20</v>
      </c>
      <c r="D14" s="19" t="s">
        <v>7</v>
      </c>
      <c r="E14" s="7">
        <v>178969</v>
      </c>
    </row>
    <row r="15" spans="2:8" x14ac:dyDescent="0.25">
      <c r="B15" s="14">
        <v>13</v>
      </c>
      <c r="C15" s="20" t="s">
        <v>21</v>
      </c>
      <c r="D15" s="16" t="s">
        <v>7</v>
      </c>
      <c r="E15" s="17">
        <v>51602823</v>
      </c>
    </row>
    <row r="16" spans="2:8" x14ac:dyDescent="0.25">
      <c r="B16" s="18">
        <v>14</v>
      </c>
      <c r="C16" s="20" t="s">
        <v>22</v>
      </c>
      <c r="D16" s="19" t="s">
        <v>7</v>
      </c>
      <c r="E16" s="7">
        <v>19434860</v>
      </c>
    </row>
    <row r="17" spans="2:5" x14ac:dyDescent="0.25">
      <c r="B17" s="14">
        <v>15</v>
      </c>
      <c r="C17" s="15" t="s">
        <v>23</v>
      </c>
      <c r="D17" s="16" t="s">
        <v>7</v>
      </c>
      <c r="E17" s="17">
        <v>21056217</v>
      </c>
    </row>
    <row r="18" spans="2:5" x14ac:dyDescent="0.25">
      <c r="B18" s="18">
        <v>16</v>
      </c>
      <c r="C18" s="21" t="s">
        <v>24</v>
      </c>
      <c r="D18" s="19" t="s">
        <v>7</v>
      </c>
      <c r="E18" s="7">
        <v>1015438937</v>
      </c>
    </row>
    <row r="19" spans="2:5" x14ac:dyDescent="0.25">
      <c r="B19" s="14">
        <v>17</v>
      </c>
      <c r="C19" s="15" t="s">
        <v>25</v>
      </c>
      <c r="D19" s="16" t="s">
        <v>7</v>
      </c>
      <c r="E19" s="17">
        <v>21012699</v>
      </c>
    </row>
    <row r="20" spans="2:5" x14ac:dyDescent="0.25">
      <c r="B20" s="18">
        <v>18</v>
      </c>
      <c r="C20" s="15" t="s">
        <v>63</v>
      </c>
      <c r="D20" s="19" t="s">
        <v>7</v>
      </c>
      <c r="E20" s="7">
        <v>21012620</v>
      </c>
    </row>
    <row r="21" spans="2:5" x14ac:dyDescent="0.25">
      <c r="B21" s="14">
        <v>19</v>
      </c>
      <c r="C21" s="20" t="s">
        <v>30</v>
      </c>
      <c r="D21" s="16" t="s">
        <v>7</v>
      </c>
      <c r="E21" s="17">
        <v>20872349</v>
      </c>
    </row>
    <row r="22" spans="2:5" x14ac:dyDescent="0.25">
      <c r="B22" s="18">
        <v>20</v>
      </c>
      <c r="C22" s="20" t="s">
        <v>32</v>
      </c>
      <c r="D22" s="19" t="s">
        <v>7</v>
      </c>
      <c r="E22" s="7">
        <v>1030538922</v>
      </c>
    </row>
    <row r="23" spans="2:5" x14ac:dyDescent="0.25">
      <c r="B23" s="14">
        <v>21</v>
      </c>
      <c r="C23" s="21" t="s">
        <v>35</v>
      </c>
      <c r="D23" s="16" t="s">
        <v>7</v>
      </c>
      <c r="E23" s="17">
        <v>51930796</v>
      </c>
    </row>
    <row r="24" spans="2:5" x14ac:dyDescent="0.25">
      <c r="B24" s="18">
        <v>22</v>
      </c>
      <c r="C24" s="21" t="s">
        <v>36</v>
      </c>
      <c r="D24" s="19" t="s">
        <v>7</v>
      </c>
      <c r="E24" s="7">
        <v>70627291</v>
      </c>
    </row>
    <row r="25" spans="2:5" x14ac:dyDescent="0.25">
      <c r="B25" s="14">
        <v>23</v>
      </c>
      <c r="C25" s="20" t="s">
        <v>37</v>
      </c>
      <c r="D25" s="16" t="s">
        <v>7</v>
      </c>
      <c r="E25" s="17">
        <v>39612927</v>
      </c>
    </row>
    <row r="26" spans="2:5" x14ac:dyDescent="0.25">
      <c r="B26" s="18">
        <v>24</v>
      </c>
      <c r="C26" s="20" t="s">
        <v>48</v>
      </c>
      <c r="D26" s="19" t="s">
        <v>7</v>
      </c>
      <c r="E26" s="7">
        <v>39523509</v>
      </c>
    </row>
    <row r="27" spans="2:5" x14ac:dyDescent="0.25">
      <c r="B27" s="14">
        <v>25</v>
      </c>
      <c r="C27" s="20" t="s">
        <v>49</v>
      </c>
      <c r="D27" s="16" t="s">
        <v>7</v>
      </c>
      <c r="E27" s="17">
        <v>51914877</v>
      </c>
    </row>
    <row r="28" spans="2:5" x14ac:dyDescent="0.25">
      <c r="B28" s="18">
        <v>26</v>
      </c>
      <c r="C28" s="21" t="s">
        <v>38</v>
      </c>
      <c r="D28" s="19" t="s">
        <v>7</v>
      </c>
      <c r="E28" s="7">
        <v>179769</v>
      </c>
    </row>
    <row r="29" spans="2:5" x14ac:dyDescent="0.25">
      <c r="B29" s="14">
        <v>27</v>
      </c>
      <c r="C29" s="21" t="s">
        <v>39</v>
      </c>
      <c r="D29" s="16" t="s">
        <v>7</v>
      </c>
      <c r="E29" s="17">
        <v>20870548</v>
      </c>
    </row>
    <row r="30" spans="2:5" x14ac:dyDescent="0.25">
      <c r="B30" s="18">
        <v>28</v>
      </c>
      <c r="C30" s="15" t="s">
        <v>51</v>
      </c>
      <c r="D30" s="19" t="s">
        <v>7</v>
      </c>
      <c r="E30" s="7">
        <v>1075627230</v>
      </c>
    </row>
    <row r="31" spans="2:5" x14ac:dyDescent="0.25">
      <c r="B31" s="14">
        <v>29</v>
      </c>
      <c r="C31" s="15" t="s">
        <v>53</v>
      </c>
      <c r="D31" s="16" t="s">
        <v>7</v>
      </c>
      <c r="E31" s="17">
        <v>80354726</v>
      </c>
    </row>
    <row r="32" spans="2:5" x14ac:dyDescent="0.25">
      <c r="B32" s="18">
        <v>30</v>
      </c>
      <c r="C32" s="20" t="s">
        <v>40</v>
      </c>
      <c r="D32" s="19" t="s">
        <v>7</v>
      </c>
      <c r="E32" s="7">
        <v>23609821</v>
      </c>
    </row>
    <row r="33" spans="2:8" x14ac:dyDescent="0.25">
      <c r="B33" s="14">
        <v>31</v>
      </c>
      <c r="C33" s="20" t="s">
        <v>41</v>
      </c>
      <c r="D33" s="16" t="s">
        <v>7</v>
      </c>
      <c r="E33" s="17">
        <v>19378439</v>
      </c>
    </row>
    <row r="34" spans="2:8" x14ac:dyDescent="0.25">
      <c r="B34" s="14">
        <v>32</v>
      </c>
      <c r="C34" s="20" t="s">
        <v>42</v>
      </c>
      <c r="D34" s="19" t="s">
        <v>7</v>
      </c>
      <c r="E34" s="7">
        <v>20871245</v>
      </c>
    </row>
    <row r="35" spans="2:8" x14ac:dyDescent="0.25">
      <c r="B35" s="14">
        <v>33</v>
      </c>
      <c r="C35" s="20" t="s">
        <v>65</v>
      </c>
      <c r="D35" s="16" t="s">
        <v>7</v>
      </c>
      <c r="E35" s="17">
        <v>20872173</v>
      </c>
    </row>
    <row r="36" spans="2:8" x14ac:dyDescent="0.25">
      <c r="B36" s="14">
        <v>34</v>
      </c>
      <c r="C36" s="20" t="s">
        <v>43</v>
      </c>
      <c r="D36" s="19" t="s">
        <v>7</v>
      </c>
      <c r="E36" s="7">
        <v>65379648</v>
      </c>
    </row>
    <row r="37" spans="2:8" x14ac:dyDescent="0.25">
      <c r="B37" s="14">
        <v>35</v>
      </c>
      <c r="C37" s="20" t="s">
        <v>44</v>
      </c>
      <c r="D37" s="19" t="s">
        <v>7</v>
      </c>
      <c r="E37" s="7">
        <v>79538678</v>
      </c>
    </row>
    <row r="38" spans="2:8" x14ac:dyDescent="0.25">
      <c r="B38" s="14">
        <v>36</v>
      </c>
      <c r="C38" s="15" t="s">
        <v>45</v>
      </c>
      <c r="D38" s="16" t="s">
        <v>7</v>
      </c>
      <c r="E38" s="17">
        <v>79656808</v>
      </c>
    </row>
    <row r="39" spans="2:8" x14ac:dyDescent="0.25">
      <c r="B39" s="14">
        <v>37</v>
      </c>
      <c r="C39" s="20" t="s">
        <v>50</v>
      </c>
      <c r="D39" s="19" t="s">
        <v>7</v>
      </c>
      <c r="E39" s="7">
        <v>52231833</v>
      </c>
    </row>
    <row r="40" spans="2:8" x14ac:dyDescent="0.25">
      <c r="B40" s="14">
        <v>38</v>
      </c>
      <c r="C40" s="15" t="s">
        <v>60</v>
      </c>
      <c r="D40" s="16" t="s">
        <v>7</v>
      </c>
      <c r="E40" s="17">
        <v>21015380</v>
      </c>
    </row>
    <row r="41" spans="2:8" x14ac:dyDescent="0.25">
      <c r="B41" s="22">
        <v>39</v>
      </c>
      <c r="C41" s="23" t="s">
        <v>70</v>
      </c>
      <c r="D41" s="24" t="s">
        <v>7</v>
      </c>
      <c r="E41" s="25">
        <v>44153474</v>
      </c>
      <c r="H41" s="1"/>
    </row>
    <row r="42" spans="2:8" x14ac:dyDescent="0.25">
      <c r="B42" s="26">
        <v>40</v>
      </c>
      <c r="C42" s="23" t="s">
        <v>71</v>
      </c>
      <c r="D42" s="27" t="s">
        <v>72</v>
      </c>
      <c r="E42" s="28">
        <v>1011254988</v>
      </c>
      <c r="H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2024-01-24T13:45:16Z</dcterms:created>
  <dcterms:modified xsi:type="dcterms:W3CDTF">2024-04-10T19:06:16Z</dcterms:modified>
</cp:coreProperties>
</file>