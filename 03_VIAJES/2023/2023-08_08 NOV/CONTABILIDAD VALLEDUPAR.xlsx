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69EE98AA-34A7-43B3-8DE8-5FE3B5583626}" xr6:coauthVersionLast="47" xr6:coauthVersionMax="47" xr10:uidLastSave="{00000000-0000-0000-0000-000000000000}"/>
  <bookViews>
    <workbookView xWindow="-120" yWindow="-120" windowWidth="20730" windowHeight="11040" xr2:uid="{1517665C-7ECE-4FCB-BDF4-107F9EA61C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1" l="1"/>
  <c r="N19" i="1"/>
  <c r="N20" i="1"/>
  <c r="N21" i="1"/>
  <c r="N22" i="1"/>
  <c r="N23" i="1" s="1"/>
  <c r="N18" i="1"/>
  <c r="M13" i="1"/>
  <c r="M12" i="1"/>
  <c r="M14" i="1" s="1"/>
  <c r="J44" i="1"/>
  <c r="I44" i="1"/>
  <c r="J39" i="1"/>
  <c r="J40" i="1"/>
  <c r="J41" i="1"/>
  <c r="J42" i="1"/>
  <c r="J43" i="1"/>
  <c r="J27" i="1"/>
  <c r="J28" i="1"/>
  <c r="J29" i="1"/>
  <c r="J30" i="1"/>
  <c r="J31" i="1"/>
  <c r="J32" i="1"/>
  <c r="J33" i="1"/>
  <c r="J34" i="1"/>
  <c r="J35" i="1"/>
  <c r="J36" i="1"/>
  <c r="J37" i="1"/>
  <c r="J38" i="1"/>
  <c r="J17" i="1"/>
  <c r="J21" i="1"/>
  <c r="J22" i="1"/>
  <c r="J23" i="1"/>
  <c r="J24" i="1"/>
  <c r="J25" i="1"/>
  <c r="J26" i="1"/>
  <c r="J20" i="1"/>
  <c r="J16" i="1"/>
  <c r="J14" i="1"/>
  <c r="J13" i="1"/>
  <c r="J3" i="1"/>
  <c r="J4" i="1"/>
  <c r="J5" i="1"/>
  <c r="J6" i="1"/>
  <c r="J7" i="1"/>
  <c r="J8" i="1"/>
  <c r="J9" i="1"/>
  <c r="J10" i="1"/>
  <c r="J11" i="1"/>
  <c r="J12" i="1"/>
  <c r="J2" i="1"/>
</calcChain>
</file>

<file path=xl/sharedStrings.xml><?xml version="1.0" encoding="utf-8"?>
<sst xmlns="http://schemas.openxmlformats.org/spreadsheetml/2006/main" count="215" uniqueCount="98">
  <si>
    <t>N°</t>
  </si>
  <si>
    <t>NOMBRE</t>
  </si>
  <si>
    <t>TIPO DE DOCUMENTO</t>
  </si>
  <si>
    <t>N° DE DOCUMENTO</t>
  </si>
  <si>
    <t>FECHA DE NACIMIENTO</t>
  </si>
  <si>
    <t xml:space="preserve">TELEFONO </t>
  </si>
  <si>
    <t xml:space="preserve">LUZ MARINA PACHON LIBERATO </t>
  </si>
  <si>
    <t>LUZ MARINA LIBERATO MELO</t>
  </si>
  <si>
    <t>BOLETA</t>
  </si>
  <si>
    <t>C.C</t>
  </si>
  <si>
    <t>321 485 4061</t>
  </si>
  <si>
    <t>320 419 6499</t>
  </si>
  <si>
    <t>COMISIONADO</t>
  </si>
  <si>
    <t>LAD</t>
  </si>
  <si>
    <t>EDITH</t>
  </si>
  <si>
    <t>DEICY LORENA CAMACHO MONTILLA</t>
  </si>
  <si>
    <t>GLORIA</t>
  </si>
  <si>
    <t xml:space="preserve">NORMA LIZETH GUTIERREZ GUARIN </t>
  </si>
  <si>
    <t>SANDRA CAROLINA MONTILLA PARRA</t>
  </si>
  <si>
    <t>PABLO ABBATE SERRANO</t>
  </si>
  <si>
    <t>310 311 0745</t>
  </si>
  <si>
    <t>ROBINSON FABIAN MELO OVALLE</t>
  </si>
  <si>
    <t>320 890 2892</t>
  </si>
  <si>
    <t>MARÍA VITERMINA MARQUEZ BERMUDEZ</t>
  </si>
  <si>
    <t>JUAN PABLO RAYRAN MARQUEZ</t>
  </si>
  <si>
    <t>T.I</t>
  </si>
  <si>
    <t>SONIA MERCEDES MONTILLA COLMENARES</t>
  </si>
  <si>
    <t>RONALD SANTIAGO PUENTES MONTILLA</t>
  </si>
  <si>
    <t>R.C</t>
  </si>
  <si>
    <t xml:space="preserve">BLANCA CECILIA COLMENARES MARTINEZ </t>
  </si>
  <si>
    <t xml:space="preserve">LUIS ALBERTO DUARTE MOLINA </t>
  </si>
  <si>
    <t>GUSTAVO ALFONSO GIRON MORENO</t>
  </si>
  <si>
    <t xml:space="preserve">GABRIEL CABRERA PINZON </t>
  </si>
  <si>
    <t xml:space="preserve">MARIA FERNANDA BENAVIDES </t>
  </si>
  <si>
    <t xml:space="preserve">CRISTINA FERRO BOLAÑOS </t>
  </si>
  <si>
    <t>313 648 4527</t>
  </si>
  <si>
    <t>MAFE</t>
  </si>
  <si>
    <t>MARTIN EMILIO GOMEZ RODRÍGUEZ</t>
  </si>
  <si>
    <t>320 338 3913</t>
  </si>
  <si>
    <t>ROSA YOLANDA MORENO SILVA</t>
  </si>
  <si>
    <t>320 846 8915</t>
  </si>
  <si>
    <t>310 303 8068</t>
  </si>
  <si>
    <t>JONATHAN HARRY DIAZ MORENO</t>
  </si>
  <si>
    <t xml:space="preserve">DIANA ESPINOSA GARCIA </t>
  </si>
  <si>
    <t>310 866 9863</t>
  </si>
  <si>
    <t>JHONATHAN</t>
  </si>
  <si>
    <t>MARÍA ANGELICA GARCIA REYES</t>
  </si>
  <si>
    <t>311 544 9809</t>
  </si>
  <si>
    <t>FELIX ANDRES  REINA LARA</t>
  </si>
  <si>
    <t>310 331 5322</t>
  </si>
  <si>
    <t>ALODIA MARQUEZ BERMUDEZ</t>
  </si>
  <si>
    <t>ERIKA MUÑOZ</t>
  </si>
  <si>
    <t>KAREN LORENA ESPINOSA</t>
  </si>
  <si>
    <t>ROSA HELENA FARFAN HERRERA</t>
  </si>
  <si>
    <t>313 559 2586</t>
  </si>
  <si>
    <t>HERMINZON SALCEDO TAFUR</t>
  </si>
  <si>
    <t>NATALY ARENAS PENAGOS</t>
  </si>
  <si>
    <t>323 227 5218</t>
  </si>
  <si>
    <t xml:space="preserve">LUIS JHONY ORTEGA VERGARA </t>
  </si>
  <si>
    <t>313 568 7409</t>
  </si>
  <si>
    <t>SANDRA PATRICIA PATIÑO</t>
  </si>
  <si>
    <t>321 209 1537</t>
  </si>
  <si>
    <t xml:space="preserve">JOSÉ DAVID ORTEGA </t>
  </si>
  <si>
    <t>313 497 0831</t>
  </si>
  <si>
    <t>CARLOS AUGUSTO MORENO ALVARADO</t>
  </si>
  <si>
    <t>JULY TATIANA SARMIENTO JUTINICO</t>
  </si>
  <si>
    <t>si</t>
  </si>
  <si>
    <t xml:space="preserve">CLAUDIA MARCELA LEAL </t>
  </si>
  <si>
    <t>NO</t>
  </si>
  <si>
    <t>ISABEL GARCIA FUENTES</t>
  </si>
  <si>
    <t>322 225 7041</t>
  </si>
  <si>
    <t xml:space="preserve">MARÍA ALEJANDRA ESPINOZA GARCIA </t>
  </si>
  <si>
    <t xml:space="preserve">20.871 845 </t>
  </si>
  <si>
    <t>ISABELLA FAGER ESPINOZA</t>
  </si>
  <si>
    <t>SI</t>
  </si>
  <si>
    <t>JORGE ENRIQUE GIRÓN MENDOZA</t>
  </si>
  <si>
    <t>SANDRA MILENA AVILA CUBILLOS</t>
  </si>
  <si>
    <t>FLORINDA DAZA MARIN</t>
  </si>
  <si>
    <t>HUBER MAFLA HERRERA</t>
  </si>
  <si>
    <t>VALOR</t>
  </si>
  <si>
    <t>SIN COMISIONES</t>
  </si>
  <si>
    <t>TRANSPORTE</t>
  </si>
  <si>
    <t>SEGURO</t>
  </si>
  <si>
    <t>DESAYUNOS</t>
  </si>
  <si>
    <t>ALMUERZOS 1</t>
  </si>
  <si>
    <t>GRUPO VALLENATO</t>
  </si>
  <si>
    <t>GUÍA</t>
  </si>
  <si>
    <t>GASTOS DE REPRESENTACIÓN</t>
  </si>
  <si>
    <t>HOTEL</t>
  </si>
  <si>
    <t>TOTAL</t>
  </si>
  <si>
    <t>INGRESO</t>
  </si>
  <si>
    <t>UTILIDAD</t>
  </si>
  <si>
    <t>COSTOS Y GASTOS VALLEDUPAR</t>
  </si>
  <si>
    <t>JHONATAN</t>
  </si>
  <si>
    <t>COMISIONISTAS</t>
  </si>
  <si>
    <t>UNI</t>
  </si>
  <si>
    <t>PAGO</t>
  </si>
  <si>
    <t>ALMUERZOS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</si>
</sst>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3" fontId="0" fillId="0" borderId="2" xfId="0" applyNumberFormat="1" applyFill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0" fillId="0" borderId="3" xfId="0" applyBorder="1"/>
    <xf numFmtId="44" fontId="0" fillId="0" borderId="3" xfId="1" applyFont="1" applyBorder="1"/>
    <xf numFmtId="0" fontId="0" fillId="0" borderId="4" xfId="0" applyBorder="1"/>
    <xf numFmtId="44" fontId="0" fillId="0" borderId="4" xfId="1" applyFont="1" applyBorder="1"/>
    <xf numFmtId="44" fontId="0" fillId="3" borderId="6" xfId="1" applyFont="1" applyFill="1" applyBorder="1"/>
    <xf numFmtId="44" fontId="0" fillId="5" borderId="5" xfId="1" applyFont="1" applyFill="1" applyBorder="1"/>
    <xf numFmtId="44" fontId="0" fillId="4" borderId="6" xfId="1" applyFont="1" applyFill="1" applyBorder="1"/>
    <xf numFmtId="0" fontId="2" fillId="0" borderId="6" xfId="0" applyFont="1" applyBorder="1"/>
    <xf numFmtId="0" fontId="2" fillId="0" borderId="5" xfId="0" applyFont="1" applyBorder="1"/>
    <xf numFmtId="0" fontId="2" fillId="6" borderId="3" xfId="0" applyFont="1" applyFill="1" applyBorder="1" applyAlignment="1">
      <alignment horizontal="center"/>
    </xf>
    <xf numFmtId="0" fontId="2" fillId="0" borderId="3" xfId="0" applyFont="1" applyFill="1" applyBorder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5" xfId="0" applyFont="1" applyFill="1" applyBorder="1"/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2" fillId="0" borderId="4" xfId="0" applyFont="1" applyFill="1" applyBorder="1"/>
    <xf numFmtId="0" fontId="0" fillId="0" borderId="4" xfId="0" applyBorder="1" applyAlignment="1">
      <alignment horizontal="center"/>
    </xf>
    <xf numFmtId="44" fontId="0" fillId="0" borderId="4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DA6A5-9A32-4BA1-885C-2DC4E19BFB6F}" name="Tabla1" displayName="Tabla1" ref="A1:J44" totalsRowCount="1" headerRowDxfId="18">
  <autoFilter ref="A1:J43" xr:uid="{D0FDA6A5-9A32-4BA1-885C-2DC4E19BFB6F}"/>
  <tableColumns count="10">
    <tableColumn id="1" xr3:uid="{91CE9FB1-7199-4617-B478-ACFF0F7F59D0}" name="N°" dataDxfId="17" totalsRowDxfId="9"/>
    <tableColumn id="2" xr3:uid="{0CB99C0E-EE32-4F2F-9DBF-9CF22367719C}" name="NOMBRE" dataDxfId="16" totalsRowDxfId="8"/>
    <tableColumn id="3" xr3:uid="{C127907A-7FE5-401B-9065-CD3F0F99157C}" name="BOLETA" dataDxfId="15" totalsRowDxfId="7"/>
    <tableColumn id="4" xr3:uid="{AA257F70-79E2-49DF-8838-01662441BFEC}" name="TIPO DE DOCUMENTO" dataDxfId="14" totalsRowDxfId="6"/>
    <tableColumn id="5" xr3:uid="{AF49D48D-F76E-4017-B4F7-FD1B58059183}" name="N° DE DOCUMENTO" dataDxfId="13" totalsRowDxfId="5"/>
    <tableColumn id="6" xr3:uid="{615310C6-BB54-479C-81A3-3A5BB33D5FD2}" name="FECHA DE NACIMIENTO" dataDxfId="12" totalsRowDxfId="4"/>
    <tableColumn id="7" xr3:uid="{E0C071AF-D96A-42C3-9DAE-2A6EC18EE387}" name="TELEFONO " dataDxfId="11" totalsRowDxfId="3"/>
    <tableColumn id="8" xr3:uid="{B307A7B6-D046-4ED8-9F26-98D27B768073}" name="COMISIONADO" dataDxfId="10" totalsRowDxfId="2"/>
    <tableColumn id="9" xr3:uid="{B7854247-CFF6-403D-BDC8-DADCE5DA29A1}" name="VALOR" totalsRowFunction="sum" totalsRowDxfId="1" totalsRowCellStyle="Moneda"/>
    <tableColumn id="10" xr3:uid="{0F944EAC-4773-434B-82E1-53ACD750DD49}" name="SIN COMISIONES" totalsRowFunction="sum" totalsRowDxfId="0" totalsRow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6863-63AB-4861-8CDC-B88868066011}">
  <dimension ref="A1:N44"/>
  <sheetViews>
    <sheetView tabSelected="1" topLeftCell="G7" workbookViewId="0">
      <selection activeCell="M10" sqref="M10"/>
    </sheetView>
  </sheetViews>
  <sheetFormatPr baseColWidth="10" defaultRowHeight="15" x14ac:dyDescent="0.25"/>
  <cols>
    <col min="1" max="1" width="5.28515625" style="2" customWidth="1"/>
    <col min="2" max="2" width="39.140625" style="2" bestFit="1" customWidth="1"/>
    <col min="3" max="3" width="12.28515625" style="2" bestFit="1" customWidth="1"/>
    <col min="4" max="4" width="25" style="2" bestFit="1" customWidth="1"/>
    <col min="5" max="5" width="23" style="2" bestFit="1" customWidth="1"/>
    <col min="6" max="6" width="26.42578125" style="2" bestFit="1" customWidth="1"/>
    <col min="7" max="7" width="15.140625" style="2" bestFit="1" customWidth="1"/>
    <col min="8" max="8" width="19" style="1" bestFit="1" customWidth="1"/>
    <col min="9" max="9" width="15.5703125" bestFit="1" customWidth="1"/>
    <col min="10" max="10" width="20.42578125" bestFit="1" customWidth="1"/>
    <col min="12" max="12" width="27.28515625" bestFit="1" customWidth="1"/>
    <col min="13" max="13" width="15.5703125" bestFit="1" customWidth="1"/>
    <col min="14" max="14" width="14.5703125" bestFit="1" customWidth="1"/>
  </cols>
  <sheetData>
    <row r="1" spans="1:13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</v>
      </c>
      <c r="I1" s="2" t="s">
        <v>79</v>
      </c>
      <c r="J1" s="2" t="s">
        <v>80</v>
      </c>
    </row>
    <row r="2" spans="1:13" x14ac:dyDescent="0.25">
      <c r="A2" s="2">
        <v>1</v>
      </c>
      <c r="B2" s="3" t="s">
        <v>6</v>
      </c>
      <c r="C2" s="2" t="s">
        <v>66</v>
      </c>
      <c r="D2" s="2" t="s">
        <v>9</v>
      </c>
      <c r="E2" s="4">
        <v>52502797</v>
      </c>
      <c r="F2" s="5">
        <v>28542</v>
      </c>
      <c r="G2" s="2" t="s">
        <v>10</v>
      </c>
      <c r="H2" s="1" t="s">
        <v>13</v>
      </c>
      <c r="I2" s="10">
        <v>495000</v>
      </c>
      <c r="J2" s="11">
        <f>Tabla1[[#This Row],[VALOR]]-30000</f>
        <v>465000</v>
      </c>
      <c r="L2" s="21" t="s">
        <v>92</v>
      </c>
      <c r="M2" s="21"/>
    </row>
    <row r="3" spans="1:13" x14ac:dyDescent="0.25">
      <c r="A3" s="2">
        <v>2</v>
      </c>
      <c r="B3" s="3" t="s">
        <v>7</v>
      </c>
      <c r="C3" s="2" t="s">
        <v>66</v>
      </c>
      <c r="D3" s="2" t="s">
        <v>9</v>
      </c>
      <c r="E3" s="4">
        <v>51565843</v>
      </c>
      <c r="F3" s="5">
        <v>21497</v>
      </c>
      <c r="G3" s="2" t="s">
        <v>11</v>
      </c>
      <c r="H3" s="1" t="s">
        <v>13</v>
      </c>
      <c r="I3" s="10">
        <v>495000</v>
      </c>
      <c r="J3" s="11">
        <f>Tabla1[[#This Row],[VALOR]]-30000</f>
        <v>465000</v>
      </c>
      <c r="L3" s="12" t="s">
        <v>81</v>
      </c>
      <c r="M3" s="13">
        <v>6800000</v>
      </c>
    </row>
    <row r="4" spans="1:13" x14ac:dyDescent="0.25">
      <c r="A4" s="2">
        <v>3</v>
      </c>
      <c r="B4" s="3" t="s">
        <v>67</v>
      </c>
      <c r="C4" s="2" t="s">
        <v>66</v>
      </c>
      <c r="D4" s="2" t="s">
        <v>9</v>
      </c>
      <c r="E4" s="4">
        <v>20871989</v>
      </c>
      <c r="F4" s="5">
        <v>32730</v>
      </c>
      <c r="H4" s="1" t="s">
        <v>14</v>
      </c>
      <c r="I4" s="10">
        <v>495000</v>
      </c>
      <c r="J4" s="11">
        <f>Tabla1[[#This Row],[VALOR]]-30000</f>
        <v>465000</v>
      </c>
      <c r="L4" s="12" t="s">
        <v>82</v>
      </c>
      <c r="M4" s="13">
        <v>210000</v>
      </c>
    </row>
    <row r="5" spans="1:13" x14ac:dyDescent="0.25">
      <c r="A5" s="2">
        <v>4</v>
      </c>
      <c r="B5" s="3" t="s">
        <v>15</v>
      </c>
      <c r="C5" s="2" t="s">
        <v>68</v>
      </c>
      <c r="D5" s="2" t="s">
        <v>9</v>
      </c>
      <c r="E5" s="4">
        <v>1072960085</v>
      </c>
      <c r="F5" s="5">
        <v>31496</v>
      </c>
      <c r="H5" s="1" t="s">
        <v>16</v>
      </c>
      <c r="I5" s="10">
        <v>495000</v>
      </c>
      <c r="J5" s="11">
        <f>Tabla1[[#This Row],[VALOR]]-30000</f>
        <v>465000</v>
      </c>
      <c r="L5" s="12" t="s">
        <v>83</v>
      </c>
      <c r="M5" s="13">
        <v>960000</v>
      </c>
    </row>
    <row r="6" spans="1:13" x14ac:dyDescent="0.25">
      <c r="A6" s="2">
        <v>5</v>
      </c>
      <c r="B6" s="3" t="s">
        <v>17</v>
      </c>
      <c r="C6" s="2" t="s">
        <v>68</v>
      </c>
      <c r="D6" s="2" t="s">
        <v>9</v>
      </c>
      <c r="E6" s="4">
        <v>20358775</v>
      </c>
      <c r="F6" s="5">
        <v>29448</v>
      </c>
      <c r="H6" s="1" t="s">
        <v>16</v>
      </c>
      <c r="I6" s="10">
        <v>495000</v>
      </c>
      <c r="J6" s="11">
        <f>Tabla1[[#This Row],[VALOR]]-30000</f>
        <v>465000</v>
      </c>
      <c r="L6" s="12" t="s">
        <v>84</v>
      </c>
      <c r="M6" s="13">
        <v>920000</v>
      </c>
    </row>
    <row r="7" spans="1:13" x14ac:dyDescent="0.25">
      <c r="A7" s="2">
        <v>6</v>
      </c>
      <c r="B7" s="3" t="s">
        <v>18</v>
      </c>
      <c r="C7" s="2" t="s">
        <v>68</v>
      </c>
      <c r="D7" s="2" t="s">
        <v>9</v>
      </c>
      <c r="E7" s="4">
        <v>20358955</v>
      </c>
      <c r="F7" s="5">
        <v>31168</v>
      </c>
      <c r="H7" s="1" t="s">
        <v>16</v>
      </c>
      <c r="I7" s="10">
        <v>495000</v>
      </c>
      <c r="J7" s="11">
        <f>Tabla1[[#This Row],[VALOR]]-30000</f>
        <v>465000</v>
      </c>
      <c r="L7" s="12" t="s">
        <v>97</v>
      </c>
      <c r="M7" s="13">
        <v>700000</v>
      </c>
    </row>
    <row r="8" spans="1:13" x14ac:dyDescent="0.25">
      <c r="A8" s="2">
        <v>7</v>
      </c>
      <c r="B8" s="3" t="s">
        <v>19</v>
      </c>
      <c r="C8" s="2" t="s">
        <v>68</v>
      </c>
      <c r="D8" s="2" t="s">
        <v>9</v>
      </c>
      <c r="E8" s="4">
        <v>2950611</v>
      </c>
      <c r="F8" s="5">
        <v>28244</v>
      </c>
      <c r="G8" s="2" t="s">
        <v>20</v>
      </c>
      <c r="H8" s="1" t="s">
        <v>16</v>
      </c>
      <c r="I8" s="10">
        <v>495000</v>
      </c>
      <c r="J8" s="11">
        <f>Tabla1[[#This Row],[VALOR]]-30000</f>
        <v>465000</v>
      </c>
      <c r="L8" s="12" t="s">
        <v>85</v>
      </c>
      <c r="M8" s="13">
        <v>250000</v>
      </c>
    </row>
    <row r="9" spans="1:13" x14ac:dyDescent="0.25">
      <c r="A9" s="2">
        <v>8</v>
      </c>
      <c r="B9" s="3" t="s">
        <v>21</v>
      </c>
      <c r="C9" s="2" t="s">
        <v>68</v>
      </c>
      <c r="D9" s="2" t="s">
        <v>9</v>
      </c>
      <c r="E9" s="4">
        <v>1073628488</v>
      </c>
      <c r="F9" s="5">
        <v>32422</v>
      </c>
      <c r="G9" s="2" t="s">
        <v>22</v>
      </c>
      <c r="H9" s="1" t="s">
        <v>16</v>
      </c>
      <c r="I9" s="10">
        <v>495000</v>
      </c>
      <c r="J9" s="11">
        <f>Tabla1[[#This Row],[VALOR]]-30000</f>
        <v>465000</v>
      </c>
      <c r="L9" s="12" t="s">
        <v>86</v>
      </c>
      <c r="M9" s="13">
        <v>500000</v>
      </c>
    </row>
    <row r="10" spans="1:13" x14ac:dyDescent="0.25">
      <c r="A10" s="2">
        <v>9</v>
      </c>
      <c r="B10" s="3" t="s">
        <v>23</v>
      </c>
      <c r="C10" s="2" t="s">
        <v>68</v>
      </c>
      <c r="D10" s="2" t="s">
        <v>9</v>
      </c>
      <c r="E10" s="4">
        <v>20358123</v>
      </c>
      <c r="H10" s="1" t="s">
        <v>16</v>
      </c>
      <c r="I10" s="10">
        <v>495000</v>
      </c>
      <c r="J10" s="11">
        <f>Tabla1[[#This Row],[VALOR]]-30000</f>
        <v>465000</v>
      </c>
      <c r="L10" s="12" t="s">
        <v>87</v>
      </c>
      <c r="M10" s="13">
        <v>220000</v>
      </c>
    </row>
    <row r="11" spans="1:13" ht="15.75" thickBot="1" x14ac:dyDescent="0.3">
      <c r="A11" s="2">
        <v>10</v>
      </c>
      <c r="B11" s="3" t="s">
        <v>24</v>
      </c>
      <c r="C11" s="2" t="s">
        <v>68</v>
      </c>
      <c r="D11" s="2" t="s">
        <v>25</v>
      </c>
      <c r="E11" s="4">
        <v>1074098078</v>
      </c>
      <c r="H11" s="1" t="s">
        <v>16</v>
      </c>
      <c r="I11" s="10">
        <v>495000</v>
      </c>
      <c r="J11" s="11">
        <f>Tabla1[[#This Row],[VALOR]]-30000</f>
        <v>465000</v>
      </c>
      <c r="L11" s="14" t="s">
        <v>88</v>
      </c>
      <c r="M11" s="15">
        <v>4400000</v>
      </c>
    </row>
    <row r="12" spans="1:13" ht="15.75" thickBot="1" x14ac:dyDescent="0.3">
      <c r="A12" s="2">
        <v>11</v>
      </c>
      <c r="B12" s="3" t="s">
        <v>26</v>
      </c>
      <c r="C12" s="2" t="s">
        <v>66</v>
      </c>
      <c r="D12" s="2" t="s">
        <v>9</v>
      </c>
      <c r="E12" s="4">
        <v>1073628933</v>
      </c>
      <c r="F12" s="5">
        <v>33140</v>
      </c>
      <c r="H12" s="1" t="s">
        <v>13</v>
      </c>
      <c r="I12" s="10">
        <v>495000</v>
      </c>
      <c r="J12" s="11">
        <f>Tabla1[[#This Row],[VALOR]]-30000</f>
        <v>465000</v>
      </c>
      <c r="L12" s="19" t="s">
        <v>89</v>
      </c>
      <c r="M12" s="16">
        <f>SUM(M3:M11)</f>
        <v>14960000</v>
      </c>
    </row>
    <row r="13" spans="1:13" ht="15.75" thickBot="1" x14ac:dyDescent="0.3">
      <c r="A13" s="2">
        <v>12</v>
      </c>
      <c r="B13" s="3" t="s">
        <v>27</v>
      </c>
      <c r="C13" s="2" t="s">
        <v>68</v>
      </c>
      <c r="D13" s="2" t="s">
        <v>28</v>
      </c>
      <c r="E13" s="4">
        <v>1023982145</v>
      </c>
      <c r="F13" s="5">
        <v>43228</v>
      </c>
      <c r="H13" s="1" t="s">
        <v>13</v>
      </c>
      <c r="I13" s="10">
        <v>50000</v>
      </c>
      <c r="J13" s="10">
        <f>Tabla1[[#This Row],[VALOR]]</f>
        <v>50000</v>
      </c>
      <c r="L13" s="19" t="s">
        <v>90</v>
      </c>
      <c r="M13" s="18">
        <f>Tabla1[[#Totals],[SIN COMISIONES]]</f>
        <v>17390000</v>
      </c>
    </row>
    <row r="14" spans="1:13" x14ac:dyDescent="0.25">
      <c r="A14" s="2">
        <v>13</v>
      </c>
      <c r="B14" s="3" t="s">
        <v>29</v>
      </c>
      <c r="C14" s="2" t="s">
        <v>68</v>
      </c>
      <c r="D14" s="2" t="s">
        <v>9</v>
      </c>
      <c r="E14" s="4">
        <v>21016136</v>
      </c>
      <c r="F14" s="5">
        <v>24354</v>
      </c>
      <c r="H14" s="1" t="s">
        <v>13</v>
      </c>
      <c r="I14" s="10">
        <v>495000</v>
      </c>
      <c r="J14" s="11">
        <f>Tabla1[[#This Row],[VALOR]]-30000</f>
        <v>465000</v>
      </c>
      <c r="L14" s="20" t="s">
        <v>91</v>
      </c>
      <c r="M14" s="17">
        <f>M13-M12</f>
        <v>2430000</v>
      </c>
    </row>
    <row r="15" spans="1:13" x14ac:dyDescent="0.25">
      <c r="A15" s="2">
        <v>14</v>
      </c>
      <c r="B15" s="3" t="s">
        <v>30</v>
      </c>
      <c r="C15" s="2" t="s">
        <v>66</v>
      </c>
      <c r="D15" s="2" t="s">
        <v>9</v>
      </c>
      <c r="E15" s="4">
        <v>79538678</v>
      </c>
      <c r="F15" s="5">
        <v>25737</v>
      </c>
      <c r="H15" s="8"/>
      <c r="I15">
        <v>0</v>
      </c>
      <c r="J15">
        <v>0</v>
      </c>
    </row>
    <row r="16" spans="1:13" x14ac:dyDescent="0.25">
      <c r="A16" s="2">
        <v>15</v>
      </c>
      <c r="B16" s="3" t="s">
        <v>69</v>
      </c>
      <c r="C16" s="2" t="s">
        <v>66</v>
      </c>
      <c r="D16" s="2" t="s">
        <v>9</v>
      </c>
      <c r="E16" s="4">
        <v>20871847</v>
      </c>
      <c r="F16" s="5">
        <v>24205</v>
      </c>
      <c r="H16" s="1" t="s">
        <v>13</v>
      </c>
      <c r="I16" s="10">
        <v>495000</v>
      </c>
      <c r="J16" s="11">
        <f>Tabla1[[#This Row],[VALOR]]-30000</f>
        <v>465000</v>
      </c>
    </row>
    <row r="17" spans="1:14" x14ac:dyDescent="0.25">
      <c r="A17" s="2">
        <v>16</v>
      </c>
      <c r="B17" s="3" t="s">
        <v>31</v>
      </c>
      <c r="C17" s="2" t="s">
        <v>66</v>
      </c>
      <c r="D17" s="2" t="s">
        <v>9</v>
      </c>
      <c r="E17" s="4">
        <v>1073629154</v>
      </c>
      <c r="F17" s="5">
        <v>33554</v>
      </c>
      <c r="H17" s="1" t="s">
        <v>13</v>
      </c>
      <c r="I17" s="10">
        <v>330000</v>
      </c>
      <c r="J17" s="11">
        <f>Tabla1[[#This Row],[VALOR]]-30000</f>
        <v>300000</v>
      </c>
      <c r="L17" s="26" t="s">
        <v>94</v>
      </c>
      <c r="M17" s="23" t="s">
        <v>95</v>
      </c>
      <c r="N17" s="23" t="s">
        <v>96</v>
      </c>
    </row>
    <row r="18" spans="1:14" x14ac:dyDescent="0.25">
      <c r="A18" s="2">
        <v>17</v>
      </c>
      <c r="B18" s="3" t="s">
        <v>32</v>
      </c>
      <c r="C18" s="2" t="s">
        <v>66</v>
      </c>
      <c r="D18" s="2" t="s">
        <v>9</v>
      </c>
      <c r="E18" s="4">
        <v>79656808</v>
      </c>
      <c r="H18" s="8"/>
      <c r="I18">
        <v>0</v>
      </c>
      <c r="J18">
        <v>0</v>
      </c>
      <c r="L18" s="22" t="s">
        <v>13</v>
      </c>
      <c r="M18" s="24">
        <v>15</v>
      </c>
      <c r="N18" s="25">
        <f>M18*30000</f>
        <v>450000</v>
      </c>
    </row>
    <row r="19" spans="1:14" x14ac:dyDescent="0.25">
      <c r="A19" s="2">
        <v>18</v>
      </c>
      <c r="B19" s="3" t="s">
        <v>33</v>
      </c>
      <c r="C19" s="2" t="s">
        <v>66</v>
      </c>
      <c r="D19" s="2" t="s">
        <v>9</v>
      </c>
      <c r="E19" s="4">
        <v>1075628177</v>
      </c>
      <c r="H19" s="8"/>
      <c r="I19">
        <v>0</v>
      </c>
      <c r="J19">
        <v>0</v>
      </c>
      <c r="L19" s="22" t="s">
        <v>14</v>
      </c>
      <c r="M19" s="24">
        <v>5</v>
      </c>
      <c r="N19" s="25">
        <f t="shared" ref="N19:N22" si="0">M19*30000</f>
        <v>150000</v>
      </c>
    </row>
    <row r="20" spans="1:14" x14ac:dyDescent="0.25">
      <c r="A20" s="2">
        <v>19</v>
      </c>
      <c r="B20" s="3" t="s">
        <v>34</v>
      </c>
      <c r="C20" s="2" t="s">
        <v>66</v>
      </c>
      <c r="D20" s="2" t="s">
        <v>9</v>
      </c>
      <c r="E20" s="4">
        <v>52503203</v>
      </c>
      <c r="G20" s="2" t="s">
        <v>35</v>
      </c>
      <c r="H20" s="1" t="s">
        <v>36</v>
      </c>
      <c r="I20" s="10">
        <v>495000</v>
      </c>
      <c r="J20" s="11">
        <f>Tabla1[[#This Row],[VALOR]]-30000</f>
        <v>465000</v>
      </c>
      <c r="L20" s="22" t="s">
        <v>16</v>
      </c>
      <c r="M20" s="24">
        <v>8</v>
      </c>
      <c r="N20" s="25">
        <f t="shared" si="0"/>
        <v>240000</v>
      </c>
    </row>
    <row r="21" spans="1:14" x14ac:dyDescent="0.25">
      <c r="A21" s="2">
        <v>20</v>
      </c>
      <c r="B21" s="3" t="s">
        <v>37</v>
      </c>
      <c r="C21" s="2" t="s">
        <v>66</v>
      </c>
      <c r="D21" s="2" t="s">
        <v>9</v>
      </c>
      <c r="E21" s="4">
        <v>80399626</v>
      </c>
      <c r="G21" s="2" t="s">
        <v>38</v>
      </c>
      <c r="H21" s="1" t="s">
        <v>36</v>
      </c>
      <c r="I21" s="10">
        <v>495000</v>
      </c>
      <c r="J21" s="11">
        <f>Tabla1[[#This Row],[VALOR]]-30000</f>
        <v>465000</v>
      </c>
      <c r="L21" s="22" t="s">
        <v>36</v>
      </c>
      <c r="M21" s="24">
        <v>4</v>
      </c>
      <c r="N21" s="25">
        <f t="shared" si="0"/>
        <v>120000</v>
      </c>
    </row>
    <row r="22" spans="1:14" ht="15.75" thickBot="1" x14ac:dyDescent="0.3">
      <c r="A22" s="2">
        <v>21</v>
      </c>
      <c r="B22" s="3" t="s">
        <v>71</v>
      </c>
      <c r="C22" s="2" t="s">
        <v>66</v>
      </c>
      <c r="D22" s="2" t="s">
        <v>9</v>
      </c>
      <c r="E22" s="6">
        <v>1073629775</v>
      </c>
      <c r="F22" s="7">
        <v>34588</v>
      </c>
      <c r="H22" s="1" t="s">
        <v>13</v>
      </c>
      <c r="I22" s="10">
        <v>495000</v>
      </c>
      <c r="J22" s="11">
        <f>Tabla1[[#This Row],[VALOR]]-30000</f>
        <v>465000</v>
      </c>
      <c r="L22" s="30" t="s">
        <v>93</v>
      </c>
      <c r="M22" s="31">
        <v>6</v>
      </c>
      <c r="N22" s="32">
        <f t="shared" si="0"/>
        <v>180000</v>
      </c>
    </row>
    <row r="23" spans="1:14" x14ac:dyDescent="0.25">
      <c r="A23" s="2">
        <v>22</v>
      </c>
      <c r="B23" s="3" t="s">
        <v>39</v>
      </c>
      <c r="C23" s="2" t="s">
        <v>66</v>
      </c>
      <c r="D23" s="2" t="s">
        <v>9</v>
      </c>
      <c r="E23" s="4">
        <v>20871242</v>
      </c>
      <c r="F23" s="5">
        <v>22954</v>
      </c>
      <c r="G23" s="2" t="s">
        <v>40</v>
      </c>
      <c r="H23" s="1" t="s">
        <v>45</v>
      </c>
      <c r="I23" s="10">
        <v>495000</v>
      </c>
      <c r="J23" s="11">
        <f>Tabla1[[#This Row],[VALOR]]-30000</f>
        <v>465000</v>
      </c>
      <c r="L23" s="27" t="s">
        <v>89</v>
      </c>
      <c r="M23" s="28">
        <f>SUM(M18:M22)</f>
        <v>38</v>
      </c>
      <c r="N23" s="29">
        <f>SUM(N18:N22)</f>
        <v>1140000</v>
      </c>
    </row>
    <row r="24" spans="1:14" x14ac:dyDescent="0.25">
      <c r="A24" s="2">
        <v>23</v>
      </c>
      <c r="B24" s="3" t="s">
        <v>77</v>
      </c>
      <c r="C24" s="2" t="s">
        <v>66</v>
      </c>
      <c r="D24" s="2" t="s">
        <v>9</v>
      </c>
      <c r="E24" s="4">
        <v>65739648</v>
      </c>
      <c r="G24" s="2" t="s">
        <v>41</v>
      </c>
      <c r="H24" s="1" t="s">
        <v>45</v>
      </c>
      <c r="I24" s="10">
        <v>495000</v>
      </c>
      <c r="J24" s="11">
        <f>Tabla1[[#This Row],[VALOR]]-30000</f>
        <v>465000</v>
      </c>
    </row>
    <row r="25" spans="1:14" x14ac:dyDescent="0.25">
      <c r="A25" s="2">
        <v>24</v>
      </c>
      <c r="B25" s="3" t="s">
        <v>42</v>
      </c>
      <c r="C25" s="2" t="s">
        <v>66</v>
      </c>
      <c r="D25" s="2" t="s">
        <v>9</v>
      </c>
      <c r="E25" s="4">
        <v>11451788</v>
      </c>
      <c r="F25" s="5">
        <v>30309</v>
      </c>
      <c r="G25" s="2" t="s">
        <v>70</v>
      </c>
      <c r="H25" s="1" t="s">
        <v>45</v>
      </c>
      <c r="I25" s="10">
        <v>495000</v>
      </c>
      <c r="J25" s="11">
        <f>Tabla1[[#This Row],[VALOR]]-30000</f>
        <v>465000</v>
      </c>
    </row>
    <row r="26" spans="1:14" x14ac:dyDescent="0.25">
      <c r="A26" s="2">
        <v>25</v>
      </c>
      <c r="B26" s="3" t="s">
        <v>43</v>
      </c>
      <c r="D26" s="2" t="s">
        <v>9</v>
      </c>
      <c r="E26" s="4">
        <v>1073628057</v>
      </c>
      <c r="F26" s="5">
        <v>31338</v>
      </c>
      <c r="G26" s="2" t="s">
        <v>44</v>
      </c>
      <c r="H26" s="1" t="s">
        <v>45</v>
      </c>
      <c r="I26" s="10">
        <v>495000</v>
      </c>
      <c r="J26" s="11">
        <f>Tabla1[[#This Row],[VALOR]]-30000</f>
        <v>465000</v>
      </c>
      <c r="L26" s="11"/>
    </row>
    <row r="27" spans="1:14" x14ac:dyDescent="0.25">
      <c r="A27" s="2">
        <v>26</v>
      </c>
      <c r="B27" s="3" t="s">
        <v>75</v>
      </c>
      <c r="C27" s="2" t="s">
        <v>68</v>
      </c>
      <c r="D27" s="2" t="s">
        <v>9</v>
      </c>
      <c r="E27" s="4">
        <v>11450342</v>
      </c>
      <c r="F27" s="5">
        <v>22451</v>
      </c>
      <c r="H27" s="1" t="s">
        <v>13</v>
      </c>
      <c r="I27" s="10">
        <v>330000</v>
      </c>
      <c r="J27" s="11">
        <f>Tabla1[[#This Row],[VALOR]]-30000</f>
        <v>300000</v>
      </c>
    </row>
    <row r="28" spans="1:14" x14ac:dyDescent="0.25">
      <c r="A28" s="2">
        <v>27</v>
      </c>
      <c r="B28" s="3" t="s">
        <v>46</v>
      </c>
      <c r="C28" s="2" t="s">
        <v>66</v>
      </c>
      <c r="D28" s="2" t="s">
        <v>9</v>
      </c>
      <c r="E28" s="4">
        <v>53072819</v>
      </c>
      <c r="G28" s="2" t="s">
        <v>47</v>
      </c>
      <c r="H28" s="1" t="s">
        <v>36</v>
      </c>
      <c r="I28" s="10">
        <v>495000</v>
      </c>
      <c r="J28" s="11">
        <f>Tabla1[[#This Row],[VALOR]]-30000</f>
        <v>465000</v>
      </c>
    </row>
    <row r="29" spans="1:14" x14ac:dyDescent="0.25">
      <c r="A29" s="2">
        <v>28</v>
      </c>
      <c r="B29" s="3" t="s">
        <v>48</v>
      </c>
      <c r="C29" s="2" t="s">
        <v>66</v>
      </c>
      <c r="D29" s="2" t="s">
        <v>9</v>
      </c>
      <c r="E29" s="4">
        <v>80881221</v>
      </c>
      <c r="G29" s="2" t="s">
        <v>49</v>
      </c>
      <c r="H29" s="1" t="s">
        <v>36</v>
      </c>
      <c r="I29" s="10">
        <v>495000</v>
      </c>
      <c r="J29" s="11">
        <f>Tabla1[[#This Row],[VALOR]]-30000</f>
        <v>465000</v>
      </c>
    </row>
    <row r="30" spans="1:14" x14ac:dyDescent="0.25">
      <c r="A30" s="2">
        <v>29</v>
      </c>
      <c r="B30" s="3" t="s">
        <v>76</v>
      </c>
      <c r="C30" s="2" t="s">
        <v>68</v>
      </c>
      <c r="D30" s="2" t="s">
        <v>9</v>
      </c>
      <c r="E30" s="4">
        <v>21018744</v>
      </c>
      <c r="H30" s="1" t="s">
        <v>14</v>
      </c>
      <c r="I30" s="10">
        <v>495000</v>
      </c>
      <c r="J30" s="11">
        <f>Tabla1[[#This Row],[VALOR]]-30000</f>
        <v>465000</v>
      </c>
    </row>
    <row r="31" spans="1:14" x14ac:dyDescent="0.25">
      <c r="A31" s="2">
        <v>30</v>
      </c>
      <c r="B31" s="3" t="s">
        <v>50</v>
      </c>
      <c r="C31" s="2" t="s">
        <v>68</v>
      </c>
      <c r="D31" s="2" t="s">
        <v>9</v>
      </c>
      <c r="E31" s="4">
        <v>20358014</v>
      </c>
      <c r="H31" s="1" t="s">
        <v>16</v>
      </c>
      <c r="I31" s="10">
        <v>495000</v>
      </c>
      <c r="J31" s="11">
        <f>Tabla1[[#This Row],[VALOR]]-30000</f>
        <v>465000</v>
      </c>
    </row>
    <row r="32" spans="1:14" x14ac:dyDescent="0.25">
      <c r="A32" s="2">
        <v>31</v>
      </c>
      <c r="B32" s="3" t="s">
        <v>51</v>
      </c>
      <c r="C32" s="2" t="s">
        <v>68</v>
      </c>
      <c r="D32" s="2" t="s">
        <v>9</v>
      </c>
      <c r="E32" s="2" t="s">
        <v>72</v>
      </c>
      <c r="F32" s="5">
        <v>26892</v>
      </c>
      <c r="H32" s="1" t="s">
        <v>14</v>
      </c>
      <c r="I32" s="10">
        <v>495000</v>
      </c>
      <c r="J32" s="11">
        <f>Tabla1[[#This Row],[VALOR]]-30000</f>
        <v>465000</v>
      </c>
    </row>
    <row r="33" spans="1:10" x14ac:dyDescent="0.25">
      <c r="A33" s="2">
        <v>32</v>
      </c>
      <c r="B33" s="3" t="s">
        <v>52</v>
      </c>
      <c r="C33" s="2" t="s">
        <v>68</v>
      </c>
      <c r="D33" s="2" t="s">
        <v>9</v>
      </c>
      <c r="E33" s="9">
        <v>1073629050</v>
      </c>
      <c r="F33" s="5">
        <v>32334</v>
      </c>
      <c r="H33" s="1" t="s">
        <v>14</v>
      </c>
      <c r="I33" s="10">
        <v>495000</v>
      </c>
      <c r="J33" s="11">
        <f>Tabla1[[#This Row],[VALOR]]-30000</f>
        <v>465000</v>
      </c>
    </row>
    <row r="34" spans="1:10" x14ac:dyDescent="0.25">
      <c r="A34" s="2">
        <v>33</v>
      </c>
      <c r="B34" s="3" t="s">
        <v>73</v>
      </c>
      <c r="C34" s="2" t="s">
        <v>68</v>
      </c>
      <c r="D34" s="2" t="s">
        <v>25</v>
      </c>
      <c r="E34" s="4">
        <v>1073629050</v>
      </c>
      <c r="F34" s="5">
        <v>39936</v>
      </c>
      <c r="H34" s="1" t="s">
        <v>13</v>
      </c>
      <c r="I34" s="10">
        <v>495000</v>
      </c>
      <c r="J34" s="11">
        <f>Tabla1[[#This Row],[VALOR]]-30000</f>
        <v>465000</v>
      </c>
    </row>
    <row r="35" spans="1:10" x14ac:dyDescent="0.25">
      <c r="A35" s="2">
        <v>34</v>
      </c>
      <c r="B35" s="3" t="s">
        <v>53</v>
      </c>
      <c r="C35" s="2" t="s">
        <v>68</v>
      </c>
      <c r="D35" s="2" t="s">
        <v>9</v>
      </c>
      <c r="E35" s="4">
        <v>20871728</v>
      </c>
      <c r="F35" s="5">
        <v>26080</v>
      </c>
      <c r="G35" s="2" t="s">
        <v>54</v>
      </c>
      <c r="H35" s="1" t="s">
        <v>14</v>
      </c>
      <c r="I35" s="10">
        <v>495000</v>
      </c>
      <c r="J35" s="11">
        <f>Tabla1[[#This Row],[VALOR]]-30000</f>
        <v>465000</v>
      </c>
    </row>
    <row r="36" spans="1:10" x14ac:dyDescent="0.25">
      <c r="A36" s="2">
        <v>35</v>
      </c>
      <c r="B36" s="3" t="s">
        <v>55</v>
      </c>
      <c r="C36" s="2" t="s">
        <v>68</v>
      </c>
      <c r="D36" s="2" t="s">
        <v>9</v>
      </c>
      <c r="E36" s="4">
        <v>11450568</v>
      </c>
      <c r="F36" s="5">
        <v>22536</v>
      </c>
      <c r="G36" s="2" t="s">
        <v>54</v>
      </c>
      <c r="H36" s="1" t="s">
        <v>13</v>
      </c>
      <c r="I36" s="10">
        <v>495000</v>
      </c>
      <c r="J36" s="11">
        <f>Tabla1[[#This Row],[VALOR]]-30000</f>
        <v>465000</v>
      </c>
    </row>
    <row r="37" spans="1:10" x14ac:dyDescent="0.25">
      <c r="A37" s="2">
        <v>36</v>
      </c>
      <c r="B37" s="3" t="s">
        <v>56</v>
      </c>
      <c r="C37" s="2" t="s">
        <v>68</v>
      </c>
      <c r="D37" s="2" t="s">
        <v>9</v>
      </c>
      <c r="E37" s="4">
        <v>1073630071</v>
      </c>
      <c r="F37" s="5">
        <v>35226</v>
      </c>
      <c r="G37" s="2" t="s">
        <v>57</v>
      </c>
      <c r="H37" s="1" t="s">
        <v>13</v>
      </c>
      <c r="I37" s="10">
        <v>495000</v>
      </c>
      <c r="J37" s="11">
        <f>Tabla1[[#This Row],[VALOR]]-30000</f>
        <v>465000</v>
      </c>
    </row>
    <row r="38" spans="1:10" x14ac:dyDescent="0.25">
      <c r="A38" s="2">
        <v>37</v>
      </c>
      <c r="B38" s="3" t="s">
        <v>58</v>
      </c>
      <c r="C38" s="2" t="s">
        <v>68</v>
      </c>
      <c r="D38" s="2" t="s">
        <v>9</v>
      </c>
      <c r="E38" s="4">
        <v>1075628171</v>
      </c>
      <c r="F38" s="5">
        <v>34386</v>
      </c>
      <c r="G38" s="2" t="s">
        <v>59</v>
      </c>
      <c r="H38" s="1" t="s">
        <v>13</v>
      </c>
      <c r="I38" s="10">
        <v>495000</v>
      </c>
      <c r="J38" s="11">
        <f>Tabla1[[#This Row],[VALOR]]-30000</f>
        <v>465000</v>
      </c>
    </row>
    <row r="39" spans="1:10" x14ac:dyDescent="0.25">
      <c r="A39" s="2">
        <v>38</v>
      </c>
      <c r="B39" s="3" t="s">
        <v>60</v>
      </c>
      <c r="C39" s="2" t="s">
        <v>68</v>
      </c>
      <c r="D39" s="2" t="s">
        <v>9</v>
      </c>
      <c r="E39" s="4">
        <v>65752527</v>
      </c>
      <c r="F39" s="5">
        <v>26222</v>
      </c>
      <c r="G39" s="2" t="s">
        <v>61</v>
      </c>
      <c r="H39" s="1" t="s">
        <v>13</v>
      </c>
      <c r="I39" s="10">
        <v>495000</v>
      </c>
      <c r="J39" s="11">
        <f>Tabla1[[#This Row],[VALOR]]-30000</f>
        <v>465000</v>
      </c>
    </row>
    <row r="40" spans="1:10" x14ac:dyDescent="0.25">
      <c r="A40" s="2">
        <v>39</v>
      </c>
      <c r="B40" s="3" t="s">
        <v>62</v>
      </c>
      <c r="C40" s="2" t="s">
        <v>68</v>
      </c>
      <c r="D40" s="2" t="s">
        <v>9</v>
      </c>
      <c r="E40" s="4">
        <v>11450792</v>
      </c>
      <c r="F40" s="5">
        <v>24603</v>
      </c>
      <c r="G40" s="2" t="s">
        <v>63</v>
      </c>
      <c r="H40" s="1" t="s">
        <v>13</v>
      </c>
      <c r="I40" s="10">
        <v>495000</v>
      </c>
      <c r="J40" s="11">
        <f>Tabla1[[#This Row],[VALOR]]-30000</f>
        <v>465000</v>
      </c>
    </row>
    <row r="41" spans="1:10" x14ac:dyDescent="0.25">
      <c r="A41" s="2">
        <v>40</v>
      </c>
      <c r="B41" s="3" t="s">
        <v>64</v>
      </c>
      <c r="C41" s="2" t="s">
        <v>74</v>
      </c>
      <c r="D41" s="2" t="s">
        <v>9</v>
      </c>
      <c r="E41" s="4">
        <v>11228059</v>
      </c>
      <c r="F41" s="5">
        <v>30187</v>
      </c>
      <c r="H41" s="1" t="s">
        <v>45</v>
      </c>
      <c r="I41" s="10">
        <v>495000</v>
      </c>
      <c r="J41" s="11">
        <f>Tabla1[[#This Row],[VALOR]]-30000</f>
        <v>465000</v>
      </c>
    </row>
    <row r="42" spans="1:10" x14ac:dyDescent="0.25">
      <c r="A42" s="2">
        <v>41</v>
      </c>
      <c r="B42" s="3" t="s">
        <v>65</v>
      </c>
      <c r="C42" s="2" t="s">
        <v>66</v>
      </c>
      <c r="D42" s="2" t="s">
        <v>9</v>
      </c>
      <c r="E42" s="4">
        <v>1078828352</v>
      </c>
      <c r="F42" s="5">
        <v>34832</v>
      </c>
      <c r="H42" s="1" t="s">
        <v>45</v>
      </c>
      <c r="I42" s="10">
        <v>495000</v>
      </c>
      <c r="J42" s="11">
        <f>Tabla1[[#This Row],[VALOR]]-30000</f>
        <v>465000</v>
      </c>
    </row>
    <row r="43" spans="1:10" x14ac:dyDescent="0.25">
      <c r="A43" s="2">
        <v>42</v>
      </c>
      <c r="B43" s="3" t="s">
        <v>78</v>
      </c>
      <c r="C43" s="2" t="s">
        <v>66</v>
      </c>
      <c r="D43" s="2" t="s">
        <v>9</v>
      </c>
      <c r="E43" s="4">
        <v>11451789</v>
      </c>
      <c r="F43" s="5"/>
      <c r="H43" s="1" t="s">
        <v>13</v>
      </c>
      <c r="I43" s="10">
        <v>495000</v>
      </c>
      <c r="J43" s="11">
        <f>Tabla1[[#This Row],[VALOR]]-30000</f>
        <v>465000</v>
      </c>
    </row>
    <row r="44" spans="1:10" x14ac:dyDescent="0.25">
      <c r="B44" s="3"/>
      <c r="E44" s="4"/>
      <c r="F44" s="5"/>
      <c r="I44" s="10">
        <f>SUBTOTAL(109,Tabla1[VALOR])</f>
        <v>18530000</v>
      </c>
      <c r="J44" s="10">
        <f>SUBTOTAL(109,Tabla1[SIN COMISIONES])</f>
        <v>17390000</v>
      </c>
    </row>
  </sheetData>
  <mergeCells count="1">
    <mergeCell ref="L2:M2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STEFANI  CRUZ MORENO</cp:lastModifiedBy>
  <dcterms:created xsi:type="dcterms:W3CDTF">2023-10-12T14:06:42Z</dcterms:created>
  <dcterms:modified xsi:type="dcterms:W3CDTF">2023-11-15T17:26:32Z</dcterms:modified>
</cp:coreProperties>
</file>