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REPRESA DE PRADO\"/>
    </mc:Choice>
  </mc:AlternateContent>
  <xr:revisionPtr revIDLastSave="0" documentId="13_ncr:1_{E66F2650-3273-4656-91DF-79F0EA502359}" xr6:coauthVersionLast="47" xr6:coauthVersionMax="47" xr10:uidLastSave="{00000000-0000-0000-0000-000000000000}"/>
  <bookViews>
    <workbookView xWindow="-120" yWindow="-120" windowWidth="20730" windowHeight="11040" xr2:uid="{3A76A0E8-463F-469F-87E6-586D44E48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1" i="1" l="1"/>
  <c r="F134" i="1"/>
  <c r="F133" i="1"/>
  <c r="F132" i="1"/>
  <c r="F131" i="1"/>
  <c r="F130" i="1"/>
  <c r="F129" i="1"/>
  <c r="F120" i="1"/>
  <c r="F118" i="1"/>
  <c r="F117" i="1"/>
  <c r="F116" i="1"/>
  <c r="F114" i="1"/>
  <c r="F113" i="1"/>
  <c r="F112" i="1"/>
  <c r="F111" i="1"/>
  <c r="F110" i="1"/>
  <c r="F109" i="1"/>
  <c r="F108" i="1"/>
  <c r="F103" i="1"/>
  <c r="F102" i="1"/>
  <c r="F100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7" i="1"/>
  <c r="F66" i="1"/>
  <c r="F64" i="1"/>
  <c r="F63" i="1"/>
  <c r="F62" i="1"/>
  <c r="F52" i="1"/>
  <c r="F51" i="1"/>
  <c r="F42" i="1"/>
  <c r="F40" i="1"/>
  <c r="F13" i="1"/>
  <c r="F11" i="1"/>
  <c r="F10" i="1"/>
  <c r="F9" i="1"/>
  <c r="F5" i="1"/>
  <c r="F3" i="1"/>
</calcChain>
</file>

<file path=xl/sharedStrings.xml><?xml version="1.0" encoding="utf-8"?>
<sst xmlns="http://schemas.openxmlformats.org/spreadsheetml/2006/main" count="827" uniqueCount="222">
  <si>
    <t>N°</t>
  </si>
  <si>
    <t>NOMBRE</t>
  </si>
  <si>
    <t>Tatiana Isabel Cogollo Cantillo</t>
  </si>
  <si>
    <t>Jelen yulied Diaz parra</t>
  </si>
  <si>
    <t>Adriana marcela tarra hernandez</t>
  </si>
  <si>
    <t>Nancy Espinosa</t>
  </si>
  <si>
    <t>""</t>
  </si>
  <si>
    <t>Jose Bladimir Muñoz Bolivar</t>
  </si>
  <si>
    <t>María Hilda Luz Bolivar Zapata</t>
  </si>
  <si>
    <t>Visitacion lazo guerrero</t>
  </si>
  <si>
    <t xml:space="preserve">Carol Yineth Roa Lazo </t>
  </si>
  <si>
    <t>July Paola roa lazo</t>
  </si>
  <si>
    <t>Angel Antonio Sanchez Moreno</t>
  </si>
  <si>
    <t>Luz Mary Mendoza Junca</t>
  </si>
  <si>
    <t>Luis Alejandro Sanchez Mendoza</t>
  </si>
  <si>
    <t>Dayana Pardo</t>
  </si>
  <si>
    <t>Luz Ángela Berrio</t>
  </si>
  <si>
    <t>Marina Garzón</t>
  </si>
  <si>
    <t>Deisy María Celis rincon</t>
  </si>
  <si>
    <t>Hernando Ramos</t>
  </si>
  <si>
    <t>María Jesus Tocua</t>
  </si>
  <si>
    <t>Luis Duarte</t>
  </si>
  <si>
    <t xml:space="preserve">Gabriel Cabrera </t>
  </si>
  <si>
    <t xml:space="preserve">Ana Cristina Berrios Mendoza </t>
  </si>
  <si>
    <t>Thaily luciana gomez berrios</t>
  </si>
  <si>
    <t>Myriam Guzmán</t>
  </si>
  <si>
    <t xml:space="preserve">Claudia Villamil </t>
  </si>
  <si>
    <t xml:space="preserve">Liceth Camila Rojas Montenegro </t>
  </si>
  <si>
    <t xml:space="preserve">Edison Samuel Acosta Rojas </t>
  </si>
  <si>
    <t>Luis Orlando Contreras Soler</t>
  </si>
  <si>
    <t>Luz Marina Muñoz Ramirez</t>
  </si>
  <si>
    <t>Teresa Luna Suarez</t>
  </si>
  <si>
    <t>Edilma Forero Avila</t>
  </si>
  <si>
    <t>Carmen Lucia Lozano</t>
  </si>
  <si>
    <t>Marlen Castro</t>
  </si>
  <si>
    <t>Piedad Angulo</t>
  </si>
  <si>
    <t xml:space="preserve">Yina Lopez </t>
  </si>
  <si>
    <t xml:space="preserve">Leonor Martinez </t>
  </si>
  <si>
    <t xml:space="preserve">Camilo bernal </t>
  </si>
  <si>
    <t>Diana Paola Patiño salazar</t>
  </si>
  <si>
    <t>Diego Alejandro Rodríguez Patiño</t>
  </si>
  <si>
    <t xml:space="preserve">Deicy Carrillo Lozano de Garzon </t>
  </si>
  <si>
    <t>Edith Carrillo Lozano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</si>
  <si>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</si>
  <si>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</si>
  <si>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</si>
  <si>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</si>
  <si>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</si>
  <si>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</si>
  <si>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 xml:space="preserve"> Daniel Ramirez</t>
  </si>
  <si>
    <t>Tania Ramírez</t>
  </si>
  <si>
    <t>EDAD</t>
  </si>
  <si>
    <t>MUNICIPIO</t>
  </si>
  <si>
    <t>COMISIONISTAS</t>
  </si>
  <si>
    <t>MENÚ</t>
  </si>
  <si>
    <t>ABONO</t>
  </si>
  <si>
    <t>APULO</t>
  </si>
  <si>
    <t>LAD</t>
  </si>
  <si>
    <t>ANAPOIMA</t>
  </si>
  <si>
    <t>TETE</t>
  </si>
  <si>
    <t>TOCAIMA</t>
  </si>
  <si>
    <t>MOJARRA FRITA</t>
  </si>
  <si>
    <t>MAFE</t>
  </si>
  <si>
    <t>45 años</t>
  </si>
  <si>
    <t>62 años</t>
  </si>
  <si>
    <t>71 años</t>
  </si>
  <si>
    <t>77 años</t>
  </si>
  <si>
    <t>EMPRESA</t>
  </si>
  <si>
    <t>COSTILLAS BBQ</t>
  </si>
  <si>
    <t>MOJARRA SUDADA</t>
  </si>
  <si>
    <t>40 AÑOS</t>
  </si>
  <si>
    <t>7 AÑOS</t>
  </si>
  <si>
    <t>52 AÑO</t>
  </si>
  <si>
    <t>MOJARRA</t>
  </si>
  <si>
    <t>46 AÑOS</t>
  </si>
  <si>
    <t>PECHUGA</t>
  </si>
  <si>
    <t>T.D</t>
  </si>
  <si>
    <t>N°.D</t>
  </si>
  <si>
    <t>C.C.</t>
  </si>
  <si>
    <t>PECHUGA A LA PLANCHA</t>
  </si>
  <si>
    <t>Luz Amparo López Rodriguez</t>
  </si>
  <si>
    <t>José Muñoz Quiroja</t>
  </si>
  <si>
    <t>T.I</t>
  </si>
  <si>
    <t>Yanid Garzón Peña</t>
  </si>
  <si>
    <t>Danny Mauricio Quijano Garzón</t>
  </si>
  <si>
    <t>Yeraldine Garcia</t>
  </si>
  <si>
    <t>Amelia Llorente</t>
  </si>
  <si>
    <t>r.c</t>
  </si>
  <si>
    <t>Eidy Milena Casilimas  Rincón</t>
  </si>
  <si>
    <t>TOTAL</t>
  </si>
  <si>
    <t>68 años</t>
  </si>
  <si>
    <t>Edith Garzón Peña</t>
  </si>
  <si>
    <t>Matias Lozano Días</t>
  </si>
  <si>
    <t>10 años</t>
  </si>
  <si>
    <t>Armando Lozano Cortes</t>
  </si>
  <si>
    <t>66 años</t>
  </si>
  <si>
    <t>54 AÑOS</t>
  </si>
  <si>
    <t>María Fernanda Benavides</t>
  </si>
  <si>
    <t>28 AÑOS</t>
  </si>
  <si>
    <t xml:space="preserve">Jhon Fredy López Hernández </t>
  </si>
  <si>
    <t>LOMO DE CERDO</t>
  </si>
  <si>
    <t xml:space="preserve">Lilia Montenegro </t>
  </si>
  <si>
    <t xml:space="preserve">Ronald Stive Quijano </t>
  </si>
  <si>
    <t>Diana Castro Lopez</t>
  </si>
  <si>
    <t>FRANCY ROMERO SANABRIA</t>
  </si>
  <si>
    <t>EDITH</t>
  </si>
  <si>
    <t>FLORINDA DAZA MARIN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</si>
  <si>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</si>
  <si>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</si>
  <si>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</si>
  <si>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</si>
  <si>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</si>
  <si>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</si>
  <si>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</si>
  <si>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MARIA OFELIA PATIÑO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</si>
  <si>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</si>
  <si>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</si>
  <si>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</si>
  <si>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</si>
  <si>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</si>
  <si>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</si>
  <si>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</si>
  <si>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DANIEL FELIPE ACUÑA PAEZ</t>
  </si>
  <si>
    <t>BLANCA A. HERNANDEZ CAMPOS</t>
  </si>
  <si>
    <t>FLOR MARIA LOZANO</t>
  </si>
  <si>
    <t>DIEGO ALEXANDER JIMENEZ TORRES</t>
  </si>
  <si>
    <t>JOSE NICOLAS JIMENEZ LOZANO</t>
  </si>
  <si>
    <t>GINA MARCELA TORRES ACOSTA</t>
  </si>
  <si>
    <t>ANA EDITH MORENO SILVA</t>
  </si>
  <si>
    <t>GENOVEVA GONZALEZ GIL</t>
  </si>
  <si>
    <t>JACKELINE GONZALEZ GIL</t>
  </si>
  <si>
    <t>MARIA DE LOS ANGELES VARGAS H.</t>
  </si>
  <si>
    <t>GABRIELA ALZATE</t>
  </si>
  <si>
    <t>MARIA ALICIA MANCERA</t>
  </si>
  <si>
    <t>JOSE VICENTE MIRANDA</t>
  </si>
  <si>
    <t>ROSA  NELLY RINCKOAR REYES</t>
  </si>
  <si>
    <t xml:space="preserve">NELLY REYES DE  RINCKOAR </t>
  </si>
  <si>
    <t>PATRICIA MORENO</t>
  </si>
  <si>
    <t>EDWIN DAVID GOMEZ MORENO</t>
  </si>
  <si>
    <t xml:space="preserve">LEIDY  JOHANNA GARCIA </t>
  </si>
  <si>
    <t>SORAIDA GARCIA CANO</t>
  </si>
  <si>
    <t>CRISTIAN ASADIEL BARAHA GARCIA</t>
  </si>
  <si>
    <t>MARTHA CECILIA ACOSTA CLAVIJO</t>
  </si>
  <si>
    <t>JOSE DEL CARMEN MUÑOZ ALDANA</t>
  </si>
  <si>
    <t>Martha Lucía garcia  fuentes</t>
  </si>
  <si>
    <t>Ceira Marlenny Tapias Toloza</t>
  </si>
  <si>
    <t>MARIA LILIANA CONTRERAS BERNAL</t>
  </si>
  <si>
    <t xml:space="preserve">AMPARO MELO BECERRA </t>
  </si>
  <si>
    <t>Rosalba Forero Guatame</t>
  </si>
  <si>
    <t>HULANDAS</t>
  </si>
  <si>
    <t>Luz Adriana torres forero</t>
  </si>
  <si>
    <t>Paula Daniela Reyes Daza</t>
  </si>
  <si>
    <t>Laura Natalia Reyes Daza</t>
  </si>
  <si>
    <t>Sol Katherine Moreno  Cano</t>
  </si>
  <si>
    <t>Luz Stella Cano Daza</t>
  </si>
  <si>
    <t>María Elena Andrae</t>
  </si>
  <si>
    <t>JHONATAN</t>
  </si>
  <si>
    <t xml:space="preserve">Martha Constanza Martínez </t>
  </si>
  <si>
    <t>Luz Marina Gloria</t>
  </si>
  <si>
    <t>Gloria Ocamp</t>
  </si>
  <si>
    <t>Mireya Reyes</t>
  </si>
  <si>
    <t>MIREYA</t>
  </si>
  <si>
    <t>Mercedes Rincon Vargas</t>
  </si>
  <si>
    <t xml:space="preserve">Carlos Alfonso Maecha </t>
  </si>
  <si>
    <t>Elisabet Gomez</t>
  </si>
  <si>
    <t>Graciela Diaz</t>
  </si>
  <si>
    <t>Ligia Diaz</t>
  </si>
  <si>
    <t>JORGE LÓPEZ MORENO</t>
  </si>
  <si>
    <t>ESTER ESCOBAR MONCADA</t>
  </si>
  <si>
    <t>ELSY LÓPEZ ESCOBAR</t>
  </si>
  <si>
    <t xml:space="preserve">LUZ LÓPEZ ESCOBAR </t>
  </si>
  <si>
    <t>Margarita Pinzón Galindo</t>
  </si>
  <si>
    <t>Danna Valentina Robayo Pinzón</t>
  </si>
  <si>
    <t>TELEFONO</t>
  </si>
  <si>
    <t>310 379 7045</t>
  </si>
  <si>
    <t>1.102 877.848</t>
  </si>
  <si>
    <t>CELULAR</t>
  </si>
  <si>
    <t>311 885 0768</t>
  </si>
  <si>
    <t>321 464 8191</t>
  </si>
  <si>
    <t>321 9472558</t>
  </si>
  <si>
    <t>320 856 8079</t>
  </si>
  <si>
    <t>solo seguro</t>
  </si>
  <si>
    <t>321 919 1190</t>
  </si>
  <si>
    <t>311 881 9452</t>
  </si>
  <si>
    <t>312 490 0754</t>
  </si>
  <si>
    <t>314 207 7028</t>
  </si>
  <si>
    <t>313  819 6871</t>
  </si>
  <si>
    <t>320 820 9563</t>
  </si>
  <si>
    <t xml:space="preserve">QUIERE LA </t>
  </si>
  <si>
    <t>MAS GRANDE Y</t>
  </si>
  <si>
    <t>LOS PRIMEROS</t>
  </si>
  <si>
    <t>PUESTOS</t>
  </si>
  <si>
    <t>PAPA FLORINDA DAZA</t>
  </si>
  <si>
    <t>ANA ELISA PORRAS PAEZ</t>
  </si>
  <si>
    <t xml:space="preserve">MOJARRA FRITA </t>
  </si>
  <si>
    <t>LILIA DEL CARMEN CASTRO PAEZ</t>
  </si>
  <si>
    <t xml:space="preserve">JAIRO REYES GARCIA </t>
  </si>
  <si>
    <t>ANGEL REYES</t>
  </si>
  <si>
    <t>SOFIA REYES</t>
  </si>
  <si>
    <t>WEASLY REYES</t>
  </si>
  <si>
    <t>LUIS SANCHEZ</t>
  </si>
  <si>
    <t>OLGA LUCIA CASALLAS</t>
  </si>
  <si>
    <t>MARTHA LUCIA MORENO</t>
  </si>
  <si>
    <t>310 7817921</t>
  </si>
  <si>
    <t>11. 294.271</t>
  </si>
  <si>
    <t>20. 870.757</t>
  </si>
  <si>
    <t>52. 231.833</t>
  </si>
  <si>
    <t>52. 344.312</t>
  </si>
  <si>
    <t xml:space="preserve">Teresa soler Balbuena </t>
  </si>
  <si>
    <t>Maria Angelica Villamil Sierra</t>
  </si>
  <si>
    <t>Fidel Eduardo Pineda Quiñones</t>
  </si>
  <si>
    <t>Natalia Bonilla Villamil</t>
  </si>
  <si>
    <t>DANIELA CRUZ</t>
  </si>
  <si>
    <t>Adelina Ramos Acosta</t>
  </si>
  <si>
    <t>Soralla murillo prieto</t>
  </si>
  <si>
    <t>William Alexander Cifuentes Heredia</t>
  </si>
  <si>
    <t>Graciela Santamaria</t>
  </si>
  <si>
    <t>313 2040930</t>
  </si>
  <si>
    <t>Isidoro Cuervo</t>
  </si>
  <si>
    <t>C.C</t>
  </si>
  <si>
    <t>Fabio Ladino</t>
  </si>
  <si>
    <t xml:space="preserve"> rosmary castaño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</si>
</sst>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/>
    <xf numFmtId="0" fontId="0" fillId="0" borderId="1" xfId="0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/>
    <xf numFmtId="0" fontId="0" fillId="3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/>
    <xf numFmtId="0" fontId="0" fillId="3" borderId="2" xfId="0" applyFill="1" applyBorder="1" applyAlignment="1">
      <alignment horizontal="center" vertical="center"/>
    </xf>
    <xf numFmtId="0" fontId="0" fillId="11" borderId="3" xfId="0" applyFill="1" applyBorder="1"/>
    <xf numFmtId="0" fontId="0" fillId="6" borderId="3" xfId="0" applyFill="1" applyBorder="1" applyAlignment="1">
      <alignment horizontal="center"/>
    </xf>
    <xf numFmtId="3" fontId="0" fillId="7" borderId="2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4" borderId="2" xfId="0" applyFill="1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3" fontId="0" fillId="0" borderId="3" xfId="0" applyNumberFormat="1" applyBorder="1" applyAlignment="1">
      <alignment horizontal="center"/>
    </xf>
    <xf numFmtId="0" fontId="0" fillId="12" borderId="2" xfId="0" applyFill="1" applyBorder="1"/>
    <xf numFmtId="0" fontId="0" fillId="12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D9F0-4CA1-4F86-9F30-1E90FFA6233C}">
  <dimension ref="B2:K152"/>
  <sheetViews>
    <sheetView tabSelected="1" topLeftCell="A134" workbookViewId="0">
      <selection activeCell="B2" sqref="B2:K152"/>
    </sheetView>
  </sheetViews>
  <sheetFormatPr baseColWidth="10" defaultRowHeight="15" x14ac:dyDescent="0.25"/>
  <cols>
    <col min="2" max="2" width="4" bestFit="1" customWidth="1"/>
    <col min="3" max="3" width="31" bestFit="1" customWidth="1"/>
    <col min="5" max="5" width="12.7109375" bestFit="1" customWidth="1"/>
    <col min="6" max="6" width="8.5703125" bestFit="1" customWidth="1"/>
    <col min="8" max="8" width="11.140625" bestFit="1" customWidth="1"/>
    <col min="9" max="9" width="15.28515625" bestFit="1" customWidth="1"/>
    <col min="10" max="10" width="22.85546875" bestFit="1" customWidth="1"/>
    <col min="11" max="11" width="9.28515625" bestFit="1" customWidth="1"/>
  </cols>
  <sheetData>
    <row r="2" spans="2:11" x14ac:dyDescent="0.25">
      <c r="B2" s="1" t="s">
        <v>0</v>
      </c>
      <c r="C2" s="2" t="s">
        <v>1</v>
      </c>
      <c r="D2" s="2" t="s">
        <v>76</v>
      </c>
      <c r="E2" s="16" t="s">
        <v>77</v>
      </c>
      <c r="F2" s="2" t="s">
        <v>51</v>
      </c>
      <c r="G2" s="2" t="s">
        <v>173</v>
      </c>
      <c r="H2" s="2" t="s">
        <v>52</v>
      </c>
      <c r="I2" s="2" t="s">
        <v>53</v>
      </c>
      <c r="J2" s="2" t="s">
        <v>54</v>
      </c>
      <c r="K2" s="2" t="s">
        <v>55</v>
      </c>
    </row>
    <row r="3" spans="2:11" x14ac:dyDescent="0.25">
      <c r="B3" s="3">
        <v>1</v>
      </c>
      <c r="C3" s="6" t="s">
        <v>2</v>
      </c>
      <c r="D3" s="8" t="s">
        <v>78</v>
      </c>
      <c r="E3" s="17">
        <v>1049894080</v>
      </c>
      <c r="F3" s="8">
        <f>2024-2003</f>
        <v>21</v>
      </c>
      <c r="G3" s="8" t="s">
        <v>174</v>
      </c>
      <c r="H3" s="11" t="s">
        <v>58</v>
      </c>
      <c r="I3" s="18" t="s">
        <v>59</v>
      </c>
      <c r="J3" s="8" t="s">
        <v>79</v>
      </c>
      <c r="K3" s="13">
        <v>300000</v>
      </c>
    </row>
    <row r="4" spans="2:11" x14ac:dyDescent="0.25">
      <c r="B4" s="5">
        <v>2</v>
      </c>
      <c r="C4" s="6" t="s">
        <v>3</v>
      </c>
      <c r="D4" s="10" t="s">
        <v>78</v>
      </c>
      <c r="E4" s="24">
        <v>1007155755</v>
      </c>
      <c r="F4" s="10"/>
      <c r="G4" s="10">
        <v>3143034791</v>
      </c>
      <c r="H4" s="11" t="s">
        <v>58</v>
      </c>
      <c r="I4" s="18" t="s">
        <v>59</v>
      </c>
      <c r="J4" s="10" t="s">
        <v>68</v>
      </c>
      <c r="K4" s="10" t="s">
        <v>6</v>
      </c>
    </row>
    <row r="5" spans="2:11" ht="15.75" thickBot="1" x14ac:dyDescent="0.3">
      <c r="B5" s="3">
        <v>3</v>
      </c>
      <c r="C5" s="20" t="s">
        <v>4</v>
      </c>
      <c r="D5" s="21" t="s">
        <v>78</v>
      </c>
      <c r="E5" s="22" t="s">
        <v>175</v>
      </c>
      <c r="F5" s="21">
        <f>2024-1997</f>
        <v>27</v>
      </c>
      <c r="G5" s="21"/>
      <c r="H5" s="23" t="s">
        <v>58</v>
      </c>
      <c r="I5" s="18" t="s">
        <v>59</v>
      </c>
      <c r="J5" s="8" t="s">
        <v>61</v>
      </c>
      <c r="K5" s="8" t="s">
        <v>6</v>
      </c>
    </row>
    <row r="6" spans="2:11" x14ac:dyDescent="0.25">
      <c r="B6" s="5">
        <v>4</v>
      </c>
      <c r="C6" s="6" t="s">
        <v>5</v>
      </c>
      <c r="D6" s="10" t="s">
        <v>78</v>
      </c>
      <c r="E6" s="24">
        <v>20357610</v>
      </c>
      <c r="F6" s="10">
        <v>63</v>
      </c>
      <c r="G6" s="10"/>
      <c r="H6" s="11" t="s">
        <v>58</v>
      </c>
      <c r="I6" s="10" t="s">
        <v>57</v>
      </c>
      <c r="J6" s="10" t="s">
        <v>61</v>
      </c>
      <c r="K6" s="15">
        <v>200000</v>
      </c>
    </row>
    <row r="7" spans="2:11" ht="15.75" thickBot="1" x14ac:dyDescent="0.3">
      <c r="B7" s="3">
        <v>5</v>
      </c>
      <c r="C7" s="20" t="s">
        <v>80</v>
      </c>
      <c r="D7" s="21" t="s">
        <v>78</v>
      </c>
      <c r="E7" s="25">
        <v>30372665</v>
      </c>
      <c r="F7" s="21">
        <v>50</v>
      </c>
      <c r="G7" s="21"/>
      <c r="H7" s="23" t="s">
        <v>58</v>
      </c>
      <c r="I7" s="21" t="s">
        <v>57</v>
      </c>
      <c r="J7" s="8" t="s">
        <v>61</v>
      </c>
      <c r="K7" s="8" t="s">
        <v>6</v>
      </c>
    </row>
    <row r="8" spans="2:11" x14ac:dyDescent="0.25">
      <c r="B8" s="5">
        <v>6</v>
      </c>
      <c r="C8" s="6" t="s">
        <v>7</v>
      </c>
      <c r="D8" s="10" t="s">
        <v>78</v>
      </c>
      <c r="E8" s="24">
        <v>1003650684</v>
      </c>
      <c r="F8" s="10">
        <v>24</v>
      </c>
      <c r="G8" s="10" t="s">
        <v>176</v>
      </c>
      <c r="H8" s="11" t="s">
        <v>58</v>
      </c>
      <c r="I8" s="26" t="s">
        <v>59</v>
      </c>
      <c r="J8" s="10" t="s">
        <v>61</v>
      </c>
      <c r="K8" s="15">
        <v>200000</v>
      </c>
    </row>
    <row r="9" spans="2:11" x14ac:dyDescent="0.25">
      <c r="B9" s="3">
        <v>7</v>
      </c>
      <c r="C9" s="6" t="s">
        <v>8</v>
      </c>
      <c r="D9" s="8" t="s">
        <v>78</v>
      </c>
      <c r="E9" s="17">
        <v>21462207</v>
      </c>
      <c r="F9" s="8">
        <f>2023-1958</f>
        <v>65</v>
      </c>
      <c r="G9" s="8"/>
      <c r="H9" s="11" t="s">
        <v>58</v>
      </c>
      <c r="I9" s="26" t="s">
        <v>59</v>
      </c>
      <c r="J9" s="8" t="s">
        <v>61</v>
      </c>
      <c r="K9" s="8"/>
    </row>
    <row r="10" spans="2:11" x14ac:dyDescent="0.25">
      <c r="B10" s="5">
        <v>8</v>
      </c>
      <c r="C10" s="6" t="s">
        <v>81</v>
      </c>
      <c r="D10" s="10" t="s">
        <v>78</v>
      </c>
      <c r="E10" s="24">
        <v>179473</v>
      </c>
      <c r="F10" s="10">
        <f>2023-1964</f>
        <v>59</v>
      </c>
      <c r="G10" s="10"/>
      <c r="H10" s="11" t="s">
        <v>58</v>
      </c>
      <c r="I10" s="26" t="s">
        <v>59</v>
      </c>
      <c r="J10" s="10" t="s">
        <v>69</v>
      </c>
      <c r="K10" s="15">
        <v>50000</v>
      </c>
    </row>
    <row r="11" spans="2:11" x14ac:dyDescent="0.25">
      <c r="B11" s="3">
        <v>9</v>
      </c>
      <c r="C11" s="4" t="s">
        <v>9</v>
      </c>
      <c r="D11" s="8" t="s">
        <v>78</v>
      </c>
      <c r="E11" s="17">
        <v>21016956</v>
      </c>
      <c r="F11" s="8">
        <f>2024-1971</f>
        <v>53</v>
      </c>
      <c r="G11" s="8"/>
      <c r="H11" s="9" t="s">
        <v>56</v>
      </c>
      <c r="I11" s="8" t="s">
        <v>59</v>
      </c>
      <c r="J11" s="8" t="s">
        <v>69</v>
      </c>
      <c r="K11" s="13">
        <v>210000</v>
      </c>
    </row>
    <row r="12" spans="2:11" x14ac:dyDescent="0.25">
      <c r="B12" s="5">
        <v>10</v>
      </c>
      <c r="C12" s="4" t="s">
        <v>10</v>
      </c>
      <c r="D12" s="10" t="s">
        <v>78</v>
      </c>
      <c r="E12" s="24">
        <v>1073629789</v>
      </c>
      <c r="F12" s="10">
        <v>29</v>
      </c>
      <c r="G12" s="10"/>
      <c r="H12" s="9" t="s">
        <v>56</v>
      </c>
      <c r="I12" s="10" t="s">
        <v>59</v>
      </c>
      <c r="J12" s="10" t="s">
        <v>69</v>
      </c>
      <c r="K12" s="10" t="s">
        <v>6</v>
      </c>
    </row>
    <row r="13" spans="2:11" ht="15.75" thickBot="1" x14ac:dyDescent="0.3">
      <c r="B13" s="3">
        <v>11</v>
      </c>
      <c r="C13" s="27" t="s">
        <v>11</v>
      </c>
      <c r="D13" s="21" t="s">
        <v>78</v>
      </c>
      <c r="E13" s="25">
        <v>1073629483</v>
      </c>
      <c r="F13" s="21">
        <f>2024-1993</f>
        <v>31</v>
      </c>
      <c r="G13" s="21"/>
      <c r="H13" s="28" t="s">
        <v>56</v>
      </c>
      <c r="I13" s="21" t="s">
        <v>59</v>
      </c>
      <c r="J13" s="21" t="s">
        <v>69</v>
      </c>
      <c r="K13" s="21" t="s">
        <v>6</v>
      </c>
    </row>
    <row r="14" spans="2:11" x14ac:dyDescent="0.25">
      <c r="B14" s="5">
        <v>12</v>
      </c>
      <c r="C14" s="4" t="s">
        <v>12</v>
      </c>
      <c r="D14" s="10" t="s">
        <v>78</v>
      </c>
      <c r="E14" s="24">
        <v>11451911</v>
      </c>
      <c r="F14" s="10">
        <v>40</v>
      </c>
      <c r="G14" s="10"/>
      <c r="H14" s="9" t="s">
        <v>56</v>
      </c>
      <c r="I14" s="10" t="s">
        <v>57</v>
      </c>
      <c r="J14" s="10" t="s">
        <v>61</v>
      </c>
      <c r="K14" s="15">
        <v>330000</v>
      </c>
    </row>
    <row r="15" spans="2:11" x14ac:dyDescent="0.25">
      <c r="B15" s="3">
        <v>13</v>
      </c>
      <c r="C15" s="4" t="s">
        <v>13</v>
      </c>
      <c r="D15" s="8" t="s">
        <v>78</v>
      </c>
      <c r="E15" s="17">
        <v>1019035371</v>
      </c>
      <c r="F15" s="8">
        <v>35</v>
      </c>
      <c r="G15" s="8"/>
      <c r="H15" s="9" t="s">
        <v>56</v>
      </c>
      <c r="I15" s="8" t="s">
        <v>57</v>
      </c>
      <c r="J15" s="8" t="s">
        <v>61</v>
      </c>
      <c r="K15" s="8"/>
    </row>
    <row r="16" spans="2:11" ht="15.75" thickBot="1" x14ac:dyDescent="0.3">
      <c r="B16" s="5">
        <v>14</v>
      </c>
      <c r="C16" s="27" t="s">
        <v>14</v>
      </c>
      <c r="D16" s="29" t="s">
        <v>82</v>
      </c>
      <c r="E16" s="30">
        <v>1073629313</v>
      </c>
      <c r="F16" s="29">
        <v>13</v>
      </c>
      <c r="G16" s="29"/>
      <c r="H16" s="28" t="s">
        <v>56</v>
      </c>
      <c r="I16" s="29" t="s">
        <v>57</v>
      </c>
      <c r="J16" s="29" t="s">
        <v>61</v>
      </c>
      <c r="K16" s="29"/>
    </row>
    <row r="17" spans="2:11" x14ac:dyDescent="0.25">
      <c r="B17" s="3">
        <v>15</v>
      </c>
      <c r="C17" s="6" t="s">
        <v>15</v>
      </c>
      <c r="D17" s="8" t="s">
        <v>78</v>
      </c>
      <c r="E17" s="17">
        <v>1003672928</v>
      </c>
      <c r="F17" s="8">
        <v>23</v>
      </c>
      <c r="G17" s="8" t="s">
        <v>176</v>
      </c>
      <c r="H17" s="11" t="s">
        <v>58</v>
      </c>
      <c r="I17" s="31" t="s">
        <v>59</v>
      </c>
      <c r="J17" s="8" t="s">
        <v>61</v>
      </c>
      <c r="K17" s="13">
        <v>105000</v>
      </c>
    </row>
    <row r="18" spans="2:11" x14ac:dyDescent="0.25">
      <c r="B18" s="5">
        <v>16</v>
      </c>
      <c r="C18" s="6" t="s">
        <v>16</v>
      </c>
      <c r="D18" s="10" t="s">
        <v>78</v>
      </c>
      <c r="E18" s="24">
        <v>20358836</v>
      </c>
      <c r="F18" s="10">
        <v>39</v>
      </c>
      <c r="G18" s="10"/>
      <c r="H18" s="11" t="s">
        <v>58</v>
      </c>
      <c r="I18" s="31" t="s">
        <v>59</v>
      </c>
      <c r="J18" s="10" t="s">
        <v>61</v>
      </c>
      <c r="K18" s="10" t="s">
        <v>6</v>
      </c>
    </row>
    <row r="19" spans="2:11" x14ac:dyDescent="0.25">
      <c r="B19" s="3">
        <v>17</v>
      </c>
      <c r="C19" s="32" t="s">
        <v>17</v>
      </c>
      <c r="D19" s="8" t="s">
        <v>78</v>
      </c>
      <c r="E19" s="33"/>
      <c r="F19" s="8"/>
      <c r="G19" s="8"/>
      <c r="H19" s="12" t="s">
        <v>60</v>
      </c>
      <c r="I19" s="8" t="s">
        <v>62</v>
      </c>
      <c r="J19" s="8"/>
      <c r="K19" s="8"/>
    </row>
    <row r="20" spans="2:11" x14ac:dyDescent="0.25">
      <c r="B20" s="5">
        <v>18</v>
      </c>
      <c r="C20" s="32" t="s">
        <v>83</v>
      </c>
      <c r="D20" s="10" t="s">
        <v>78</v>
      </c>
      <c r="E20" s="24">
        <v>21014616</v>
      </c>
      <c r="F20" s="10">
        <v>62</v>
      </c>
      <c r="G20" s="10" t="s">
        <v>177</v>
      </c>
      <c r="H20" s="12" t="s">
        <v>60</v>
      </c>
      <c r="I20" s="10" t="s">
        <v>62</v>
      </c>
      <c r="J20" s="10" t="s">
        <v>61</v>
      </c>
      <c r="K20" s="10"/>
    </row>
    <row r="21" spans="2:11" x14ac:dyDescent="0.25">
      <c r="B21" s="3">
        <v>19</v>
      </c>
      <c r="C21" s="32" t="s">
        <v>84</v>
      </c>
      <c r="D21" s="8" t="s">
        <v>78</v>
      </c>
      <c r="E21" s="17">
        <v>1075624814</v>
      </c>
      <c r="F21" s="8">
        <v>37</v>
      </c>
      <c r="G21" s="8" t="s">
        <v>178</v>
      </c>
      <c r="H21" s="12" t="s">
        <v>60</v>
      </c>
      <c r="I21" s="8" t="s">
        <v>62</v>
      </c>
      <c r="J21" s="8" t="s">
        <v>68</v>
      </c>
      <c r="K21" s="8"/>
    </row>
    <row r="22" spans="2:11" x14ac:dyDescent="0.25">
      <c r="B22" s="5">
        <v>20</v>
      </c>
      <c r="C22" s="32" t="s">
        <v>85</v>
      </c>
      <c r="D22" s="10" t="s">
        <v>78</v>
      </c>
      <c r="E22" s="24">
        <v>1075639242</v>
      </c>
      <c r="F22" s="10">
        <v>27</v>
      </c>
      <c r="G22" s="10" t="s">
        <v>179</v>
      </c>
      <c r="H22" s="12" t="s">
        <v>60</v>
      </c>
      <c r="I22" s="10" t="s">
        <v>62</v>
      </c>
      <c r="J22" s="10" t="s">
        <v>68</v>
      </c>
      <c r="K22" s="10"/>
    </row>
    <row r="23" spans="2:11" x14ac:dyDescent="0.25">
      <c r="B23" s="3">
        <v>21</v>
      </c>
      <c r="C23" s="32" t="s">
        <v>86</v>
      </c>
      <c r="D23" s="8" t="s">
        <v>87</v>
      </c>
      <c r="E23" s="17">
        <v>1075630179</v>
      </c>
      <c r="F23" s="8">
        <v>6</v>
      </c>
      <c r="G23" s="8"/>
      <c r="H23" s="12" t="s">
        <v>60</v>
      </c>
      <c r="I23" s="8" t="s">
        <v>62</v>
      </c>
      <c r="J23" s="8" t="s">
        <v>68</v>
      </c>
      <c r="K23" s="8"/>
    </row>
    <row r="24" spans="2:11" x14ac:dyDescent="0.25">
      <c r="B24" s="5">
        <v>22</v>
      </c>
      <c r="C24" s="32" t="s">
        <v>88</v>
      </c>
      <c r="D24" s="10" t="s">
        <v>78</v>
      </c>
      <c r="E24" s="24">
        <v>52530263</v>
      </c>
      <c r="F24" s="10" t="s">
        <v>63</v>
      </c>
      <c r="G24" s="10"/>
      <c r="H24" s="12" t="s">
        <v>60</v>
      </c>
      <c r="I24" s="10" t="s">
        <v>62</v>
      </c>
      <c r="J24" s="10" t="s">
        <v>69</v>
      </c>
      <c r="K24" s="10" t="s">
        <v>89</v>
      </c>
    </row>
    <row r="25" spans="2:11" x14ac:dyDescent="0.25">
      <c r="B25" s="3">
        <v>23</v>
      </c>
      <c r="C25" s="32" t="s">
        <v>18</v>
      </c>
      <c r="D25" s="8" t="s">
        <v>78</v>
      </c>
      <c r="E25" s="17">
        <v>21013901</v>
      </c>
      <c r="F25" s="8" t="s">
        <v>90</v>
      </c>
      <c r="G25" s="8"/>
      <c r="H25" s="12" t="s">
        <v>60</v>
      </c>
      <c r="I25" s="8" t="s">
        <v>62</v>
      </c>
      <c r="J25" s="8" t="s">
        <v>69</v>
      </c>
      <c r="K25" s="8" t="s">
        <v>89</v>
      </c>
    </row>
    <row r="26" spans="2:11" x14ac:dyDescent="0.25">
      <c r="B26" s="5">
        <v>24</v>
      </c>
      <c r="C26" s="32" t="s">
        <v>91</v>
      </c>
      <c r="D26" s="10" t="s">
        <v>78</v>
      </c>
      <c r="E26" s="24">
        <v>21014615</v>
      </c>
      <c r="F26" s="10" t="s">
        <v>64</v>
      </c>
      <c r="G26" s="10" t="s">
        <v>180</v>
      </c>
      <c r="H26" s="12" t="s">
        <v>60</v>
      </c>
      <c r="I26" s="10" t="s">
        <v>62</v>
      </c>
      <c r="J26" s="10" t="s">
        <v>69</v>
      </c>
      <c r="K26" s="10" t="s">
        <v>89</v>
      </c>
    </row>
    <row r="27" spans="2:11" x14ac:dyDescent="0.25">
      <c r="B27" s="3">
        <v>25</v>
      </c>
      <c r="C27" s="32" t="s">
        <v>92</v>
      </c>
      <c r="D27" s="8" t="s">
        <v>82</v>
      </c>
      <c r="E27" s="17">
        <v>1075628981</v>
      </c>
      <c r="F27" s="8" t="s">
        <v>93</v>
      </c>
      <c r="G27" s="8"/>
      <c r="H27" s="12" t="s">
        <v>60</v>
      </c>
      <c r="I27" s="8" t="s">
        <v>62</v>
      </c>
      <c r="J27" s="8" t="s">
        <v>79</v>
      </c>
      <c r="K27" s="8" t="s">
        <v>89</v>
      </c>
    </row>
    <row r="28" spans="2:11" ht="15.75" thickBot="1" x14ac:dyDescent="0.3">
      <c r="B28" s="5">
        <v>26</v>
      </c>
      <c r="C28" s="34" t="s">
        <v>94</v>
      </c>
      <c r="D28" s="29" t="s">
        <v>78</v>
      </c>
      <c r="E28" s="30">
        <v>3209381</v>
      </c>
      <c r="F28" s="29" t="s">
        <v>95</v>
      </c>
      <c r="G28" s="29"/>
      <c r="H28" s="35" t="s">
        <v>60</v>
      </c>
      <c r="I28" s="29" t="s">
        <v>62</v>
      </c>
      <c r="J28" s="29" t="s">
        <v>68</v>
      </c>
      <c r="K28" s="29" t="s">
        <v>89</v>
      </c>
    </row>
    <row r="29" spans="2:11" x14ac:dyDescent="0.25">
      <c r="B29" s="3">
        <v>27</v>
      </c>
      <c r="C29" s="4" t="s">
        <v>19</v>
      </c>
      <c r="D29" s="8" t="s">
        <v>78</v>
      </c>
      <c r="E29" s="17">
        <v>19194477</v>
      </c>
      <c r="F29" s="8" t="s">
        <v>65</v>
      </c>
      <c r="G29" s="8">
        <v>3005535034</v>
      </c>
      <c r="H29" s="9" t="s">
        <v>56</v>
      </c>
      <c r="I29" s="8" t="s">
        <v>57</v>
      </c>
      <c r="J29" s="8"/>
      <c r="K29" s="8"/>
    </row>
    <row r="30" spans="2:11" x14ac:dyDescent="0.25">
      <c r="B30" s="5">
        <v>28</v>
      </c>
      <c r="C30" s="4" t="s">
        <v>20</v>
      </c>
      <c r="D30" s="10" t="s">
        <v>78</v>
      </c>
      <c r="E30" s="24">
        <v>41410632</v>
      </c>
      <c r="F30" s="10" t="s">
        <v>66</v>
      </c>
      <c r="G30" s="10"/>
      <c r="H30" s="9" t="s">
        <v>56</v>
      </c>
      <c r="I30" s="10" t="s">
        <v>57</v>
      </c>
      <c r="J30" s="10"/>
      <c r="K30" s="10"/>
    </row>
    <row r="31" spans="2:11" x14ac:dyDescent="0.25">
      <c r="B31" s="3">
        <v>29</v>
      </c>
      <c r="C31" s="4" t="s">
        <v>21</v>
      </c>
      <c r="D31" s="8"/>
      <c r="E31" s="33"/>
      <c r="F31" s="8" t="s">
        <v>96</v>
      </c>
      <c r="G31" s="8"/>
      <c r="H31" s="9" t="s">
        <v>56</v>
      </c>
      <c r="I31" s="8" t="s">
        <v>67</v>
      </c>
      <c r="J31" s="8" t="s">
        <v>61</v>
      </c>
      <c r="K31" s="8"/>
    </row>
    <row r="32" spans="2:11" x14ac:dyDescent="0.25">
      <c r="B32" s="5">
        <v>30</v>
      </c>
      <c r="C32" s="7" t="s">
        <v>97</v>
      </c>
      <c r="D32" s="10"/>
      <c r="E32" s="19"/>
      <c r="F32" s="10" t="s">
        <v>98</v>
      </c>
      <c r="G32" s="10"/>
      <c r="H32" s="12" t="s">
        <v>60</v>
      </c>
      <c r="I32" s="10" t="s">
        <v>67</v>
      </c>
      <c r="J32" s="10"/>
      <c r="K32" s="10"/>
    </row>
    <row r="33" spans="2:11" x14ac:dyDescent="0.25">
      <c r="B33" s="3">
        <v>31</v>
      </c>
      <c r="C33" s="7" t="s">
        <v>22</v>
      </c>
      <c r="D33" s="8"/>
      <c r="E33" s="33"/>
      <c r="F33" s="8" t="s">
        <v>96</v>
      </c>
      <c r="G33" s="8"/>
      <c r="H33" s="12" t="s">
        <v>60</v>
      </c>
      <c r="I33" s="8" t="s">
        <v>67</v>
      </c>
      <c r="J33" s="8"/>
      <c r="K33" s="8"/>
    </row>
    <row r="34" spans="2:11" x14ac:dyDescent="0.25">
      <c r="B34" s="5">
        <v>32</v>
      </c>
      <c r="C34" s="6" t="s">
        <v>23</v>
      </c>
      <c r="D34" s="10" t="s">
        <v>78</v>
      </c>
      <c r="E34" s="24">
        <v>1005848342</v>
      </c>
      <c r="F34" s="10">
        <v>23</v>
      </c>
      <c r="G34" s="10"/>
      <c r="H34" s="11" t="s">
        <v>58</v>
      </c>
      <c r="I34" s="31" t="s">
        <v>59</v>
      </c>
      <c r="J34" s="10"/>
      <c r="K34" s="15">
        <v>100000</v>
      </c>
    </row>
    <row r="35" spans="2:11" x14ac:dyDescent="0.25">
      <c r="B35" s="3"/>
      <c r="C35" s="6" t="s">
        <v>24</v>
      </c>
      <c r="D35" s="14" t="s">
        <v>87</v>
      </c>
      <c r="E35" s="36">
        <v>1073630686</v>
      </c>
      <c r="F35" s="14">
        <v>5</v>
      </c>
      <c r="G35" s="14" t="s">
        <v>181</v>
      </c>
      <c r="H35" s="11" t="s">
        <v>58</v>
      </c>
      <c r="I35" s="31" t="s">
        <v>59</v>
      </c>
      <c r="J35" s="14"/>
      <c r="K35" s="14" t="s">
        <v>6</v>
      </c>
    </row>
    <row r="36" spans="2:11" x14ac:dyDescent="0.25">
      <c r="B36" s="5">
        <v>33</v>
      </c>
      <c r="C36" s="7" t="s">
        <v>25</v>
      </c>
      <c r="D36" s="10" t="s">
        <v>78</v>
      </c>
      <c r="E36" s="24">
        <v>41568536</v>
      </c>
      <c r="F36" s="10"/>
      <c r="G36" s="10"/>
      <c r="H36" s="12" t="s">
        <v>60</v>
      </c>
      <c r="I36" s="10" t="s">
        <v>62</v>
      </c>
      <c r="J36" s="10"/>
      <c r="K36" s="15">
        <v>70000</v>
      </c>
    </row>
    <row r="37" spans="2:11" x14ac:dyDescent="0.25">
      <c r="B37" s="3">
        <v>34</v>
      </c>
      <c r="C37" s="7" t="s">
        <v>26</v>
      </c>
      <c r="D37" s="8" t="s">
        <v>78</v>
      </c>
      <c r="E37" s="17">
        <v>21017918</v>
      </c>
      <c r="F37" s="8"/>
      <c r="G37" s="8"/>
      <c r="H37" s="12" t="s">
        <v>60</v>
      </c>
      <c r="I37" s="8" t="s">
        <v>62</v>
      </c>
      <c r="J37" s="8"/>
      <c r="K37" s="8" t="s">
        <v>6</v>
      </c>
    </row>
    <row r="38" spans="2:11" x14ac:dyDescent="0.25">
      <c r="B38" s="5">
        <v>35</v>
      </c>
      <c r="C38" s="4" t="s">
        <v>27</v>
      </c>
      <c r="D38" s="10" t="s">
        <v>78</v>
      </c>
      <c r="E38" s="24">
        <v>1015478891</v>
      </c>
      <c r="F38" s="10">
        <v>25</v>
      </c>
      <c r="G38" s="10"/>
      <c r="H38" s="9" t="s">
        <v>56</v>
      </c>
      <c r="I38" s="26" t="s">
        <v>59</v>
      </c>
      <c r="J38" s="10" t="s">
        <v>61</v>
      </c>
      <c r="K38" s="15">
        <v>610000</v>
      </c>
    </row>
    <row r="39" spans="2:11" x14ac:dyDescent="0.25">
      <c r="B39" s="3"/>
      <c r="C39" s="4" t="s">
        <v>28</v>
      </c>
      <c r="D39" s="14" t="s">
        <v>87</v>
      </c>
      <c r="E39" s="36">
        <v>1023037329</v>
      </c>
      <c r="F39" s="14">
        <v>6</v>
      </c>
      <c r="G39" s="14" t="s">
        <v>181</v>
      </c>
      <c r="H39" s="9" t="s">
        <v>56</v>
      </c>
      <c r="I39" s="26" t="s">
        <v>59</v>
      </c>
      <c r="J39" s="14" t="s">
        <v>68</v>
      </c>
      <c r="K39" s="14" t="s">
        <v>6</v>
      </c>
    </row>
    <row r="40" spans="2:11" x14ac:dyDescent="0.25">
      <c r="B40" s="5">
        <v>36</v>
      </c>
      <c r="C40" s="4" t="s">
        <v>99</v>
      </c>
      <c r="D40" s="10" t="s">
        <v>78</v>
      </c>
      <c r="E40" s="24">
        <v>1072962282</v>
      </c>
      <c r="F40" s="10">
        <f>2023-1993</f>
        <v>30</v>
      </c>
      <c r="G40" s="10"/>
      <c r="H40" s="9" t="s">
        <v>56</v>
      </c>
      <c r="I40" s="26" t="s">
        <v>59</v>
      </c>
      <c r="J40" s="10" t="s">
        <v>100</v>
      </c>
      <c r="K40" s="15" t="s">
        <v>6</v>
      </c>
    </row>
    <row r="41" spans="2:11" x14ac:dyDescent="0.25">
      <c r="B41" s="3">
        <v>37</v>
      </c>
      <c r="C41" s="4" t="s">
        <v>101</v>
      </c>
      <c r="D41" s="8" t="s">
        <v>78</v>
      </c>
      <c r="E41" s="17">
        <v>20872142</v>
      </c>
      <c r="F41" s="8">
        <v>43</v>
      </c>
      <c r="G41" s="8"/>
      <c r="H41" s="9" t="s">
        <v>56</v>
      </c>
      <c r="I41" s="26" t="s">
        <v>59</v>
      </c>
      <c r="J41" s="8" t="s">
        <v>69</v>
      </c>
      <c r="K41" s="8" t="s">
        <v>6</v>
      </c>
    </row>
    <row r="42" spans="2:11" x14ac:dyDescent="0.25">
      <c r="B42" s="5">
        <v>38</v>
      </c>
      <c r="C42" s="4" t="s">
        <v>29</v>
      </c>
      <c r="D42" s="10" t="s">
        <v>78</v>
      </c>
      <c r="E42" s="24">
        <v>4137931</v>
      </c>
      <c r="F42" s="10">
        <f>2023-1977</f>
        <v>46</v>
      </c>
      <c r="G42" s="10"/>
      <c r="H42" s="9" t="s">
        <v>56</v>
      </c>
      <c r="I42" s="26" t="s">
        <v>59</v>
      </c>
      <c r="J42" s="10" t="s">
        <v>68</v>
      </c>
      <c r="K42" s="10" t="s">
        <v>6</v>
      </c>
    </row>
    <row r="43" spans="2:11" x14ac:dyDescent="0.25">
      <c r="B43" s="3">
        <v>39</v>
      </c>
      <c r="C43" s="32" t="s">
        <v>30</v>
      </c>
      <c r="D43" s="8" t="s">
        <v>78</v>
      </c>
      <c r="E43" s="17">
        <v>21012039</v>
      </c>
      <c r="F43" s="8">
        <v>73</v>
      </c>
      <c r="G43" s="8" t="s">
        <v>182</v>
      </c>
      <c r="H43" s="12" t="s">
        <v>60</v>
      </c>
      <c r="I43" s="8" t="s">
        <v>62</v>
      </c>
      <c r="J43" s="8" t="s">
        <v>61</v>
      </c>
      <c r="K43" s="8"/>
    </row>
    <row r="44" spans="2:11" x14ac:dyDescent="0.25">
      <c r="B44" s="5">
        <v>40</v>
      </c>
      <c r="C44" s="32" t="s">
        <v>31</v>
      </c>
      <c r="D44" s="10" t="s">
        <v>78</v>
      </c>
      <c r="E44" s="24">
        <v>21013371</v>
      </c>
      <c r="F44" s="10">
        <v>68</v>
      </c>
      <c r="G44" s="10" t="s">
        <v>183</v>
      </c>
      <c r="H44" s="12" t="s">
        <v>60</v>
      </c>
      <c r="I44" s="10" t="s">
        <v>62</v>
      </c>
      <c r="J44" s="10" t="s">
        <v>61</v>
      </c>
      <c r="K44" s="15">
        <v>50000</v>
      </c>
    </row>
    <row r="45" spans="2:11" x14ac:dyDescent="0.25">
      <c r="B45" s="3">
        <v>41</v>
      </c>
      <c r="C45" s="32" t="s">
        <v>32</v>
      </c>
      <c r="D45" s="8" t="s">
        <v>78</v>
      </c>
      <c r="E45" s="17">
        <v>21013874</v>
      </c>
      <c r="F45" s="8">
        <v>67</v>
      </c>
      <c r="G45" s="8" t="s">
        <v>184</v>
      </c>
      <c r="H45" s="12" t="s">
        <v>60</v>
      </c>
      <c r="I45" s="8" t="s">
        <v>62</v>
      </c>
      <c r="J45" s="8" t="s">
        <v>61</v>
      </c>
      <c r="K45" s="13">
        <v>50000</v>
      </c>
    </row>
    <row r="46" spans="2:11" x14ac:dyDescent="0.25">
      <c r="B46" s="5">
        <v>42</v>
      </c>
      <c r="C46" s="32" t="s">
        <v>33</v>
      </c>
      <c r="D46" s="10" t="s">
        <v>78</v>
      </c>
      <c r="E46" s="24">
        <v>21011498</v>
      </c>
      <c r="F46" s="10">
        <v>75</v>
      </c>
      <c r="G46" s="10" t="s">
        <v>185</v>
      </c>
      <c r="H46" s="12" t="s">
        <v>60</v>
      </c>
      <c r="I46" s="10" t="s">
        <v>62</v>
      </c>
      <c r="J46" s="10" t="s">
        <v>61</v>
      </c>
      <c r="K46" s="10"/>
    </row>
    <row r="47" spans="2:11" x14ac:dyDescent="0.25">
      <c r="B47" s="3">
        <v>43</v>
      </c>
      <c r="C47" s="32" t="s">
        <v>34</v>
      </c>
      <c r="D47" s="8" t="s">
        <v>78</v>
      </c>
      <c r="E47" s="17">
        <v>21015192</v>
      </c>
      <c r="F47" s="8"/>
      <c r="G47" s="8" t="s">
        <v>186</v>
      </c>
      <c r="H47" s="12" t="s">
        <v>60</v>
      </c>
      <c r="I47" s="8" t="s">
        <v>62</v>
      </c>
      <c r="J47" s="8" t="s">
        <v>61</v>
      </c>
      <c r="K47" s="8"/>
    </row>
    <row r="48" spans="2:11" x14ac:dyDescent="0.25">
      <c r="B48" s="5">
        <v>44</v>
      </c>
      <c r="C48" s="32" t="s">
        <v>35</v>
      </c>
      <c r="D48" s="10" t="s">
        <v>78</v>
      </c>
      <c r="E48" s="24">
        <v>37241037</v>
      </c>
      <c r="F48" s="10">
        <v>70</v>
      </c>
      <c r="G48" s="10" t="s">
        <v>187</v>
      </c>
      <c r="H48" s="12" t="s">
        <v>60</v>
      </c>
      <c r="I48" s="10" t="s">
        <v>62</v>
      </c>
      <c r="J48" s="10" t="s">
        <v>61</v>
      </c>
      <c r="K48" s="10"/>
    </row>
    <row r="49" spans="2:11" x14ac:dyDescent="0.25">
      <c r="B49" s="3">
        <v>45</v>
      </c>
      <c r="C49" s="32" t="s">
        <v>102</v>
      </c>
      <c r="D49" s="8" t="s">
        <v>82</v>
      </c>
      <c r="E49" s="17">
        <v>1195463766</v>
      </c>
      <c r="F49" s="8">
        <v>12</v>
      </c>
      <c r="G49" s="8"/>
      <c r="H49" s="12" t="s">
        <v>60</v>
      </c>
      <c r="I49" s="8" t="s">
        <v>62</v>
      </c>
      <c r="J49" s="8" t="s">
        <v>79</v>
      </c>
      <c r="K49" s="8"/>
    </row>
    <row r="50" spans="2:11" x14ac:dyDescent="0.25">
      <c r="B50" s="5">
        <v>46</v>
      </c>
      <c r="C50" s="32" t="s">
        <v>36</v>
      </c>
      <c r="D50" s="10" t="s">
        <v>78</v>
      </c>
      <c r="E50" s="24">
        <v>21018576</v>
      </c>
      <c r="F50" s="10">
        <v>41</v>
      </c>
      <c r="G50" s="10">
        <v>3142116642</v>
      </c>
      <c r="H50" s="12" t="s">
        <v>60</v>
      </c>
      <c r="I50" s="10" t="s">
        <v>62</v>
      </c>
      <c r="J50" s="10" t="s">
        <v>61</v>
      </c>
      <c r="K50" s="15">
        <v>100000</v>
      </c>
    </row>
    <row r="51" spans="2:11" x14ac:dyDescent="0.25">
      <c r="B51" s="3">
        <v>47</v>
      </c>
      <c r="C51" s="4" t="s">
        <v>37</v>
      </c>
      <c r="D51" s="8" t="s">
        <v>78</v>
      </c>
      <c r="E51" s="17">
        <v>35511678</v>
      </c>
      <c r="F51" s="8">
        <f>2023-1968</f>
        <v>55</v>
      </c>
      <c r="G51" s="8"/>
      <c r="H51" s="9" t="s">
        <v>56</v>
      </c>
      <c r="I51" s="8" t="s">
        <v>59</v>
      </c>
      <c r="J51" s="8" t="s">
        <v>61</v>
      </c>
      <c r="K51" s="8"/>
    </row>
    <row r="52" spans="2:11" x14ac:dyDescent="0.25">
      <c r="B52" s="5">
        <v>48</v>
      </c>
      <c r="C52" s="4" t="s">
        <v>38</v>
      </c>
      <c r="D52" s="10" t="s">
        <v>78</v>
      </c>
      <c r="E52" s="24">
        <v>1073629922</v>
      </c>
      <c r="F52" s="10">
        <f>2023-1995</f>
        <v>28</v>
      </c>
      <c r="G52" s="10"/>
      <c r="H52" s="9" t="s">
        <v>56</v>
      </c>
      <c r="I52" s="10" t="s">
        <v>59</v>
      </c>
      <c r="J52" s="10" t="s">
        <v>100</v>
      </c>
      <c r="K52" s="10"/>
    </row>
    <row r="53" spans="2:11" x14ac:dyDescent="0.25">
      <c r="B53" s="3">
        <v>49</v>
      </c>
      <c r="C53" s="7" t="s">
        <v>39</v>
      </c>
      <c r="D53" s="8" t="s">
        <v>78</v>
      </c>
      <c r="E53" s="17">
        <v>21018743</v>
      </c>
      <c r="F53" s="8" t="s">
        <v>70</v>
      </c>
      <c r="G53" s="8"/>
      <c r="H53" s="12" t="s">
        <v>60</v>
      </c>
      <c r="I53" s="8" t="s">
        <v>57</v>
      </c>
      <c r="J53" s="8" t="s">
        <v>61</v>
      </c>
      <c r="K53" s="8" t="s">
        <v>89</v>
      </c>
    </row>
    <row r="54" spans="2:11" x14ac:dyDescent="0.25">
      <c r="B54" s="5">
        <v>50</v>
      </c>
      <c r="C54" s="7" t="s">
        <v>40</v>
      </c>
      <c r="D54" s="10" t="s">
        <v>82</v>
      </c>
      <c r="E54" s="24">
        <v>1075629884</v>
      </c>
      <c r="F54" s="10" t="s">
        <v>71</v>
      </c>
      <c r="G54" s="10"/>
      <c r="H54" s="12" t="s">
        <v>60</v>
      </c>
      <c r="I54" s="10" t="s">
        <v>57</v>
      </c>
      <c r="J54" s="10" t="s">
        <v>68</v>
      </c>
      <c r="K54" s="10" t="s">
        <v>89</v>
      </c>
    </row>
    <row r="55" spans="2:11" x14ac:dyDescent="0.25">
      <c r="B55" s="3">
        <v>51</v>
      </c>
      <c r="C55" s="7" t="s">
        <v>41</v>
      </c>
      <c r="D55" s="8" t="s">
        <v>78</v>
      </c>
      <c r="E55" s="17">
        <v>21016741</v>
      </c>
      <c r="F55" s="8" t="s">
        <v>72</v>
      </c>
      <c r="G55" s="8"/>
      <c r="H55" s="12" t="s">
        <v>60</v>
      </c>
      <c r="I55" s="8" t="s">
        <v>62</v>
      </c>
      <c r="J55" s="8" t="s">
        <v>73</v>
      </c>
      <c r="K55" s="13">
        <v>50000</v>
      </c>
    </row>
    <row r="56" spans="2:11" x14ac:dyDescent="0.25">
      <c r="B56" s="5">
        <v>52</v>
      </c>
      <c r="C56" s="7" t="s">
        <v>42</v>
      </c>
      <c r="D56" s="10" t="s">
        <v>78</v>
      </c>
      <c r="E56" s="24">
        <v>21017475</v>
      </c>
      <c r="F56" s="10" t="s">
        <v>74</v>
      </c>
      <c r="G56" s="10">
        <v>3222697687</v>
      </c>
      <c r="H56" s="12" t="s">
        <v>60</v>
      </c>
      <c r="I56" s="10" t="s">
        <v>62</v>
      </c>
      <c r="J56" s="10" t="s">
        <v>75</v>
      </c>
      <c r="K56" s="15">
        <v>50000</v>
      </c>
    </row>
    <row r="57" spans="2:11" x14ac:dyDescent="0.25">
      <c r="B57" s="3">
        <v>53</v>
      </c>
      <c r="C57" s="7" t="s">
        <v>43</v>
      </c>
      <c r="D57" s="8" t="s">
        <v>78</v>
      </c>
      <c r="E57" s="17">
        <v>19143337</v>
      </c>
      <c r="F57" s="8">
        <v>73</v>
      </c>
      <c r="G57" s="8" t="s">
        <v>188</v>
      </c>
      <c r="H57" s="12" t="s">
        <v>60</v>
      </c>
      <c r="I57" s="8" t="s">
        <v>57</v>
      </c>
      <c r="J57" s="8" t="s">
        <v>61</v>
      </c>
      <c r="K57" s="13">
        <v>250000</v>
      </c>
    </row>
    <row r="58" spans="2:11" x14ac:dyDescent="0.25">
      <c r="B58" s="5">
        <v>54</v>
      </c>
      <c r="C58" s="7" t="s">
        <v>44</v>
      </c>
      <c r="D58" s="10" t="s">
        <v>78</v>
      </c>
      <c r="E58" s="24">
        <v>41721559</v>
      </c>
      <c r="F58" s="10">
        <v>67</v>
      </c>
      <c r="G58" s="10" t="s">
        <v>73</v>
      </c>
      <c r="H58" s="12" t="s">
        <v>60</v>
      </c>
      <c r="I58" s="10" t="s">
        <v>57</v>
      </c>
      <c r="J58" s="10" t="s">
        <v>61</v>
      </c>
      <c r="K58" s="10" t="s">
        <v>6</v>
      </c>
    </row>
    <row r="59" spans="2:11" x14ac:dyDescent="0.25">
      <c r="B59" s="3">
        <v>55</v>
      </c>
      <c r="C59" s="7" t="s">
        <v>45</v>
      </c>
      <c r="D59" s="8" t="s">
        <v>78</v>
      </c>
      <c r="E59" s="17">
        <v>41745302</v>
      </c>
      <c r="F59" s="8">
        <v>69</v>
      </c>
      <c r="G59" s="8" t="s">
        <v>189</v>
      </c>
      <c r="H59" s="12" t="s">
        <v>60</v>
      </c>
      <c r="I59" s="8" t="s">
        <v>57</v>
      </c>
      <c r="J59" s="8" t="s">
        <v>61</v>
      </c>
      <c r="K59" s="8" t="s">
        <v>6</v>
      </c>
    </row>
    <row r="60" spans="2:11" x14ac:dyDescent="0.25">
      <c r="B60" s="5">
        <v>56</v>
      </c>
      <c r="C60" s="7" t="s">
        <v>46</v>
      </c>
      <c r="D60" s="10" t="s">
        <v>78</v>
      </c>
      <c r="E60" s="24">
        <v>51747869</v>
      </c>
      <c r="F60" s="10">
        <v>59</v>
      </c>
      <c r="G60" s="10" t="s">
        <v>190</v>
      </c>
      <c r="H60" s="12" t="s">
        <v>60</v>
      </c>
      <c r="I60" s="10" t="s">
        <v>57</v>
      </c>
      <c r="J60" s="10" t="s">
        <v>61</v>
      </c>
      <c r="K60" s="10" t="s">
        <v>6</v>
      </c>
    </row>
    <row r="61" spans="2:11" ht="15.75" thickBot="1" x14ac:dyDescent="0.3">
      <c r="B61" s="3">
        <v>57</v>
      </c>
      <c r="C61" s="37" t="s">
        <v>47</v>
      </c>
      <c r="D61" s="21" t="s">
        <v>78</v>
      </c>
      <c r="E61" s="25">
        <v>35504848</v>
      </c>
      <c r="F61" s="21">
        <v>62</v>
      </c>
      <c r="G61" s="21" t="s">
        <v>191</v>
      </c>
      <c r="H61" s="35" t="s">
        <v>60</v>
      </c>
      <c r="I61" s="21" t="s">
        <v>57</v>
      </c>
      <c r="J61" s="21" t="s">
        <v>69</v>
      </c>
      <c r="K61" s="21" t="s">
        <v>6</v>
      </c>
    </row>
    <row r="62" spans="2:11" x14ac:dyDescent="0.25">
      <c r="B62" s="5">
        <v>58</v>
      </c>
      <c r="C62" s="6" t="s">
        <v>48</v>
      </c>
      <c r="D62" s="10" t="s">
        <v>78</v>
      </c>
      <c r="E62" s="19">
        <v>20357650</v>
      </c>
      <c r="F62" s="10">
        <f>2023-1962</f>
        <v>61</v>
      </c>
      <c r="G62" s="10"/>
      <c r="H62" s="11" t="s">
        <v>58</v>
      </c>
      <c r="I62" s="10" t="s">
        <v>57</v>
      </c>
      <c r="J62" s="10" t="s">
        <v>61</v>
      </c>
      <c r="K62" s="15">
        <v>150000</v>
      </c>
    </row>
    <row r="63" spans="2:11" x14ac:dyDescent="0.25">
      <c r="B63" s="3">
        <v>59</v>
      </c>
      <c r="C63" s="6" t="s">
        <v>49</v>
      </c>
      <c r="D63" s="8" t="s">
        <v>78</v>
      </c>
      <c r="E63" s="17">
        <v>178772</v>
      </c>
      <c r="F63" s="8">
        <f>2024-1956</f>
        <v>68</v>
      </c>
      <c r="G63" s="8"/>
      <c r="H63" s="11" t="s">
        <v>58</v>
      </c>
      <c r="I63" s="8" t="s">
        <v>57</v>
      </c>
      <c r="J63" s="8" t="s">
        <v>100</v>
      </c>
      <c r="K63" s="8" t="s">
        <v>6</v>
      </c>
    </row>
    <row r="64" spans="2:11" ht="15.75" thickBot="1" x14ac:dyDescent="0.3">
      <c r="B64" s="5">
        <v>60</v>
      </c>
      <c r="C64" s="20" t="s">
        <v>50</v>
      </c>
      <c r="D64" s="29" t="s">
        <v>78</v>
      </c>
      <c r="E64" s="30">
        <v>1072960803</v>
      </c>
      <c r="F64" s="29">
        <f>2024-1989</f>
        <v>35</v>
      </c>
      <c r="G64" s="29">
        <v>3118842333</v>
      </c>
      <c r="H64" s="23" t="s">
        <v>58</v>
      </c>
      <c r="I64" s="29" t="s">
        <v>57</v>
      </c>
      <c r="J64" s="29" t="s">
        <v>79</v>
      </c>
      <c r="K64" s="29" t="s">
        <v>6</v>
      </c>
    </row>
    <row r="65" spans="2:11" x14ac:dyDescent="0.25">
      <c r="B65" s="3">
        <v>61</v>
      </c>
      <c r="C65" s="4" t="s">
        <v>103</v>
      </c>
      <c r="D65" s="8" t="s">
        <v>78</v>
      </c>
      <c r="E65" s="17">
        <v>1010219257</v>
      </c>
      <c r="F65" s="8">
        <v>29</v>
      </c>
      <c r="G65" s="8"/>
      <c r="H65" s="8" t="s">
        <v>56</v>
      </c>
      <c r="I65" s="8" t="s">
        <v>57</v>
      </c>
      <c r="J65" s="8" t="s">
        <v>61</v>
      </c>
      <c r="K65" s="8" t="s">
        <v>89</v>
      </c>
    </row>
    <row r="66" spans="2:11" x14ac:dyDescent="0.25">
      <c r="B66" s="5">
        <v>62</v>
      </c>
      <c r="C66" s="38" t="s">
        <v>104</v>
      </c>
      <c r="D66" s="10" t="s">
        <v>78</v>
      </c>
      <c r="E66" s="24">
        <v>20871590</v>
      </c>
      <c r="F66" s="10">
        <f>2023-1969</f>
        <v>54</v>
      </c>
      <c r="G66" s="10"/>
      <c r="H66" s="9" t="s">
        <v>56</v>
      </c>
      <c r="I66" s="10" t="s">
        <v>105</v>
      </c>
      <c r="J66" s="10" t="s">
        <v>61</v>
      </c>
      <c r="K66" s="10" t="s">
        <v>89</v>
      </c>
    </row>
    <row r="67" spans="2:11" x14ac:dyDescent="0.25">
      <c r="B67" s="3">
        <v>63</v>
      </c>
      <c r="C67" s="4" t="s">
        <v>106</v>
      </c>
      <c r="D67" s="8" t="s">
        <v>78</v>
      </c>
      <c r="E67" s="13">
        <v>65739648</v>
      </c>
      <c r="F67" s="8">
        <f>2023-1967</f>
        <v>56</v>
      </c>
      <c r="G67" s="8"/>
      <c r="H67" s="9" t="s">
        <v>56</v>
      </c>
      <c r="I67" s="8" t="s">
        <v>105</v>
      </c>
      <c r="J67" s="8"/>
      <c r="K67" s="8"/>
    </row>
    <row r="68" spans="2:11" x14ac:dyDescent="0.25">
      <c r="B68" s="5">
        <v>64</v>
      </c>
      <c r="C68" s="4" t="s">
        <v>192</v>
      </c>
      <c r="D68" s="10" t="s">
        <v>78</v>
      </c>
      <c r="E68" s="15"/>
      <c r="F68" s="10"/>
      <c r="G68" s="10"/>
      <c r="H68" s="9" t="s">
        <v>56</v>
      </c>
      <c r="I68" s="10" t="s">
        <v>105</v>
      </c>
      <c r="J68" s="10"/>
      <c r="K68" s="10"/>
    </row>
    <row r="69" spans="2:11" x14ac:dyDescent="0.25">
      <c r="B69" s="3">
        <v>65</v>
      </c>
      <c r="C69" s="4" t="s">
        <v>193</v>
      </c>
      <c r="D69" s="8" t="s">
        <v>78</v>
      </c>
      <c r="E69" s="13">
        <v>20869989</v>
      </c>
      <c r="F69" s="8">
        <f>2024-1938</f>
        <v>86</v>
      </c>
      <c r="G69" s="8"/>
      <c r="H69" s="9" t="s">
        <v>56</v>
      </c>
      <c r="I69" s="8" t="s">
        <v>105</v>
      </c>
      <c r="J69" s="8" t="s">
        <v>61</v>
      </c>
      <c r="K69" s="13">
        <v>110000</v>
      </c>
    </row>
    <row r="70" spans="2:11" x14ac:dyDescent="0.25">
      <c r="B70" s="5">
        <v>66</v>
      </c>
      <c r="C70" s="4" t="s">
        <v>107</v>
      </c>
      <c r="D70" s="10" t="s">
        <v>78</v>
      </c>
      <c r="E70" s="39">
        <v>39561291</v>
      </c>
      <c r="F70" s="10">
        <f>2024-1966</f>
        <v>58</v>
      </c>
      <c r="G70" s="10"/>
      <c r="H70" s="9" t="s">
        <v>56</v>
      </c>
      <c r="I70" s="10" t="s">
        <v>105</v>
      </c>
      <c r="J70" s="10" t="s">
        <v>61</v>
      </c>
      <c r="K70" s="15">
        <v>100000</v>
      </c>
    </row>
    <row r="71" spans="2:11" x14ac:dyDescent="0.25">
      <c r="B71" s="3">
        <v>67</v>
      </c>
      <c r="C71" s="4" t="s">
        <v>108</v>
      </c>
      <c r="D71" s="8" t="s">
        <v>78</v>
      </c>
      <c r="E71" s="13">
        <v>41331947</v>
      </c>
      <c r="F71" s="8">
        <f>2023-1943</f>
        <v>80</v>
      </c>
      <c r="G71" s="8"/>
      <c r="H71" s="9" t="s">
        <v>56</v>
      </c>
      <c r="I71" s="8" t="s">
        <v>105</v>
      </c>
      <c r="J71" s="8" t="s">
        <v>61</v>
      </c>
      <c r="K71" s="13">
        <v>100000</v>
      </c>
    </row>
    <row r="72" spans="2:11" x14ac:dyDescent="0.25">
      <c r="B72" s="5">
        <v>68</v>
      </c>
      <c r="C72" s="4" t="s">
        <v>109</v>
      </c>
      <c r="D72" s="10" t="s">
        <v>78</v>
      </c>
      <c r="E72" s="15">
        <v>27971839</v>
      </c>
      <c r="F72" s="10">
        <f>2024-1942</f>
        <v>82</v>
      </c>
      <c r="G72" s="10"/>
      <c r="H72" s="9" t="s">
        <v>56</v>
      </c>
      <c r="I72" s="10" t="s">
        <v>105</v>
      </c>
      <c r="J72" s="10" t="s">
        <v>61</v>
      </c>
      <c r="K72" s="15">
        <v>50000</v>
      </c>
    </row>
    <row r="73" spans="2:11" x14ac:dyDescent="0.25">
      <c r="B73" s="3">
        <v>69</v>
      </c>
      <c r="C73" s="4" t="s">
        <v>110</v>
      </c>
      <c r="D73" s="8" t="s">
        <v>78</v>
      </c>
      <c r="E73" s="13">
        <v>20278409</v>
      </c>
      <c r="F73" s="8">
        <f>2023-1936</f>
        <v>87</v>
      </c>
      <c r="G73" s="8"/>
      <c r="H73" s="9" t="s">
        <v>56</v>
      </c>
      <c r="I73" s="8" t="s">
        <v>105</v>
      </c>
      <c r="J73" s="8" t="s">
        <v>61</v>
      </c>
      <c r="K73" s="13" t="s">
        <v>89</v>
      </c>
    </row>
    <row r="74" spans="2:11" x14ac:dyDescent="0.25">
      <c r="B74" s="5">
        <v>70</v>
      </c>
      <c r="C74" s="4" t="s">
        <v>111</v>
      </c>
      <c r="D74" s="10" t="s">
        <v>78</v>
      </c>
      <c r="E74" s="15">
        <v>20871360</v>
      </c>
      <c r="F74" s="10">
        <f>2024-1964</f>
        <v>60</v>
      </c>
      <c r="G74" s="10"/>
      <c r="H74" s="9" t="s">
        <v>56</v>
      </c>
      <c r="I74" s="10" t="s">
        <v>105</v>
      </c>
      <c r="J74" s="10" t="s">
        <v>61</v>
      </c>
      <c r="K74" s="15" t="s">
        <v>89</v>
      </c>
    </row>
    <row r="75" spans="2:11" x14ac:dyDescent="0.25">
      <c r="B75" s="3">
        <v>71</v>
      </c>
      <c r="C75" s="4" t="s">
        <v>112</v>
      </c>
      <c r="D75" s="8" t="s">
        <v>78</v>
      </c>
      <c r="E75" s="40">
        <v>41432259</v>
      </c>
      <c r="F75" s="8">
        <f>2024-1949</f>
        <v>75</v>
      </c>
      <c r="G75" s="8"/>
      <c r="H75" s="9" t="s">
        <v>56</v>
      </c>
      <c r="I75" s="8" t="s">
        <v>105</v>
      </c>
      <c r="J75" s="8" t="s">
        <v>61</v>
      </c>
      <c r="K75" s="13" t="s">
        <v>89</v>
      </c>
    </row>
    <row r="76" spans="2:11" x14ac:dyDescent="0.25">
      <c r="B76" s="5">
        <v>72</v>
      </c>
      <c r="C76" s="38" t="s">
        <v>113</v>
      </c>
      <c r="D76" s="10" t="s">
        <v>78</v>
      </c>
      <c r="E76" s="15">
        <v>10248545</v>
      </c>
      <c r="F76" s="10">
        <f>2023-1958</f>
        <v>65</v>
      </c>
      <c r="G76" s="10"/>
      <c r="H76" s="9" t="s">
        <v>56</v>
      </c>
      <c r="I76" s="10" t="s">
        <v>105</v>
      </c>
      <c r="J76" s="10" t="s">
        <v>61</v>
      </c>
      <c r="K76" s="15" t="s">
        <v>89</v>
      </c>
    </row>
    <row r="77" spans="2:11" x14ac:dyDescent="0.25">
      <c r="B77" s="3">
        <v>73</v>
      </c>
      <c r="C77" s="4" t="s">
        <v>114</v>
      </c>
      <c r="D77" s="8" t="s">
        <v>78</v>
      </c>
      <c r="E77" s="13">
        <v>20614682</v>
      </c>
      <c r="F77" s="8">
        <f>2024-1945</f>
        <v>79</v>
      </c>
      <c r="G77" s="8"/>
      <c r="H77" s="9" t="s">
        <v>56</v>
      </c>
      <c r="I77" s="8" t="s">
        <v>105</v>
      </c>
      <c r="J77" s="8" t="s">
        <v>61</v>
      </c>
      <c r="K77" s="13" t="s">
        <v>89</v>
      </c>
    </row>
    <row r="78" spans="2:11" x14ac:dyDescent="0.25">
      <c r="B78" s="5">
        <v>74</v>
      </c>
      <c r="C78" s="4" t="s">
        <v>115</v>
      </c>
      <c r="D78" s="10" t="s">
        <v>78</v>
      </c>
      <c r="E78" s="15">
        <v>20871799</v>
      </c>
      <c r="F78" s="10">
        <f>2023-1962</f>
        <v>61</v>
      </c>
      <c r="G78" s="10"/>
      <c r="H78" s="9" t="s">
        <v>56</v>
      </c>
      <c r="I78" s="10" t="s">
        <v>105</v>
      </c>
      <c r="J78" s="10" t="s">
        <v>61</v>
      </c>
      <c r="K78" s="15">
        <v>129500</v>
      </c>
    </row>
    <row r="79" spans="2:11" x14ac:dyDescent="0.25">
      <c r="B79" s="3">
        <v>75</v>
      </c>
      <c r="C79" s="4" t="s">
        <v>116</v>
      </c>
      <c r="D79" s="8" t="s">
        <v>78</v>
      </c>
      <c r="E79" s="13">
        <v>1030645467</v>
      </c>
      <c r="F79" s="8">
        <f>2023-1994</f>
        <v>29</v>
      </c>
      <c r="G79" s="8"/>
      <c r="H79" s="9" t="s">
        <v>56</v>
      </c>
      <c r="I79" s="8" t="s">
        <v>105</v>
      </c>
      <c r="J79" s="8" t="s">
        <v>68</v>
      </c>
      <c r="K79" s="13">
        <v>50000</v>
      </c>
    </row>
    <row r="80" spans="2:11" x14ac:dyDescent="0.25">
      <c r="B80" s="5">
        <v>76</v>
      </c>
      <c r="C80" s="4" t="s">
        <v>117</v>
      </c>
      <c r="D80" s="10" t="s">
        <v>82</v>
      </c>
      <c r="E80" s="15">
        <v>1188215947</v>
      </c>
      <c r="F80" s="10">
        <f>2023-2011</f>
        <v>12</v>
      </c>
      <c r="G80" s="10"/>
      <c r="H80" s="9" t="s">
        <v>56</v>
      </c>
      <c r="I80" s="10" t="s">
        <v>105</v>
      </c>
      <c r="J80" s="10" t="s">
        <v>79</v>
      </c>
      <c r="K80" s="15">
        <v>50000</v>
      </c>
    </row>
    <row r="81" spans="2:11" x14ac:dyDescent="0.25">
      <c r="B81" s="3">
        <v>77</v>
      </c>
      <c r="C81" s="4" t="s">
        <v>118</v>
      </c>
      <c r="D81" s="8" t="s">
        <v>78</v>
      </c>
      <c r="E81" s="40">
        <v>1030554290</v>
      </c>
      <c r="F81" s="8">
        <f>2024-1989</f>
        <v>35</v>
      </c>
      <c r="G81" s="8"/>
      <c r="H81" s="9" t="s">
        <v>56</v>
      </c>
      <c r="I81" s="8" t="s">
        <v>105</v>
      </c>
      <c r="J81" s="8" t="s">
        <v>61</v>
      </c>
      <c r="K81" s="13">
        <v>50000</v>
      </c>
    </row>
    <row r="82" spans="2:11" x14ac:dyDescent="0.25">
      <c r="B82" s="5">
        <v>78</v>
      </c>
      <c r="C82" s="4" t="s">
        <v>119</v>
      </c>
      <c r="D82" s="10" t="s">
        <v>82</v>
      </c>
      <c r="E82" s="39">
        <v>1023410143</v>
      </c>
      <c r="F82" s="10">
        <f>2023-2016</f>
        <v>7</v>
      </c>
      <c r="G82" s="10"/>
      <c r="H82" s="9" t="s">
        <v>56</v>
      </c>
      <c r="I82" s="10" t="s">
        <v>105</v>
      </c>
      <c r="J82" s="10" t="s">
        <v>79</v>
      </c>
      <c r="K82" s="15">
        <v>50000</v>
      </c>
    </row>
    <row r="83" spans="2:11" x14ac:dyDescent="0.25">
      <c r="B83" s="3">
        <v>79</v>
      </c>
      <c r="C83" s="4" t="s">
        <v>120</v>
      </c>
      <c r="D83" s="8" t="s">
        <v>78</v>
      </c>
      <c r="E83" s="13">
        <v>6333891</v>
      </c>
      <c r="F83" s="8">
        <f>2023-1985</f>
        <v>38</v>
      </c>
      <c r="G83" s="8"/>
      <c r="H83" s="9" t="s">
        <v>56</v>
      </c>
      <c r="I83" s="8" t="s">
        <v>105</v>
      </c>
      <c r="J83" s="8" t="s">
        <v>68</v>
      </c>
      <c r="K83" s="13">
        <v>50000</v>
      </c>
    </row>
    <row r="84" spans="2:11" x14ac:dyDescent="0.25">
      <c r="B84" s="5">
        <v>80</v>
      </c>
      <c r="C84" s="38" t="s">
        <v>121</v>
      </c>
      <c r="D84" s="10" t="s">
        <v>78</v>
      </c>
      <c r="E84" s="15">
        <v>20872348</v>
      </c>
      <c r="F84" s="10">
        <f>2024-1985</f>
        <v>39</v>
      </c>
      <c r="G84" s="10"/>
      <c r="H84" s="9" t="s">
        <v>56</v>
      </c>
      <c r="I84" s="10" t="s">
        <v>105</v>
      </c>
      <c r="J84" s="10" t="s">
        <v>68</v>
      </c>
      <c r="K84" s="15">
        <v>50000</v>
      </c>
    </row>
    <row r="85" spans="2:11" x14ac:dyDescent="0.25">
      <c r="B85" s="3">
        <v>81</v>
      </c>
      <c r="C85" s="38" t="s">
        <v>122</v>
      </c>
      <c r="D85" s="8" t="s">
        <v>82</v>
      </c>
      <c r="E85" s="13">
        <v>1030593363</v>
      </c>
      <c r="F85" s="8">
        <f>2023-2009</f>
        <v>14</v>
      </c>
      <c r="G85" s="8"/>
      <c r="H85" s="9" t="s">
        <v>56</v>
      </c>
      <c r="I85" s="8" t="s">
        <v>105</v>
      </c>
      <c r="J85" s="8" t="s">
        <v>68</v>
      </c>
      <c r="K85" s="13" t="s">
        <v>89</v>
      </c>
    </row>
    <row r="86" spans="2:11" x14ac:dyDescent="0.25">
      <c r="B86" s="5">
        <v>82</v>
      </c>
      <c r="C86" s="4" t="s">
        <v>123</v>
      </c>
      <c r="D86" s="10" t="s">
        <v>78</v>
      </c>
      <c r="E86" s="15">
        <v>20871480</v>
      </c>
      <c r="F86" s="10">
        <f>2024-1968</f>
        <v>56</v>
      </c>
      <c r="G86" s="10"/>
      <c r="H86" s="9" t="s">
        <v>56</v>
      </c>
      <c r="I86" s="10" t="s">
        <v>105</v>
      </c>
      <c r="J86" s="10" t="s">
        <v>194</v>
      </c>
      <c r="K86" s="15" t="s">
        <v>89</v>
      </c>
    </row>
    <row r="87" spans="2:11" x14ac:dyDescent="0.25">
      <c r="B87" s="3">
        <v>83</v>
      </c>
      <c r="C87" s="4" t="s">
        <v>124</v>
      </c>
      <c r="D87" s="8" t="s">
        <v>78</v>
      </c>
      <c r="E87" s="13">
        <v>28626506</v>
      </c>
      <c r="F87" s="8">
        <f>2024-1940</f>
        <v>84</v>
      </c>
      <c r="G87" s="8"/>
      <c r="H87" s="9" t="s">
        <v>56</v>
      </c>
      <c r="I87" s="8" t="s">
        <v>105</v>
      </c>
      <c r="J87" s="8" t="s">
        <v>61</v>
      </c>
      <c r="K87" s="13">
        <v>100000</v>
      </c>
    </row>
    <row r="88" spans="2:11" x14ac:dyDescent="0.25">
      <c r="B88" s="5">
        <v>84</v>
      </c>
      <c r="C88" s="4" t="s">
        <v>125</v>
      </c>
      <c r="D88" s="10" t="s">
        <v>82</v>
      </c>
      <c r="E88" s="15">
        <v>1073629444</v>
      </c>
      <c r="F88" s="10">
        <f>2024-2011</f>
        <v>13</v>
      </c>
      <c r="G88" s="10"/>
      <c r="H88" s="9" t="s">
        <v>56</v>
      </c>
      <c r="I88" s="10" t="s">
        <v>105</v>
      </c>
      <c r="J88" s="10" t="s">
        <v>79</v>
      </c>
      <c r="K88" s="15">
        <v>100000</v>
      </c>
    </row>
    <row r="89" spans="2:11" x14ac:dyDescent="0.25">
      <c r="B89" s="3">
        <v>85</v>
      </c>
      <c r="C89" s="4" t="s">
        <v>126</v>
      </c>
      <c r="D89" s="8" t="s">
        <v>78</v>
      </c>
      <c r="E89" s="13">
        <v>11451728</v>
      </c>
      <c r="F89" s="8">
        <f>2023-1981</f>
        <v>42</v>
      </c>
      <c r="G89" s="8"/>
      <c r="H89" s="9" t="s">
        <v>56</v>
      </c>
      <c r="I89" s="8" t="s">
        <v>105</v>
      </c>
      <c r="J89" s="8" t="s">
        <v>69</v>
      </c>
      <c r="K89" s="13">
        <v>100000</v>
      </c>
    </row>
    <row r="90" spans="2:11" x14ac:dyDescent="0.25">
      <c r="B90" s="5">
        <v>86</v>
      </c>
      <c r="C90" s="4" t="s">
        <v>127</v>
      </c>
      <c r="D90" s="10" t="s">
        <v>78</v>
      </c>
      <c r="E90" s="15">
        <v>20872366</v>
      </c>
      <c r="F90" s="10">
        <f>2023-1985</f>
        <v>38</v>
      </c>
      <c r="G90" s="10"/>
      <c r="H90" s="9" t="s">
        <v>56</v>
      </c>
      <c r="I90" s="10" t="s">
        <v>105</v>
      </c>
      <c r="J90" s="10" t="s">
        <v>100</v>
      </c>
      <c r="K90" s="15">
        <v>100000</v>
      </c>
    </row>
    <row r="91" spans="2:11" x14ac:dyDescent="0.25">
      <c r="B91" s="3">
        <v>87</v>
      </c>
      <c r="C91" s="4" t="s">
        <v>128</v>
      </c>
      <c r="D91" s="8" t="s">
        <v>78</v>
      </c>
      <c r="E91" s="13">
        <v>51651341</v>
      </c>
      <c r="F91" s="8">
        <f>2024-1961</f>
        <v>63</v>
      </c>
      <c r="G91" s="8"/>
      <c r="H91" s="9" t="s">
        <v>56</v>
      </c>
      <c r="I91" s="8" t="s">
        <v>105</v>
      </c>
      <c r="J91" s="8" t="s">
        <v>61</v>
      </c>
      <c r="K91" s="8"/>
    </row>
    <row r="92" spans="2:11" x14ac:dyDescent="0.25">
      <c r="B92" s="5">
        <v>88</v>
      </c>
      <c r="C92" s="4" t="s">
        <v>129</v>
      </c>
      <c r="D92" s="10" t="s">
        <v>78</v>
      </c>
      <c r="E92" s="39">
        <v>51954742</v>
      </c>
      <c r="F92" s="10">
        <f>2023-1969</f>
        <v>54</v>
      </c>
      <c r="G92" s="10"/>
      <c r="H92" s="9" t="s">
        <v>56</v>
      </c>
      <c r="I92" s="10" t="s">
        <v>105</v>
      </c>
      <c r="J92" s="10" t="s">
        <v>61</v>
      </c>
      <c r="K92" s="15" t="s">
        <v>89</v>
      </c>
    </row>
    <row r="93" spans="2:11" x14ac:dyDescent="0.25">
      <c r="B93" s="3">
        <v>89</v>
      </c>
      <c r="C93" s="38" t="s">
        <v>130</v>
      </c>
      <c r="D93" s="8" t="s">
        <v>78</v>
      </c>
      <c r="E93" s="13">
        <v>39558486</v>
      </c>
      <c r="F93" s="8">
        <f>2024-1965</f>
        <v>59</v>
      </c>
      <c r="G93" s="8"/>
      <c r="H93" s="9" t="s">
        <v>56</v>
      </c>
      <c r="I93" s="8" t="s">
        <v>105</v>
      </c>
      <c r="J93" s="8" t="s">
        <v>61</v>
      </c>
      <c r="K93" s="13">
        <v>100000</v>
      </c>
    </row>
    <row r="94" spans="2:11" x14ac:dyDescent="0.25">
      <c r="B94" s="5">
        <v>90</v>
      </c>
      <c r="C94" s="4" t="s">
        <v>131</v>
      </c>
      <c r="D94" s="10" t="s">
        <v>78</v>
      </c>
      <c r="E94" s="15">
        <v>41727190</v>
      </c>
      <c r="F94" s="10">
        <f>2024-1958</f>
        <v>66</v>
      </c>
      <c r="G94" s="10"/>
      <c r="H94" s="9" t="s">
        <v>56</v>
      </c>
      <c r="I94" s="10" t="s">
        <v>105</v>
      </c>
      <c r="J94" s="10" t="s">
        <v>61</v>
      </c>
      <c r="K94" s="15" t="s">
        <v>89</v>
      </c>
    </row>
    <row r="95" spans="2:11" x14ac:dyDescent="0.25">
      <c r="B95" s="3">
        <v>91</v>
      </c>
      <c r="C95" s="4" t="s">
        <v>195</v>
      </c>
      <c r="D95" s="8" t="s">
        <v>78</v>
      </c>
      <c r="E95" s="13">
        <v>20617525</v>
      </c>
      <c r="F95" s="8">
        <f>2023-1951</f>
        <v>72</v>
      </c>
      <c r="G95" s="8"/>
      <c r="H95" s="9" t="s">
        <v>56</v>
      </c>
      <c r="I95" s="8" t="s">
        <v>105</v>
      </c>
      <c r="J95" s="8" t="s">
        <v>61</v>
      </c>
      <c r="K95" s="8" t="s">
        <v>89</v>
      </c>
    </row>
    <row r="96" spans="2:11" x14ac:dyDescent="0.25">
      <c r="B96" s="5">
        <v>92</v>
      </c>
      <c r="C96" s="38" t="s">
        <v>132</v>
      </c>
      <c r="D96" s="10" t="s">
        <v>78</v>
      </c>
      <c r="E96" s="15">
        <v>43043664</v>
      </c>
      <c r="F96" s="10">
        <f>2024-1963</f>
        <v>61</v>
      </c>
      <c r="G96" s="10"/>
      <c r="H96" s="9" t="s">
        <v>56</v>
      </c>
      <c r="I96" s="10" t="s">
        <v>105</v>
      </c>
      <c r="J96" s="10" t="s">
        <v>100</v>
      </c>
      <c r="K96" s="15">
        <v>100000</v>
      </c>
    </row>
    <row r="97" spans="2:11" x14ac:dyDescent="0.25">
      <c r="B97" s="3">
        <v>93</v>
      </c>
      <c r="C97" s="4" t="s">
        <v>133</v>
      </c>
      <c r="D97" s="8" t="s">
        <v>78</v>
      </c>
      <c r="E97" s="13">
        <v>41600310</v>
      </c>
      <c r="F97" s="8">
        <v>72</v>
      </c>
      <c r="G97" s="8"/>
      <c r="H97" s="9" t="s">
        <v>56</v>
      </c>
      <c r="I97" s="8" t="s">
        <v>105</v>
      </c>
      <c r="J97" s="8"/>
      <c r="K97" s="8"/>
    </row>
    <row r="98" spans="2:11" x14ac:dyDescent="0.25">
      <c r="B98" s="5">
        <v>94</v>
      </c>
      <c r="C98" s="4" t="s">
        <v>134</v>
      </c>
      <c r="D98" s="10" t="s">
        <v>78</v>
      </c>
      <c r="E98" s="15">
        <v>14248202</v>
      </c>
      <c r="F98" s="10">
        <v>78</v>
      </c>
      <c r="G98" s="10"/>
      <c r="H98" s="9" t="s">
        <v>56</v>
      </c>
      <c r="I98" s="10" t="s">
        <v>105</v>
      </c>
      <c r="J98" s="10"/>
      <c r="K98" s="10"/>
    </row>
    <row r="99" spans="2:11" x14ac:dyDescent="0.25">
      <c r="B99" s="3">
        <v>95</v>
      </c>
      <c r="C99" s="4" t="s">
        <v>135</v>
      </c>
      <c r="D99" s="8" t="s">
        <v>78</v>
      </c>
      <c r="E99" s="13">
        <v>39562090</v>
      </c>
      <c r="F99" s="8"/>
      <c r="G99" s="8"/>
      <c r="H99" s="9" t="s">
        <v>56</v>
      </c>
      <c r="I99" s="8" t="s">
        <v>105</v>
      </c>
      <c r="J99" s="8" t="s">
        <v>61</v>
      </c>
      <c r="K99" s="8"/>
    </row>
    <row r="100" spans="2:11" x14ac:dyDescent="0.25">
      <c r="B100" s="5">
        <v>96</v>
      </c>
      <c r="C100" s="4" t="s">
        <v>136</v>
      </c>
      <c r="D100" s="10" t="s">
        <v>78</v>
      </c>
      <c r="E100" s="15">
        <v>20630205</v>
      </c>
      <c r="F100" s="10">
        <f>2023-1938</f>
        <v>85</v>
      </c>
      <c r="G100" s="10"/>
      <c r="H100" s="9" t="s">
        <v>56</v>
      </c>
      <c r="I100" s="10" t="s">
        <v>105</v>
      </c>
      <c r="J100" s="10"/>
      <c r="K100" s="10"/>
    </row>
    <row r="101" spans="2:11" x14ac:dyDescent="0.25">
      <c r="B101" s="3">
        <v>97</v>
      </c>
      <c r="C101" s="4" t="s">
        <v>137</v>
      </c>
      <c r="D101" s="8" t="s">
        <v>78</v>
      </c>
      <c r="E101" s="13">
        <v>21017230</v>
      </c>
      <c r="F101" s="8"/>
      <c r="G101" s="8"/>
      <c r="H101" s="9" t="s">
        <v>56</v>
      </c>
      <c r="I101" s="8" t="s">
        <v>105</v>
      </c>
      <c r="J101" s="8" t="s">
        <v>68</v>
      </c>
      <c r="K101" s="8"/>
    </row>
    <row r="102" spans="2:11" x14ac:dyDescent="0.25">
      <c r="B102" s="5">
        <v>98</v>
      </c>
      <c r="C102" s="4" t="s">
        <v>138</v>
      </c>
      <c r="D102" s="10" t="s">
        <v>78</v>
      </c>
      <c r="E102" s="15">
        <v>1193518169</v>
      </c>
      <c r="F102" s="10">
        <f>2023-2001</f>
        <v>22</v>
      </c>
      <c r="G102" s="10"/>
      <c r="H102" s="9" t="s">
        <v>56</v>
      </c>
      <c r="I102" s="10" t="s">
        <v>105</v>
      </c>
      <c r="J102" s="10" t="s">
        <v>68</v>
      </c>
      <c r="K102" s="10"/>
    </row>
    <row r="103" spans="2:11" x14ac:dyDescent="0.25">
      <c r="B103" s="3">
        <v>99</v>
      </c>
      <c r="C103" s="4" t="s">
        <v>139</v>
      </c>
      <c r="D103" s="8" t="s">
        <v>78</v>
      </c>
      <c r="E103" s="13">
        <v>39424382</v>
      </c>
      <c r="F103" s="8">
        <f>2023-1982</f>
        <v>41</v>
      </c>
      <c r="G103" s="8"/>
      <c r="H103" s="9" t="s">
        <v>56</v>
      </c>
      <c r="I103" s="8" t="s">
        <v>105</v>
      </c>
      <c r="J103" s="8" t="s">
        <v>61</v>
      </c>
      <c r="K103" s="8" t="s">
        <v>89</v>
      </c>
    </row>
    <row r="104" spans="2:11" x14ac:dyDescent="0.25">
      <c r="B104" s="5">
        <v>100</v>
      </c>
      <c r="C104" s="4" t="s">
        <v>196</v>
      </c>
      <c r="D104" s="10" t="s">
        <v>78</v>
      </c>
      <c r="E104" s="15"/>
      <c r="F104" s="10"/>
      <c r="G104" s="10"/>
      <c r="H104" s="9" t="s">
        <v>56</v>
      </c>
      <c r="I104" s="10" t="s">
        <v>105</v>
      </c>
      <c r="J104" s="10"/>
      <c r="K104" s="10"/>
    </row>
    <row r="105" spans="2:11" x14ac:dyDescent="0.25">
      <c r="B105" s="3">
        <v>101</v>
      </c>
      <c r="C105" s="4" t="s">
        <v>197</v>
      </c>
      <c r="D105" s="8" t="s">
        <v>82</v>
      </c>
      <c r="E105" s="13"/>
      <c r="F105" s="8"/>
      <c r="G105" s="8"/>
      <c r="H105" s="9" t="s">
        <v>56</v>
      </c>
      <c r="I105" s="8" t="s">
        <v>105</v>
      </c>
      <c r="J105" s="8"/>
      <c r="K105" s="8"/>
    </row>
    <row r="106" spans="2:11" x14ac:dyDescent="0.25">
      <c r="B106" s="5">
        <v>102</v>
      </c>
      <c r="C106" s="4" t="s">
        <v>198</v>
      </c>
      <c r="D106" s="10" t="s">
        <v>82</v>
      </c>
      <c r="E106" s="15"/>
      <c r="F106" s="10"/>
      <c r="G106" s="10"/>
      <c r="H106" s="9" t="s">
        <v>56</v>
      </c>
      <c r="I106" s="10" t="s">
        <v>105</v>
      </c>
      <c r="J106" s="10"/>
      <c r="K106" s="10"/>
    </row>
    <row r="107" spans="2:11" x14ac:dyDescent="0.25">
      <c r="B107" s="3">
        <v>103</v>
      </c>
      <c r="C107" s="4" t="s">
        <v>199</v>
      </c>
      <c r="D107" s="8" t="s">
        <v>82</v>
      </c>
      <c r="E107" s="13"/>
      <c r="F107" s="8"/>
      <c r="G107" s="8"/>
      <c r="H107" s="9" t="s">
        <v>56</v>
      </c>
      <c r="I107" s="8" t="s">
        <v>105</v>
      </c>
      <c r="J107" s="8"/>
      <c r="K107" s="8"/>
    </row>
    <row r="108" spans="2:11" x14ac:dyDescent="0.25">
      <c r="B108" s="5">
        <v>104</v>
      </c>
      <c r="C108" s="4" t="s">
        <v>140</v>
      </c>
      <c r="D108" s="10" t="s">
        <v>78</v>
      </c>
      <c r="E108" s="15">
        <v>39420287</v>
      </c>
      <c r="F108" s="10">
        <f>2023-1979</f>
        <v>44</v>
      </c>
      <c r="G108" s="10"/>
      <c r="H108" s="9" t="s">
        <v>56</v>
      </c>
      <c r="I108" s="10" t="s">
        <v>105</v>
      </c>
      <c r="J108" s="10" t="s">
        <v>61</v>
      </c>
      <c r="K108" s="10" t="s">
        <v>89</v>
      </c>
    </row>
    <row r="109" spans="2:11" x14ac:dyDescent="0.25">
      <c r="B109" s="3">
        <v>105</v>
      </c>
      <c r="C109" s="4" t="s">
        <v>141</v>
      </c>
      <c r="D109" s="8" t="s">
        <v>82</v>
      </c>
      <c r="E109" s="13">
        <v>1028014237</v>
      </c>
      <c r="F109" s="8">
        <f>2023-2011</f>
        <v>12</v>
      </c>
      <c r="G109" s="8"/>
      <c r="H109" s="9" t="s">
        <v>56</v>
      </c>
      <c r="I109" s="8" t="s">
        <v>105</v>
      </c>
      <c r="J109" s="8" t="s">
        <v>79</v>
      </c>
      <c r="K109" s="8" t="s">
        <v>89</v>
      </c>
    </row>
    <row r="110" spans="2:11" ht="30" x14ac:dyDescent="0.25">
      <c r="B110" s="5">
        <v>106</v>
      </c>
      <c r="C110" s="38" t="s">
        <v>142</v>
      </c>
      <c r="D110" s="10" t="s">
        <v>78</v>
      </c>
      <c r="E110" s="39">
        <v>39656450</v>
      </c>
      <c r="F110" s="10">
        <f>2024-1971</f>
        <v>53</v>
      </c>
      <c r="G110" s="10"/>
      <c r="H110" s="9" t="s">
        <v>56</v>
      </c>
      <c r="I110" s="10" t="s">
        <v>105</v>
      </c>
      <c r="J110" s="10" t="s">
        <v>61</v>
      </c>
      <c r="K110" s="10" t="s">
        <v>89</v>
      </c>
    </row>
    <row r="111" spans="2:11" ht="30" x14ac:dyDescent="0.25">
      <c r="B111" s="3">
        <v>107</v>
      </c>
      <c r="C111" s="38" t="s">
        <v>143</v>
      </c>
      <c r="D111" s="8" t="s">
        <v>78</v>
      </c>
      <c r="E111" s="17">
        <v>19488559</v>
      </c>
      <c r="F111" s="8">
        <f>2024-1962</f>
        <v>62</v>
      </c>
      <c r="G111" s="8"/>
      <c r="H111" s="9" t="s">
        <v>56</v>
      </c>
      <c r="I111" s="8" t="s">
        <v>105</v>
      </c>
      <c r="J111" s="8" t="s">
        <v>61</v>
      </c>
      <c r="K111" s="8"/>
    </row>
    <row r="112" spans="2:11" x14ac:dyDescent="0.25">
      <c r="B112" s="5">
        <v>108</v>
      </c>
      <c r="C112" s="41" t="s">
        <v>200</v>
      </c>
      <c r="D112" s="10" t="s">
        <v>78</v>
      </c>
      <c r="E112" s="24">
        <v>19442454</v>
      </c>
      <c r="F112" s="10">
        <f>2024-1960</f>
        <v>64</v>
      </c>
      <c r="G112" s="10"/>
      <c r="H112" s="9" t="s">
        <v>56</v>
      </c>
      <c r="I112" s="10" t="s">
        <v>105</v>
      </c>
      <c r="J112" s="10" t="s">
        <v>69</v>
      </c>
      <c r="K112" s="10"/>
    </row>
    <row r="113" spans="2:11" x14ac:dyDescent="0.25">
      <c r="B113" s="3">
        <v>109</v>
      </c>
      <c r="C113" s="41" t="s">
        <v>201</v>
      </c>
      <c r="D113" s="8" t="s">
        <v>78</v>
      </c>
      <c r="E113" s="17">
        <v>20871909</v>
      </c>
      <c r="F113" s="8">
        <f>2023-1973</f>
        <v>50</v>
      </c>
      <c r="G113" s="8"/>
      <c r="H113" s="9" t="s">
        <v>56</v>
      </c>
      <c r="I113" s="8" t="s">
        <v>105</v>
      </c>
      <c r="J113" s="8" t="s">
        <v>61</v>
      </c>
      <c r="K113" s="8" t="s">
        <v>89</v>
      </c>
    </row>
    <row r="114" spans="2:11" ht="15.75" thickBot="1" x14ac:dyDescent="0.3">
      <c r="B114" s="5">
        <v>110</v>
      </c>
      <c r="C114" s="42" t="s">
        <v>202</v>
      </c>
      <c r="D114" s="29" t="s">
        <v>78</v>
      </c>
      <c r="E114" s="30">
        <v>20871462</v>
      </c>
      <c r="F114" s="29">
        <f>2023-1967</f>
        <v>56</v>
      </c>
      <c r="G114" s="29"/>
      <c r="H114" s="28" t="s">
        <v>56</v>
      </c>
      <c r="I114" s="29" t="s">
        <v>105</v>
      </c>
      <c r="J114" s="29"/>
      <c r="K114" s="43">
        <v>40000</v>
      </c>
    </row>
    <row r="115" spans="2:11" x14ac:dyDescent="0.25">
      <c r="B115" s="3">
        <v>111</v>
      </c>
      <c r="C115" s="4" t="s">
        <v>144</v>
      </c>
      <c r="D115" s="8" t="s">
        <v>78</v>
      </c>
      <c r="E115" s="33">
        <v>20871803</v>
      </c>
      <c r="F115" s="8">
        <v>51</v>
      </c>
      <c r="G115" s="8">
        <v>3143457528</v>
      </c>
      <c r="H115" s="9" t="s">
        <v>56</v>
      </c>
      <c r="I115" s="8" t="s">
        <v>57</v>
      </c>
      <c r="J115" s="8" t="s">
        <v>68</v>
      </c>
      <c r="K115" s="13">
        <v>60000</v>
      </c>
    </row>
    <row r="116" spans="2:11" x14ac:dyDescent="0.25">
      <c r="B116" s="5">
        <v>112</v>
      </c>
      <c r="C116" s="4" t="s">
        <v>145</v>
      </c>
      <c r="D116" s="10" t="s">
        <v>78</v>
      </c>
      <c r="E116" s="24">
        <v>63455837</v>
      </c>
      <c r="F116" s="10">
        <f>2024-1970</f>
        <v>54</v>
      </c>
      <c r="G116" s="10"/>
      <c r="H116" s="9" t="s">
        <v>56</v>
      </c>
      <c r="I116" s="10" t="s">
        <v>57</v>
      </c>
      <c r="J116" s="10" t="s">
        <v>61</v>
      </c>
      <c r="K116" s="10" t="s">
        <v>89</v>
      </c>
    </row>
    <row r="117" spans="2:11" x14ac:dyDescent="0.25">
      <c r="B117" s="3">
        <v>113</v>
      </c>
      <c r="C117" s="4" t="s">
        <v>146</v>
      </c>
      <c r="D117" s="8" t="s">
        <v>78</v>
      </c>
      <c r="E117" s="17">
        <v>1072970119</v>
      </c>
      <c r="F117" s="8">
        <f>2023-1985</f>
        <v>38</v>
      </c>
      <c r="G117" s="8"/>
      <c r="H117" s="9" t="s">
        <v>56</v>
      </c>
      <c r="I117" s="8" t="s">
        <v>57</v>
      </c>
      <c r="J117" s="8" t="s">
        <v>69</v>
      </c>
      <c r="K117" s="8" t="s">
        <v>89</v>
      </c>
    </row>
    <row r="118" spans="2:11" x14ac:dyDescent="0.25">
      <c r="B118" s="5">
        <v>114</v>
      </c>
      <c r="C118" s="4" t="s">
        <v>147</v>
      </c>
      <c r="D118" s="10" t="s">
        <v>78</v>
      </c>
      <c r="E118" s="24">
        <v>35324024</v>
      </c>
      <c r="F118" s="10">
        <f>2024-1959</f>
        <v>65</v>
      </c>
      <c r="G118" s="10"/>
      <c r="H118" s="9" t="s">
        <v>56</v>
      </c>
      <c r="I118" s="10" t="s">
        <v>57</v>
      </c>
      <c r="J118" s="10" t="s">
        <v>69</v>
      </c>
      <c r="K118" s="10" t="s">
        <v>89</v>
      </c>
    </row>
    <row r="119" spans="2:11" x14ac:dyDescent="0.25">
      <c r="B119" s="3">
        <v>115</v>
      </c>
      <c r="C119" s="44" t="s">
        <v>148</v>
      </c>
      <c r="D119" s="8" t="s">
        <v>78</v>
      </c>
      <c r="E119" s="17">
        <v>20871593</v>
      </c>
      <c r="F119" s="8"/>
      <c r="G119" s="8" t="s">
        <v>176</v>
      </c>
      <c r="H119" s="45" t="s">
        <v>149</v>
      </c>
      <c r="I119" s="8" t="s">
        <v>59</v>
      </c>
      <c r="J119" s="8" t="s">
        <v>61</v>
      </c>
      <c r="K119" s="8" t="s">
        <v>89</v>
      </c>
    </row>
    <row r="120" spans="2:11" x14ac:dyDescent="0.25">
      <c r="B120" s="5">
        <v>116</v>
      </c>
      <c r="C120" s="44" t="s">
        <v>150</v>
      </c>
      <c r="D120" s="10" t="s">
        <v>78</v>
      </c>
      <c r="E120" s="24">
        <v>1073628129</v>
      </c>
      <c r="F120" s="10">
        <f>2023-1986</f>
        <v>37</v>
      </c>
      <c r="G120" s="10" t="s">
        <v>176</v>
      </c>
      <c r="H120" s="45" t="s">
        <v>149</v>
      </c>
      <c r="I120" s="10" t="s">
        <v>59</v>
      </c>
      <c r="J120" s="10" t="s">
        <v>68</v>
      </c>
      <c r="K120" s="15" t="s">
        <v>89</v>
      </c>
    </row>
    <row r="121" spans="2:11" x14ac:dyDescent="0.25">
      <c r="B121" s="3">
        <v>117</v>
      </c>
      <c r="C121" s="6" t="s">
        <v>151</v>
      </c>
      <c r="D121" s="8" t="s">
        <v>78</v>
      </c>
      <c r="E121" s="17">
        <v>1072960894</v>
      </c>
      <c r="F121" s="8"/>
      <c r="G121" s="8"/>
      <c r="H121" s="11" t="s">
        <v>58</v>
      </c>
      <c r="I121" s="8" t="s">
        <v>62</v>
      </c>
      <c r="J121" s="8"/>
      <c r="K121" s="8"/>
    </row>
    <row r="122" spans="2:11" x14ac:dyDescent="0.25">
      <c r="B122" s="5">
        <v>118</v>
      </c>
      <c r="C122" s="6" t="s">
        <v>152</v>
      </c>
      <c r="D122" s="10"/>
      <c r="E122" s="19"/>
      <c r="F122" s="10"/>
      <c r="G122" s="10"/>
      <c r="H122" s="11" t="s">
        <v>58</v>
      </c>
      <c r="I122" s="10" t="s">
        <v>62</v>
      </c>
      <c r="J122" s="10"/>
      <c r="K122" s="10"/>
    </row>
    <row r="123" spans="2:11" x14ac:dyDescent="0.25">
      <c r="B123" s="3">
        <v>119</v>
      </c>
      <c r="C123" s="6" t="s">
        <v>153</v>
      </c>
      <c r="D123" s="8" t="s">
        <v>78</v>
      </c>
      <c r="E123" s="17">
        <v>1072963889</v>
      </c>
      <c r="F123" s="8"/>
      <c r="G123" s="8"/>
      <c r="H123" s="11" t="s">
        <v>58</v>
      </c>
      <c r="I123" s="8" t="s">
        <v>62</v>
      </c>
      <c r="J123" s="8"/>
      <c r="K123" s="8"/>
    </row>
    <row r="124" spans="2:11" x14ac:dyDescent="0.25">
      <c r="B124" s="5">
        <v>120</v>
      </c>
      <c r="C124" s="6" t="s">
        <v>154</v>
      </c>
      <c r="D124" s="10" t="s">
        <v>78</v>
      </c>
      <c r="E124" s="24">
        <v>1010051972</v>
      </c>
      <c r="F124" s="10"/>
      <c r="G124" s="10">
        <v>3202819830</v>
      </c>
      <c r="H124" s="11" t="s">
        <v>58</v>
      </c>
      <c r="I124" s="10" t="s">
        <v>62</v>
      </c>
      <c r="J124" s="10"/>
      <c r="K124" s="10"/>
    </row>
    <row r="125" spans="2:11" x14ac:dyDescent="0.25">
      <c r="B125" s="3">
        <v>121</v>
      </c>
      <c r="C125" s="4" t="s">
        <v>155</v>
      </c>
      <c r="D125" s="8" t="s">
        <v>78</v>
      </c>
      <c r="E125" s="17">
        <v>39523509</v>
      </c>
      <c r="F125" s="8">
        <v>62</v>
      </c>
      <c r="G125" s="8">
        <v>3213589883</v>
      </c>
      <c r="H125" s="9" t="s">
        <v>56</v>
      </c>
      <c r="I125" s="8" t="s">
        <v>156</v>
      </c>
      <c r="J125" s="8"/>
      <c r="K125" s="8" t="s">
        <v>89</v>
      </c>
    </row>
    <row r="126" spans="2:11" x14ac:dyDescent="0.25">
      <c r="B126" s="5">
        <v>122</v>
      </c>
      <c r="C126" s="4" t="s">
        <v>157</v>
      </c>
      <c r="D126" s="10" t="s">
        <v>78</v>
      </c>
      <c r="E126" s="24">
        <v>51914877</v>
      </c>
      <c r="F126" s="10">
        <v>56</v>
      </c>
      <c r="G126" s="10">
        <v>3041697071</v>
      </c>
      <c r="H126" s="9" t="s">
        <v>56</v>
      </c>
      <c r="I126" s="10" t="s">
        <v>156</v>
      </c>
      <c r="J126" s="10"/>
      <c r="K126" s="10" t="s">
        <v>89</v>
      </c>
    </row>
    <row r="127" spans="2:11" x14ac:dyDescent="0.25">
      <c r="B127" s="3">
        <v>123</v>
      </c>
      <c r="C127" s="4" t="s">
        <v>158</v>
      </c>
      <c r="D127" s="8" t="s">
        <v>78</v>
      </c>
      <c r="E127" s="17">
        <v>20501336</v>
      </c>
      <c r="F127" s="8">
        <v>59</v>
      </c>
      <c r="G127" s="8">
        <v>3112033935</v>
      </c>
      <c r="H127" s="9" t="s">
        <v>56</v>
      </c>
      <c r="I127" s="8" t="s">
        <v>156</v>
      </c>
      <c r="J127" s="8"/>
      <c r="K127" s="8" t="s">
        <v>89</v>
      </c>
    </row>
    <row r="128" spans="2:11" x14ac:dyDescent="0.25">
      <c r="B128" s="5">
        <v>124</v>
      </c>
      <c r="C128" s="4" t="s">
        <v>159</v>
      </c>
      <c r="D128" s="10" t="s">
        <v>78</v>
      </c>
      <c r="E128" s="24">
        <v>39612927</v>
      </c>
      <c r="F128" s="10">
        <v>62</v>
      </c>
      <c r="G128" s="10">
        <v>3213181566</v>
      </c>
      <c r="H128" s="9" t="s">
        <v>56</v>
      </c>
      <c r="I128" s="10" t="s">
        <v>156</v>
      </c>
      <c r="J128" s="10"/>
      <c r="K128" s="10" t="s">
        <v>89</v>
      </c>
    </row>
    <row r="129" spans="2:11" x14ac:dyDescent="0.25">
      <c r="B129" s="3">
        <v>125</v>
      </c>
      <c r="C129" s="7" t="s">
        <v>160</v>
      </c>
      <c r="D129" s="8" t="s">
        <v>78</v>
      </c>
      <c r="E129" s="17">
        <v>21012620</v>
      </c>
      <c r="F129" s="8">
        <f>2024-1953</f>
        <v>71</v>
      </c>
      <c r="G129" s="8" t="s">
        <v>203</v>
      </c>
      <c r="H129" s="12" t="s">
        <v>60</v>
      </c>
      <c r="I129" s="8" t="s">
        <v>161</v>
      </c>
      <c r="J129" s="8"/>
      <c r="K129" s="13">
        <v>200000</v>
      </c>
    </row>
    <row r="130" spans="2:11" x14ac:dyDescent="0.25">
      <c r="B130" s="5">
        <v>126</v>
      </c>
      <c r="C130" s="7" t="s">
        <v>162</v>
      </c>
      <c r="D130" s="10" t="s">
        <v>78</v>
      </c>
      <c r="E130" s="24">
        <v>21056217</v>
      </c>
      <c r="F130" s="10">
        <f>2024-1958</f>
        <v>66</v>
      </c>
      <c r="G130" s="10"/>
      <c r="H130" s="12" t="s">
        <v>60</v>
      </c>
      <c r="I130" s="10" t="s">
        <v>161</v>
      </c>
      <c r="J130" s="10"/>
      <c r="K130" s="10" t="s">
        <v>6</v>
      </c>
    </row>
    <row r="131" spans="2:11" x14ac:dyDescent="0.25">
      <c r="B131" s="3">
        <v>127</v>
      </c>
      <c r="C131" s="7" t="s">
        <v>163</v>
      </c>
      <c r="D131" s="8" t="s">
        <v>78</v>
      </c>
      <c r="E131" s="17">
        <v>19375825</v>
      </c>
      <c r="F131" s="8">
        <f>2023-1959</f>
        <v>64</v>
      </c>
      <c r="G131" s="8"/>
      <c r="H131" s="12" t="s">
        <v>60</v>
      </c>
      <c r="I131" s="8" t="s">
        <v>161</v>
      </c>
      <c r="J131" s="8"/>
      <c r="K131" s="8" t="s">
        <v>6</v>
      </c>
    </row>
    <row r="132" spans="2:11" x14ac:dyDescent="0.25">
      <c r="B132" s="5">
        <v>128</v>
      </c>
      <c r="C132" s="7" t="s">
        <v>164</v>
      </c>
      <c r="D132" s="10" t="s">
        <v>78</v>
      </c>
      <c r="E132" s="24">
        <v>21012699</v>
      </c>
      <c r="F132" s="10">
        <f>2023-1952</f>
        <v>71</v>
      </c>
      <c r="G132" s="10">
        <v>3012184308</v>
      </c>
      <c r="H132" s="12" t="s">
        <v>60</v>
      </c>
      <c r="I132" s="10" t="s">
        <v>161</v>
      </c>
      <c r="J132" s="10"/>
      <c r="K132" s="10" t="s">
        <v>6</v>
      </c>
    </row>
    <row r="133" spans="2:11" x14ac:dyDescent="0.25">
      <c r="B133" s="3">
        <v>129</v>
      </c>
      <c r="C133" s="7" t="s">
        <v>165</v>
      </c>
      <c r="D133" s="8" t="s">
        <v>78</v>
      </c>
      <c r="E133" s="17">
        <v>21014236</v>
      </c>
      <c r="F133" s="8">
        <f>2024-1958</f>
        <v>66</v>
      </c>
      <c r="G133" s="8"/>
      <c r="H133" s="12" t="s">
        <v>60</v>
      </c>
      <c r="I133" s="8" t="s">
        <v>161</v>
      </c>
      <c r="J133" s="8"/>
      <c r="K133" s="13">
        <v>100000</v>
      </c>
    </row>
    <row r="134" spans="2:11" x14ac:dyDescent="0.25">
      <c r="B134" s="5">
        <v>130</v>
      </c>
      <c r="C134" s="7" t="s">
        <v>166</v>
      </c>
      <c r="D134" s="10" t="s">
        <v>78</v>
      </c>
      <c r="E134" s="24">
        <v>21015380</v>
      </c>
      <c r="F134" s="10">
        <f>2024-1965</f>
        <v>59</v>
      </c>
      <c r="G134" s="10"/>
      <c r="H134" s="12" t="s">
        <v>60</v>
      </c>
      <c r="I134" s="10" t="s">
        <v>161</v>
      </c>
      <c r="J134" s="10"/>
      <c r="K134" s="10" t="s">
        <v>6</v>
      </c>
    </row>
    <row r="135" spans="2:11" x14ac:dyDescent="0.25">
      <c r="B135" s="3">
        <v>131</v>
      </c>
      <c r="C135" s="4" t="s">
        <v>167</v>
      </c>
      <c r="D135" s="8" t="s">
        <v>78</v>
      </c>
      <c r="E135" s="33" t="s">
        <v>204</v>
      </c>
      <c r="F135" s="8">
        <v>74</v>
      </c>
      <c r="G135" s="8"/>
      <c r="H135" s="9" t="s">
        <v>56</v>
      </c>
      <c r="I135" s="8" t="s">
        <v>57</v>
      </c>
      <c r="J135" s="8" t="s">
        <v>61</v>
      </c>
      <c r="K135" s="8" t="s">
        <v>89</v>
      </c>
    </row>
    <row r="136" spans="2:11" x14ac:dyDescent="0.25">
      <c r="B136" s="5">
        <v>132</v>
      </c>
      <c r="C136" s="4" t="s">
        <v>168</v>
      </c>
      <c r="D136" s="10" t="s">
        <v>78</v>
      </c>
      <c r="E136" s="19" t="s">
        <v>205</v>
      </c>
      <c r="F136" s="10">
        <v>71</v>
      </c>
      <c r="G136" s="10"/>
      <c r="H136" s="9" t="s">
        <v>56</v>
      </c>
      <c r="I136" s="10" t="s">
        <v>57</v>
      </c>
      <c r="J136" s="10" t="s">
        <v>61</v>
      </c>
      <c r="K136" s="10" t="s">
        <v>89</v>
      </c>
    </row>
    <row r="137" spans="2:11" x14ac:dyDescent="0.25">
      <c r="B137" s="3">
        <v>133</v>
      </c>
      <c r="C137" s="4" t="s">
        <v>169</v>
      </c>
      <c r="D137" s="8" t="s">
        <v>78</v>
      </c>
      <c r="E137" s="33" t="s">
        <v>206</v>
      </c>
      <c r="F137" s="8">
        <v>47</v>
      </c>
      <c r="G137" s="8"/>
      <c r="H137" s="9" t="s">
        <v>56</v>
      </c>
      <c r="I137" s="8" t="s">
        <v>57</v>
      </c>
      <c r="J137" s="8" t="s">
        <v>61</v>
      </c>
      <c r="K137" s="8" t="s">
        <v>89</v>
      </c>
    </row>
    <row r="138" spans="2:11" x14ac:dyDescent="0.25">
      <c r="B138" s="5">
        <v>134</v>
      </c>
      <c r="C138" s="4" t="s">
        <v>170</v>
      </c>
      <c r="D138" s="10" t="s">
        <v>78</v>
      </c>
      <c r="E138" s="19" t="s">
        <v>207</v>
      </c>
      <c r="F138" s="10">
        <v>49</v>
      </c>
      <c r="G138" s="10"/>
      <c r="H138" s="9" t="s">
        <v>56</v>
      </c>
      <c r="I138" s="10" t="s">
        <v>57</v>
      </c>
      <c r="J138" s="10" t="s">
        <v>68</v>
      </c>
      <c r="K138" s="10" t="s">
        <v>89</v>
      </c>
    </row>
    <row r="139" spans="2:11" x14ac:dyDescent="0.25">
      <c r="B139" s="3">
        <v>135</v>
      </c>
      <c r="C139" s="4" t="s">
        <v>171</v>
      </c>
      <c r="D139" s="8" t="s">
        <v>78</v>
      </c>
      <c r="E139" s="17">
        <v>51728120</v>
      </c>
      <c r="F139" s="8">
        <v>60</v>
      </c>
      <c r="G139" s="8">
        <v>3204746691</v>
      </c>
      <c r="H139" s="9" t="s">
        <v>56</v>
      </c>
      <c r="I139" s="8" t="s">
        <v>57</v>
      </c>
      <c r="J139" s="8" t="s">
        <v>61</v>
      </c>
      <c r="K139" s="8"/>
    </row>
    <row r="140" spans="2:11" x14ac:dyDescent="0.25">
      <c r="B140" s="5">
        <v>136</v>
      </c>
      <c r="C140" s="4" t="s">
        <v>172</v>
      </c>
      <c r="D140" s="10" t="s">
        <v>78</v>
      </c>
      <c r="E140" s="24">
        <v>1010005588</v>
      </c>
      <c r="F140" s="10">
        <v>23</v>
      </c>
      <c r="G140" s="10">
        <v>3134417557</v>
      </c>
      <c r="H140" s="9" t="s">
        <v>56</v>
      </c>
      <c r="I140" s="10" t="s">
        <v>57</v>
      </c>
      <c r="J140" s="10" t="s">
        <v>61</v>
      </c>
      <c r="K140" s="10"/>
    </row>
    <row r="141" spans="2:11" x14ac:dyDescent="0.25">
      <c r="B141" s="3">
        <v>137</v>
      </c>
      <c r="C141" s="4" t="s">
        <v>208</v>
      </c>
      <c r="D141" s="8" t="s">
        <v>78</v>
      </c>
      <c r="E141" s="17">
        <v>41467849</v>
      </c>
      <c r="F141" s="8">
        <f>2023-1949</f>
        <v>74</v>
      </c>
      <c r="G141" s="8"/>
      <c r="H141" s="9" t="s">
        <v>56</v>
      </c>
      <c r="I141" s="8" t="s">
        <v>59</v>
      </c>
      <c r="J141" s="8" t="s">
        <v>68</v>
      </c>
      <c r="K141" s="8"/>
    </row>
    <row r="142" spans="2:11" x14ac:dyDescent="0.25">
      <c r="B142" s="5">
        <v>138</v>
      </c>
      <c r="C142" s="4" t="s">
        <v>209</v>
      </c>
      <c r="D142" s="10" t="s">
        <v>78</v>
      </c>
      <c r="E142" s="24">
        <v>28558180</v>
      </c>
      <c r="F142" s="10">
        <v>41</v>
      </c>
      <c r="G142" s="10">
        <v>3214913800</v>
      </c>
      <c r="H142" s="9" t="s">
        <v>56</v>
      </c>
      <c r="I142" s="10" t="s">
        <v>57</v>
      </c>
      <c r="J142" s="10" t="s">
        <v>69</v>
      </c>
      <c r="K142" s="10"/>
    </row>
    <row r="143" spans="2:11" x14ac:dyDescent="0.25">
      <c r="B143" s="3">
        <v>139</v>
      </c>
      <c r="C143" s="4" t="s">
        <v>210</v>
      </c>
      <c r="D143" s="8" t="s">
        <v>78</v>
      </c>
      <c r="E143" s="17">
        <v>1077851566</v>
      </c>
      <c r="F143" s="8">
        <v>36</v>
      </c>
      <c r="G143" s="8">
        <v>3226852313</v>
      </c>
      <c r="H143" s="9" t="s">
        <v>56</v>
      </c>
      <c r="I143" s="8" t="s">
        <v>57</v>
      </c>
      <c r="J143" s="8" t="s">
        <v>68</v>
      </c>
      <c r="K143" s="8"/>
    </row>
    <row r="144" spans="2:11" x14ac:dyDescent="0.25">
      <c r="B144" s="5">
        <v>140</v>
      </c>
      <c r="C144" s="4" t="s">
        <v>211</v>
      </c>
      <c r="D144" s="10" t="s">
        <v>78</v>
      </c>
      <c r="E144" s="24">
        <v>1006119194</v>
      </c>
      <c r="F144" s="10">
        <v>23</v>
      </c>
      <c r="G144" s="10">
        <v>3212532314</v>
      </c>
      <c r="H144" s="9" t="s">
        <v>56</v>
      </c>
      <c r="I144" s="10" t="s">
        <v>57</v>
      </c>
      <c r="J144" s="10" t="s">
        <v>69</v>
      </c>
      <c r="K144" s="10"/>
    </row>
    <row r="145" spans="2:11" x14ac:dyDescent="0.25">
      <c r="B145" s="3">
        <v>141</v>
      </c>
      <c r="C145" s="4" t="s">
        <v>212</v>
      </c>
      <c r="D145" s="8" t="s">
        <v>78</v>
      </c>
      <c r="E145" s="17">
        <v>1003658868</v>
      </c>
      <c r="F145" s="8">
        <v>21</v>
      </c>
      <c r="G145" s="8"/>
      <c r="H145" s="9" t="s">
        <v>56</v>
      </c>
      <c r="I145" s="8" t="s">
        <v>57</v>
      </c>
      <c r="J145" s="8" t="s">
        <v>61</v>
      </c>
      <c r="K145" s="8"/>
    </row>
    <row r="146" spans="2:11" x14ac:dyDescent="0.25">
      <c r="B146" s="5">
        <v>142</v>
      </c>
      <c r="C146" s="4" t="s">
        <v>213</v>
      </c>
      <c r="D146" s="10" t="s">
        <v>78</v>
      </c>
      <c r="E146" s="24">
        <v>21015482</v>
      </c>
      <c r="F146" s="10">
        <v>58</v>
      </c>
      <c r="G146" s="10">
        <v>3112624413</v>
      </c>
      <c r="H146" s="9" t="s">
        <v>56</v>
      </c>
      <c r="I146" s="10" t="s">
        <v>57</v>
      </c>
      <c r="J146" s="10" t="s">
        <v>68</v>
      </c>
      <c r="K146" s="10" t="s">
        <v>67</v>
      </c>
    </row>
    <row r="147" spans="2:11" x14ac:dyDescent="0.25">
      <c r="B147" s="3">
        <v>143</v>
      </c>
      <c r="C147" s="6" t="s">
        <v>214</v>
      </c>
      <c r="D147" s="8" t="s">
        <v>78</v>
      </c>
      <c r="E147" s="17">
        <v>20357616</v>
      </c>
      <c r="F147" s="8">
        <v>62</v>
      </c>
      <c r="G147" s="8"/>
      <c r="H147" s="11" t="s">
        <v>58</v>
      </c>
      <c r="I147" s="8" t="s">
        <v>57</v>
      </c>
      <c r="J147" s="46" t="s">
        <v>73</v>
      </c>
      <c r="K147" s="8"/>
    </row>
    <row r="148" spans="2:11" x14ac:dyDescent="0.25">
      <c r="B148" s="5">
        <v>144</v>
      </c>
      <c r="C148" s="7" t="s">
        <v>215</v>
      </c>
      <c r="D148" s="10" t="s">
        <v>78</v>
      </c>
      <c r="E148" s="24">
        <v>1075629194</v>
      </c>
      <c r="F148" s="10"/>
      <c r="G148" s="10">
        <v>3118826220</v>
      </c>
      <c r="H148" s="12" t="s">
        <v>60</v>
      </c>
      <c r="I148" s="10" t="s">
        <v>62</v>
      </c>
      <c r="J148" s="10" t="s">
        <v>68</v>
      </c>
      <c r="K148" s="10"/>
    </row>
    <row r="149" spans="2:11" x14ac:dyDescent="0.25">
      <c r="B149" s="3">
        <v>145</v>
      </c>
      <c r="C149" s="7" t="s">
        <v>216</v>
      </c>
      <c r="D149" s="8" t="s">
        <v>78</v>
      </c>
      <c r="E149" s="17">
        <v>41681426</v>
      </c>
      <c r="F149" s="8"/>
      <c r="G149" s="8" t="s">
        <v>217</v>
      </c>
      <c r="H149" s="12" t="s">
        <v>60</v>
      </c>
      <c r="I149" s="8" t="s">
        <v>62</v>
      </c>
      <c r="J149" s="47" t="s">
        <v>73</v>
      </c>
      <c r="K149" s="8"/>
    </row>
    <row r="150" spans="2:11" x14ac:dyDescent="0.25">
      <c r="B150" s="5">
        <v>146</v>
      </c>
      <c r="C150" s="7" t="s">
        <v>218</v>
      </c>
      <c r="D150" s="10" t="s">
        <v>219</v>
      </c>
      <c r="E150" s="24">
        <v>4211176</v>
      </c>
      <c r="F150" s="10"/>
      <c r="G150" s="10" t="s">
        <v>217</v>
      </c>
      <c r="H150" s="12" t="s">
        <v>60</v>
      </c>
      <c r="I150" s="10" t="s">
        <v>62</v>
      </c>
      <c r="J150" s="48" t="s">
        <v>73</v>
      </c>
      <c r="K150" s="10"/>
    </row>
    <row r="151" spans="2:11" x14ac:dyDescent="0.25">
      <c r="B151" s="3">
        <v>147</v>
      </c>
      <c r="C151" s="4" t="s">
        <v>220</v>
      </c>
      <c r="D151" s="8" t="s">
        <v>219</v>
      </c>
      <c r="E151" s="17">
        <v>79346819</v>
      </c>
      <c r="F151" s="8">
        <v>59</v>
      </c>
      <c r="G151" s="8"/>
      <c r="H151" s="8" t="s">
        <v>60</v>
      </c>
      <c r="I151" s="8" t="s">
        <v>57</v>
      </c>
      <c r="J151" s="8" t="s">
        <v>61</v>
      </c>
      <c r="K151" s="8"/>
    </row>
    <row r="152" spans="2:11" x14ac:dyDescent="0.25">
      <c r="B152" s="5">
        <v>148</v>
      </c>
      <c r="C152" s="4" t="s">
        <v>221</v>
      </c>
      <c r="D152" s="10" t="s">
        <v>219</v>
      </c>
      <c r="E152" s="19">
        <v>51697265</v>
      </c>
      <c r="F152" s="10">
        <v>61</v>
      </c>
      <c r="G152" s="10"/>
      <c r="H152" s="10" t="s">
        <v>60</v>
      </c>
      <c r="I152" s="10" t="s">
        <v>57</v>
      </c>
      <c r="J152" s="10" t="s">
        <v>61</v>
      </c>
      <c r="K152" s="10"/>
    </row>
  </sheetData>
  <conditionalFormatting sqref="C2:C152">
    <cfRule type="duplicateValues" dxfId="5" priority="3"/>
  </conditionalFormatting>
  <conditionalFormatting sqref="E2:E152">
    <cfRule type="duplicateValues" dxfId="4" priority="2"/>
  </conditionalFormatting>
  <conditionalFormatting sqref="E3:E115">
    <cfRule type="duplicateValues" dxfId="3" priority="4"/>
  </conditionalFormatting>
  <conditionalFormatting sqref="E3:E148">
    <cfRule type="duplicateValues" dxfId="2" priority="5"/>
  </conditionalFormatting>
  <conditionalFormatting sqref="C3:C148">
    <cfRule type="duplicateValues" dxfId="1" priority="6"/>
  </conditionalFormatting>
  <conditionalFormatting sqref="E2:E1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2024-04-27T18:39:02Z</dcterms:created>
  <dcterms:modified xsi:type="dcterms:W3CDTF">2024-05-15T19:41:16Z</dcterms:modified>
</cp:coreProperties>
</file>