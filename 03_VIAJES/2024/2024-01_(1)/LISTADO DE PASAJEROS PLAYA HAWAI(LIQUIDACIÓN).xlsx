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B508A70A-3082-420C-99CA-0DC7C46449B6}" xr6:coauthVersionLast="47" xr6:coauthVersionMax="47" xr10:uidLastSave="{00000000-0000-0000-0000-000000000000}"/>
  <bookViews>
    <workbookView xWindow="-120" yWindow="-120" windowWidth="20730" windowHeight="11160" xr2:uid="{CC13937B-FF08-4796-B91D-0C472531C8EA}"/>
  </bookViews>
  <sheets>
    <sheet name="Hoja1" sheetId="1" r:id="rId1"/>
    <sheet name="Hoja3" sheetId="3" r:id="rId2"/>
    <sheet name="Hoja4" sheetId="4" r:id="rId3"/>
    <sheet name="Hoja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3" i="1" l="1"/>
  <c r="R21" i="1"/>
  <c r="R20" i="1"/>
  <c r="S20" i="1"/>
  <c r="G53" i="2"/>
  <c r="H53" i="2"/>
  <c r="H51" i="2"/>
  <c r="H52" i="2"/>
  <c r="H44" i="2"/>
  <c r="H45" i="2"/>
  <c r="H46" i="2"/>
  <c r="H47" i="2"/>
  <c r="H37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4" i="2"/>
  <c r="H50" i="2"/>
  <c r="H43" i="2"/>
  <c r="H38" i="2"/>
  <c r="H35" i="2"/>
  <c r="H34" i="2"/>
  <c r="H33" i="2"/>
  <c r="H32" i="2"/>
  <c r="H31" i="2"/>
  <c r="H30" i="2"/>
  <c r="M51" i="1"/>
  <c r="M31" i="1"/>
  <c r="M32" i="1"/>
  <c r="M33" i="1"/>
  <c r="M34" i="1"/>
  <c r="M35" i="1"/>
  <c r="M30" i="1"/>
  <c r="R9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7" i="1"/>
  <c r="M38" i="1"/>
  <c r="L53" i="1"/>
  <c r="R24" i="1"/>
  <c r="S24" i="1" s="1"/>
  <c r="S23" i="1"/>
  <c r="S21" i="1"/>
  <c r="I6" i="4"/>
  <c r="I5" i="4"/>
  <c r="I4" i="4"/>
  <c r="I11" i="4"/>
  <c r="M46" i="1"/>
  <c r="M47" i="1"/>
  <c r="M50" i="1"/>
  <c r="M52" i="1"/>
  <c r="I10" i="3"/>
  <c r="I5" i="3"/>
  <c r="I4" i="3"/>
  <c r="I3" i="3"/>
  <c r="I6" i="3" s="1"/>
  <c r="S25" i="1" l="1"/>
  <c r="R25" i="1"/>
  <c r="M44" i="1"/>
  <c r="M45" i="1"/>
  <c r="M43" i="1"/>
  <c r="M4" i="1"/>
  <c r="M53" i="1" s="1"/>
  <c r="R10" i="1" s="1"/>
  <c r="R11" i="1" s="1"/>
  <c r="G26" i="1"/>
  <c r="G25" i="1"/>
  <c r="G24" i="1"/>
  <c r="G40" i="1"/>
  <c r="G41" i="1"/>
  <c r="G42" i="1"/>
  <c r="G27" i="1"/>
  <c r="G23" i="1"/>
  <c r="G22" i="1"/>
  <c r="G21" i="1"/>
  <c r="G20" i="1"/>
  <c r="M54" i="1" l="1"/>
</calcChain>
</file>

<file path=xl/sharedStrings.xml><?xml version="1.0" encoding="utf-8"?>
<sst xmlns="http://schemas.openxmlformats.org/spreadsheetml/2006/main" count="761" uniqueCount="97">
  <si>
    <t xml:space="preserve">Nancy Espinoza </t>
  </si>
  <si>
    <t>""</t>
  </si>
  <si>
    <t xml:space="preserve"> Sol Katherine Moreno Cano </t>
  </si>
  <si>
    <t xml:space="preserve"> Luz Stella Cano Daza </t>
  </si>
  <si>
    <t>R.C</t>
  </si>
  <si>
    <t>C.C</t>
  </si>
  <si>
    <t>EDAD</t>
  </si>
  <si>
    <t>N.D</t>
  </si>
  <si>
    <t>T.P</t>
  </si>
  <si>
    <t>NOMBRE</t>
  </si>
  <si>
    <t>MUNICIPIO</t>
  </si>
  <si>
    <t>ABONO</t>
  </si>
  <si>
    <t>ANAPOIMA</t>
  </si>
  <si>
    <t xml:space="preserve">Miguel Angel Torres Salazar </t>
  </si>
  <si>
    <t>NF</t>
  </si>
  <si>
    <t>Natalia Andrea Gonzalez Correa</t>
  </si>
  <si>
    <t>Camilo Andres Torres Gonzalez</t>
  </si>
  <si>
    <t>Estella Torres</t>
  </si>
  <si>
    <t>COMISIONISTA</t>
  </si>
  <si>
    <t>EDITH</t>
  </si>
  <si>
    <t>Emilio Junco Diaz</t>
  </si>
  <si>
    <t>T.I</t>
  </si>
  <si>
    <t>Aleida Urrego Gonzalez</t>
  </si>
  <si>
    <t>Emily Samanta Rodríguez Urrego</t>
  </si>
  <si>
    <t>Andres Felipe Rodríguez Urrego</t>
  </si>
  <si>
    <t>Transito Martinez Bohorquez</t>
  </si>
  <si>
    <t>Rosa Irene Ochoa Martinez</t>
  </si>
  <si>
    <t xml:space="preserve">Guillermo Rivera </t>
  </si>
  <si>
    <t xml:space="preserve">Sordyd Murillo </t>
  </si>
  <si>
    <t xml:space="preserve">Omar Eduardo Montenegro </t>
  </si>
  <si>
    <t>Emanuel Montenegro</t>
  </si>
  <si>
    <t>GLORIA</t>
  </si>
  <si>
    <t>LAD</t>
  </si>
  <si>
    <t>N°</t>
  </si>
  <si>
    <t>Florinda Daza Marín</t>
  </si>
  <si>
    <t>APULO</t>
  </si>
  <si>
    <t>Andres Tomas Roa Rodríguez</t>
  </si>
  <si>
    <t>Luis Duarte</t>
  </si>
  <si>
    <t>Valery Duarte</t>
  </si>
  <si>
    <t>Julian Duarte</t>
  </si>
  <si>
    <t>Gabriel Cabrera</t>
  </si>
  <si>
    <t>Isabella Cabrera</t>
  </si>
  <si>
    <t>TOCAIMA</t>
  </si>
  <si>
    <t>Jeronimo Junco Diaz</t>
  </si>
  <si>
    <t>Johany Junco pesellin</t>
  </si>
  <si>
    <t>Luisa Benavides</t>
  </si>
  <si>
    <t>MAFE</t>
  </si>
  <si>
    <t>MEFE</t>
  </si>
  <si>
    <t xml:space="preserve">Miriam Jutinico Campos </t>
  </si>
  <si>
    <t>EMPRESA</t>
  </si>
  <si>
    <t>Jaime Garcia Galindo</t>
  </si>
  <si>
    <t>Omaira Garcia Reyes</t>
  </si>
  <si>
    <t>Senaida Garcia Reyes</t>
  </si>
  <si>
    <t>María José Buitrago Sanchez</t>
  </si>
  <si>
    <t>Paula Daniela Reyes Daza</t>
  </si>
  <si>
    <t>Sandra Marcela Diaz espinosa</t>
  </si>
  <si>
    <t>MARINA</t>
  </si>
  <si>
    <t>Teresa Luna Suarez</t>
  </si>
  <si>
    <t>Columna2</t>
  </si>
  <si>
    <t>311 881 9452</t>
  </si>
  <si>
    <t>Graciela Santamaria</t>
  </si>
  <si>
    <t>313 204 0930</t>
  </si>
  <si>
    <t>María Eugenia Lopez Peña</t>
  </si>
  <si>
    <t>Beatriz Hernandez</t>
  </si>
  <si>
    <t>312 540 7089</t>
  </si>
  <si>
    <t>Luz Marina Muñoz</t>
  </si>
  <si>
    <t>Diana Patricia Díaz Espinosa</t>
  </si>
  <si>
    <t>Daniela Katherine oviedo sepulveda</t>
  </si>
  <si>
    <t>Edgar soler González</t>
  </si>
  <si>
    <t>Isidro Cuervo</t>
  </si>
  <si>
    <t>william Alexander Cifuentes</t>
  </si>
  <si>
    <t>cel</t>
  </si>
  <si>
    <t>valor</t>
  </si>
  <si>
    <t>comisión</t>
  </si>
  <si>
    <t>TOTAL</t>
  </si>
  <si>
    <t>CEL</t>
  </si>
  <si>
    <t>324 871 8790</t>
  </si>
  <si>
    <t>314 3193 536</t>
  </si>
  <si>
    <t>NIÑOS</t>
  </si>
  <si>
    <t>3CERA EDAD</t>
  </si>
  <si>
    <t>Juan Pablo Urueña Cabrera</t>
  </si>
  <si>
    <t>Gloria Esperanza Cabrera Pinzón</t>
  </si>
  <si>
    <t>German Urueña Molina</t>
  </si>
  <si>
    <t>MEYLIN SARAY BUITRAGO CRUZ</t>
  </si>
  <si>
    <t>AMY THALIANA BARBOSA CRUZ</t>
  </si>
  <si>
    <t>LIZETH CRUZ</t>
  </si>
  <si>
    <t>PAX</t>
  </si>
  <si>
    <t>INGRESO+ALMUERZO</t>
  </si>
  <si>
    <t>SEGURO</t>
  </si>
  <si>
    <t>GASTOS DE REPRESENTACIÓN</t>
  </si>
  <si>
    <t>INGRESOS EXTRAS</t>
  </si>
  <si>
    <t xml:space="preserve">INGRESOS </t>
  </si>
  <si>
    <t>UTILIDAD</t>
  </si>
  <si>
    <t xml:space="preserve">COSTOS Y GASTOS </t>
  </si>
  <si>
    <t>TRANSPORTE (BUS Y BUSETA)</t>
  </si>
  <si>
    <t>MARÍA MAPE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</si>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</sst>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6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42" fontId="0" fillId="0" borderId="0" xfId="1" applyFont="1" applyAlignment="1">
      <alignment horizontal="center"/>
    </xf>
    <xf numFmtId="4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3" fontId="0" fillId="5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42" fontId="0" fillId="0" borderId="0" xfId="0" applyNumberFormat="1"/>
    <xf numFmtId="42" fontId="0" fillId="0" borderId="1" xfId="1" applyFont="1" applyBorder="1"/>
    <xf numFmtId="42" fontId="0" fillId="0" borderId="1" xfId="0" applyNumberFormat="1" applyBorder="1"/>
    <xf numFmtId="14" fontId="0" fillId="3" borderId="0" xfId="0" applyNumberFormat="1" applyFill="1"/>
    <xf numFmtId="42" fontId="0" fillId="3" borderId="0" xfId="1" applyFont="1" applyFill="1" applyAlignment="1">
      <alignment horizontal="center"/>
    </xf>
    <xf numFmtId="42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0" borderId="1" xfId="0" applyBorder="1" applyAlignment="1">
      <alignment horizontal="center"/>
    </xf>
    <xf numFmtId="0" fontId="0" fillId="0" borderId="4" xfId="0" applyBorder="1"/>
    <xf numFmtId="42" fontId="0" fillId="0" borderId="4" xfId="1" applyFont="1" applyBorder="1"/>
    <xf numFmtId="42" fontId="0" fillId="0" borderId="5" xfId="1" applyFont="1" applyBorder="1"/>
    <xf numFmtId="0" fontId="0" fillId="0" borderId="6" xfId="0" applyBorder="1"/>
    <xf numFmtId="42" fontId="0" fillId="0" borderId="7" xfId="1" applyFont="1" applyBorder="1"/>
    <xf numFmtId="0" fontId="0" fillId="4" borderId="6" xfId="0" applyFill="1" applyBorder="1"/>
    <xf numFmtId="0" fontId="0" fillId="5" borderId="6" xfId="0" applyFill="1" applyBorder="1"/>
    <xf numFmtId="0" fontId="0" fillId="2" borderId="5" xfId="0" applyFill="1" applyBorder="1"/>
    <xf numFmtId="42" fontId="0" fillId="7" borderId="2" xfId="1" applyNumberFormat="1" applyFont="1" applyFill="1" applyBorder="1" applyAlignment="1">
      <alignment horizontal="center"/>
    </xf>
    <xf numFmtId="42" fontId="0" fillId="7" borderId="3" xfId="0" applyNumberFormat="1" applyFont="1" applyFill="1" applyBorder="1" applyAlignment="1">
      <alignment horizontal="center"/>
    </xf>
    <xf numFmtId="42" fontId="0" fillId="0" borderId="2" xfId="1" applyNumberFormat="1" applyFont="1" applyBorder="1" applyAlignment="1">
      <alignment horizontal="center"/>
    </xf>
    <xf numFmtId="42" fontId="0" fillId="0" borderId="3" xfId="0" applyNumberFormat="1" applyFont="1" applyBorder="1" applyAlignment="1">
      <alignment horizontal="center"/>
    </xf>
    <xf numFmtId="42" fontId="0" fillId="3" borderId="2" xfId="1" applyNumberFormat="1" applyFont="1" applyFill="1" applyBorder="1" applyAlignment="1">
      <alignment horizontal="center"/>
    </xf>
    <xf numFmtId="42" fontId="0" fillId="3" borderId="3" xfId="0" applyNumberFormat="1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10">
    <dxf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4491C-737E-4E17-B7C4-615815B0C0C6}" name="Tabla1" displayName="Tabla1" ref="C3:M53" totalsRowCount="1">
  <autoFilter ref="C3:M52" xr:uid="{8684491C-737E-4E17-B7C4-615815B0C0C6}"/>
  <tableColumns count="11">
    <tableColumn id="1" xr3:uid="{FD11F572-CC30-43F6-B48C-684182A9A78B}" name="NOMBRE"/>
    <tableColumn id="2" xr3:uid="{64E2FF18-0826-4686-AEE3-39CE62FA87E7}" name="T.P" dataDxfId="9" totalsRowDxfId="4"/>
    <tableColumn id="3" xr3:uid="{9842572F-2E9B-46E0-BFA3-0FD194AEC5D8}" name="N.D"/>
    <tableColumn id="8" xr3:uid="{E0655F3D-A1F6-4160-BEEC-013CB927DC6F}" name="NF" dataDxfId="8" totalsRowDxfId="3"/>
    <tableColumn id="4" xr3:uid="{1BC676FA-37FF-4010-AC2A-DF9A4A2C6978}" name="EDAD" dataDxfId="7" totalsRowDxfId="2"/>
    <tableColumn id="12" xr3:uid="{CAAE8B6C-C830-4ACD-8BEB-6E327E4FA8A1}" name="Columna2"/>
    <tableColumn id="5" xr3:uid="{E9D294AF-7180-4540-AA1E-44EF6D8B7FF2}" name="MUNICIPIO"/>
    <tableColumn id="9" xr3:uid="{3FE4C15C-5D61-4B59-B46E-D0A91C20BD80}" name="COMISIONISTA"/>
    <tableColumn id="6" xr3:uid="{0F4D2C85-D240-4DA4-99CD-71E868458E30}" name="ABONO"/>
    <tableColumn id="7" xr3:uid="{1C39690D-D2BF-401B-B9CA-19666171C2BB}" name="valor" totalsRowFunction="sum" dataDxfId="6" totalsRowDxfId="1" dataCellStyle="Moneda [0]"/>
    <tableColumn id="10" xr3:uid="{C55A2D58-E0CE-4EC0-BE9A-D4ADB594A13F}" name="comisión" totalsRowFunction="sum" dataDxfId="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611E-BFC2-4536-BF96-641E99BF9C36}">
  <dimension ref="B3:S54"/>
  <sheetViews>
    <sheetView tabSelected="1" topLeftCell="F9" workbookViewId="0">
      <selection activeCell="Q53" sqref="Q53"/>
    </sheetView>
  </sheetViews>
  <sheetFormatPr baseColWidth="10" defaultRowHeight="15" x14ac:dyDescent="0.25"/>
  <cols>
    <col min="2" max="2" width="3.140625" bestFit="1" customWidth="1"/>
    <col min="3" max="3" width="29.28515625" bestFit="1" customWidth="1"/>
    <col min="5" max="5" width="13.7109375" bestFit="1" customWidth="1"/>
    <col min="6" max="6" width="18" style="2" customWidth="1"/>
    <col min="8" max="8" width="12.85546875" bestFit="1" customWidth="1"/>
    <col min="10" max="10" width="16.5703125" bestFit="1" customWidth="1"/>
    <col min="12" max="12" width="12" style="7" bestFit="1" customWidth="1"/>
    <col min="13" max="13" width="13.5703125" style="7" bestFit="1" customWidth="1"/>
    <col min="14" max="14" width="4.28515625" style="7" customWidth="1"/>
    <col min="17" max="17" width="27.28515625" bestFit="1" customWidth="1"/>
    <col min="18" max="18" width="12" bestFit="1" customWidth="1"/>
  </cols>
  <sheetData>
    <row r="3" spans="2:18" x14ac:dyDescent="0.25">
      <c r="B3" t="s">
        <v>33</v>
      </c>
      <c r="C3" t="s">
        <v>9</v>
      </c>
      <c r="D3" t="s">
        <v>8</v>
      </c>
      <c r="E3" t="s">
        <v>7</v>
      </c>
      <c r="F3" s="2" t="s">
        <v>14</v>
      </c>
      <c r="G3" t="s">
        <v>6</v>
      </c>
      <c r="H3" t="s">
        <v>58</v>
      </c>
      <c r="I3" t="s">
        <v>10</v>
      </c>
      <c r="J3" t="s">
        <v>18</v>
      </c>
      <c r="K3" t="s">
        <v>11</v>
      </c>
      <c r="L3" s="7" t="s">
        <v>72</v>
      </c>
      <c r="M3" s="7" t="s">
        <v>73</v>
      </c>
      <c r="Q3" s="40" t="s">
        <v>93</v>
      </c>
      <c r="R3" s="40"/>
    </row>
    <row r="4" spans="2:18" x14ac:dyDescent="0.25">
      <c r="B4" s="9">
        <v>1</v>
      </c>
      <c r="C4" t="s">
        <v>0</v>
      </c>
      <c r="D4" s="7" t="s">
        <v>5</v>
      </c>
      <c r="E4" s="1">
        <v>20357610</v>
      </c>
      <c r="G4" s="7"/>
      <c r="I4" s="3" t="s">
        <v>12</v>
      </c>
      <c r="J4" t="s">
        <v>31</v>
      </c>
      <c r="K4" s="1">
        <v>600000</v>
      </c>
      <c r="L4" s="12">
        <v>148000</v>
      </c>
      <c r="M4" s="13">
        <f>Tabla1[[#This Row],[valor]]-15000</f>
        <v>133000</v>
      </c>
      <c r="N4" s="13"/>
      <c r="O4">
        <v>1</v>
      </c>
      <c r="Q4" s="17" t="s">
        <v>94</v>
      </c>
      <c r="R4" s="34">
        <v>2200000</v>
      </c>
    </row>
    <row r="5" spans="2:18" x14ac:dyDescent="0.25">
      <c r="B5" s="9">
        <v>2</v>
      </c>
      <c r="C5" t="s">
        <v>20</v>
      </c>
      <c r="D5" s="11" t="s">
        <v>21</v>
      </c>
      <c r="E5" s="1">
        <v>1014900064</v>
      </c>
      <c r="G5" s="7"/>
      <c r="I5" s="3" t="s">
        <v>12</v>
      </c>
      <c r="J5" t="s">
        <v>31</v>
      </c>
      <c r="K5" t="s">
        <v>1</v>
      </c>
      <c r="L5" s="12">
        <v>140000</v>
      </c>
      <c r="M5" s="13">
        <f>Tabla1[[#This Row],[valor]]-15000</f>
        <v>125000</v>
      </c>
      <c r="N5" s="13"/>
      <c r="O5">
        <v>2</v>
      </c>
      <c r="Q5" s="17" t="s">
        <v>87</v>
      </c>
      <c r="R5" s="34">
        <v>2587000</v>
      </c>
    </row>
    <row r="6" spans="2:18" x14ac:dyDescent="0.25">
      <c r="B6" s="9">
        <v>3</v>
      </c>
      <c r="C6" t="s">
        <v>66</v>
      </c>
      <c r="D6" s="7" t="s">
        <v>5</v>
      </c>
      <c r="E6" s="1">
        <v>20358584</v>
      </c>
      <c r="G6" s="7"/>
      <c r="I6" s="3" t="s">
        <v>12</v>
      </c>
      <c r="J6" t="s">
        <v>31</v>
      </c>
      <c r="K6" t="s">
        <v>1</v>
      </c>
      <c r="L6" s="12">
        <v>148000</v>
      </c>
      <c r="M6" s="13">
        <f>Tabla1[[#This Row],[valor]]-15000</f>
        <v>133000</v>
      </c>
      <c r="N6" s="13"/>
      <c r="O6">
        <v>3</v>
      </c>
      <c r="Q6" s="17" t="s">
        <v>88</v>
      </c>
      <c r="R6" s="34">
        <v>47000</v>
      </c>
    </row>
    <row r="7" spans="2:18" ht="15.75" thickBot="1" x14ac:dyDescent="0.3">
      <c r="B7" s="9">
        <v>4</v>
      </c>
      <c r="C7" t="s">
        <v>22</v>
      </c>
      <c r="D7" s="7" t="s">
        <v>5</v>
      </c>
      <c r="E7" s="1">
        <v>51660953</v>
      </c>
      <c r="G7" s="7"/>
      <c r="I7" s="3" t="s">
        <v>12</v>
      </c>
      <c r="J7" t="s">
        <v>31</v>
      </c>
      <c r="K7" t="s">
        <v>1</v>
      </c>
      <c r="L7" s="12">
        <v>148000</v>
      </c>
      <c r="M7" s="13">
        <f>Tabla1[[#This Row],[valor]]-15000</f>
        <v>133000</v>
      </c>
      <c r="N7" s="13"/>
      <c r="O7">
        <v>4</v>
      </c>
      <c r="Q7" s="41" t="s">
        <v>89</v>
      </c>
      <c r="R7" s="42">
        <v>75000</v>
      </c>
    </row>
    <row r="8" spans="2:18" ht="15.75" thickBot="1" x14ac:dyDescent="0.3">
      <c r="B8" s="9">
        <v>5</v>
      </c>
      <c r="C8" t="s">
        <v>23</v>
      </c>
      <c r="D8" s="11" t="s">
        <v>21</v>
      </c>
      <c r="E8" s="1">
        <v>1028876519</v>
      </c>
      <c r="G8" s="7"/>
      <c r="I8" s="3" t="s">
        <v>12</v>
      </c>
      <c r="J8" t="s">
        <v>31</v>
      </c>
      <c r="K8" t="s">
        <v>1</v>
      </c>
      <c r="L8" s="12">
        <v>140000</v>
      </c>
      <c r="M8" s="13">
        <f>Tabla1[[#This Row],[valor]]-15000</f>
        <v>125000</v>
      </c>
      <c r="N8" s="13"/>
      <c r="O8">
        <v>5</v>
      </c>
      <c r="Q8" s="44" t="s">
        <v>90</v>
      </c>
      <c r="R8" s="45">
        <v>85000</v>
      </c>
    </row>
    <row r="9" spans="2:18" ht="15.75" thickBot="1" x14ac:dyDescent="0.3">
      <c r="B9" s="9">
        <v>6</v>
      </c>
      <c r="C9" t="s">
        <v>24</v>
      </c>
      <c r="D9" s="11" t="s">
        <v>21</v>
      </c>
      <c r="E9" s="1">
        <v>98090405110</v>
      </c>
      <c r="G9" s="7"/>
      <c r="I9" s="3" t="s">
        <v>12</v>
      </c>
      <c r="J9" t="s">
        <v>31</v>
      </c>
      <c r="K9" t="s">
        <v>1</v>
      </c>
      <c r="L9" s="12">
        <v>140000</v>
      </c>
      <c r="M9" s="13">
        <f>Tabla1[[#This Row],[valor]]-15000</f>
        <v>125000</v>
      </c>
      <c r="N9" s="13"/>
      <c r="O9">
        <v>6</v>
      </c>
      <c r="Q9" s="46" t="s">
        <v>74</v>
      </c>
      <c r="R9" s="45">
        <f>SUM(R4:R8)</f>
        <v>4994000</v>
      </c>
    </row>
    <row r="10" spans="2:18" ht="15.75" thickBot="1" x14ac:dyDescent="0.3">
      <c r="B10" s="9">
        <v>7</v>
      </c>
      <c r="C10" t="s">
        <v>25</v>
      </c>
      <c r="D10" s="7" t="s">
        <v>5</v>
      </c>
      <c r="E10" s="1">
        <v>39704333</v>
      </c>
      <c r="G10" s="7"/>
      <c r="I10" s="3" t="s">
        <v>12</v>
      </c>
      <c r="J10" t="s">
        <v>31</v>
      </c>
      <c r="K10" t="s">
        <v>1</v>
      </c>
      <c r="L10" s="12">
        <v>148000</v>
      </c>
      <c r="M10" s="13">
        <f>Tabla1[[#This Row],[valor]]-15000</f>
        <v>133000</v>
      </c>
      <c r="N10" s="13"/>
      <c r="O10">
        <v>7</v>
      </c>
      <c r="Q10" s="47" t="s">
        <v>91</v>
      </c>
      <c r="R10" s="45">
        <f>Tabla1[[#Totals],[comisión]]</f>
        <v>5681000</v>
      </c>
    </row>
    <row r="11" spans="2:18" x14ac:dyDescent="0.25">
      <c r="B11" s="9">
        <v>8</v>
      </c>
      <c r="C11" t="s">
        <v>26</v>
      </c>
      <c r="D11" s="7" t="s">
        <v>5</v>
      </c>
      <c r="E11" s="1">
        <v>41517360</v>
      </c>
      <c r="G11" s="7"/>
      <c r="I11" s="3" t="s">
        <v>12</v>
      </c>
      <c r="J11" t="s">
        <v>31</v>
      </c>
      <c r="K11" t="s">
        <v>1</v>
      </c>
      <c r="L11" s="12">
        <v>148000</v>
      </c>
      <c r="M11" s="13">
        <f>Tabla1[[#This Row],[valor]]-15000</f>
        <v>133000</v>
      </c>
      <c r="N11" s="13"/>
      <c r="O11">
        <v>8</v>
      </c>
      <c r="Q11" s="48" t="s">
        <v>92</v>
      </c>
      <c r="R11" s="43">
        <f>R10-R9</f>
        <v>687000</v>
      </c>
    </row>
    <row r="12" spans="2:18" x14ac:dyDescent="0.25">
      <c r="B12" s="9">
        <v>9</v>
      </c>
      <c r="C12" t="s">
        <v>27</v>
      </c>
      <c r="D12" s="7" t="s">
        <v>5</v>
      </c>
      <c r="E12" s="1">
        <v>19199204</v>
      </c>
      <c r="G12" s="7"/>
      <c r="I12" s="3" t="s">
        <v>12</v>
      </c>
      <c r="J12" t="s">
        <v>31</v>
      </c>
      <c r="K12" t="s">
        <v>1</v>
      </c>
      <c r="L12" s="12">
        <v>148000</v>
      </c>
      <c r="M12" s="13">
        <f>Tabla1[[#This Row],[valor]]-15000</f>
        <v>133000</v>
      </c>
      <c r="N12" s="13"/>
      <c r="O12">
        <v>9</v>
      </c>
    </row>
    <row r="13" spans="2:18" x14ac:dyDescent="0.25">
      <c r="B13" s="9">
        <v>10</v>
      </c>
      <c r="C13" t="s">
        <v>28</v>
      </c>
      <c r="D13" s="7" t="s">
        <v>5</v>
      </c>
      <c r="E13" s="1">
        <v>20357616</v>
      </c>
      <c r="G13" s="7"/>
      <c r="I13" s="3" t="s">
        <v>12</v>
      </c>
      <c r="J13" t="s">
        <v>31</v>
      </c>
      <c r="K13" t="s">
        <v>1</v>
      </c>
      <c r="L13" s="12">
        <v>148000</v>
      </c>
      <c r="M13" s="13">
        <f>Tabla1[[#This Row],[valor]]-15000</f>
        <v>133000</v>
      </c>
      <c r="N13" s="13"/>
      <c r="O13">
        <v>10</v>
      </c>
    </row>
    <row r="14" spans="2:18" x14ac:dyDescent="0.25">
      <c r="B14" s="9">
        <v>11</v>
      </c>
      <c r="C14" t="s">
        <v>29</v>
      </c>
      <c r="D14" s="7" t="s">
        <v>5</v>
      </c>
      <c r="E14" s="1">
        <v>79502637</v>
      </c>
      <c r="G14" s="7"/>
      <c r="I14" s="3" t="s">
        <v>12</v>
      </c>
      <c r="J14" t="s">
        <v>31</v>
      </c>
      <c r="K14" t="s">
        <v>1</v>
      </c>
      <c r="L14" s="12">
        <v>148000</v>
      </c>
      <c r="M14" s="13">
        <f>Tabla1[[#This Row],[valor]]-15000</f>
        <v>133000</v>
      </c>
      <c r="N14" s="13"/>
      <c r="O14">
        <v>11</v>
      </c>
    </row>
    <row r="15" spans="2:18" x14ac:dyDescent="0.25">
      <c r="B15" s="9">
        <v>12</v>
      </c>
      <c r="C15" t="s">
        <v>30</v>
      </c>
      <c r="D15" s="7" t="s">
        <v>5</v>
      </c>
      <c r="E15" s="1">
        <v>1027285231</v>
      </c>
      <c r="G15" s="7"/>
      <c r="I15" s="3" t="s">
        <v>12</v>
      </c>
      <c r="J15" t="s">
        <v>31</v>
      </c>
      <c r="K15" t="s">
        <v>1</v>
      </c>
      <c r="L15" s="12">
        <v>148000</v>
      </c>
      <c r="M15" s="13">
        <f>Tabla1[[#This Row],[valor]]-15000</f>
        <v>133000</v>
      </c>
      <c r="N15" s="13"/>
      <c r="O15">
        <v>12</v>
      </c>
    </row>
    <row r="16" spans="2:18" x14ac:dyDescent="0.25">
      <c r="B16" s="9">
        <v>13</v>
      </c>
      <c r="C16" t="s">
        <v>43</v>
      </c>
      <c r="D16" s="11" t="s">
        <v>21</v>
      </c>
      <c r="E16" s="1">
        <v>1019908883</v>
      </c>
      <c r="G16" s="7"/>
      <c r="I16" s="3" t="s">
        <v>12</v>
      </c>
      <c r="J16" t="s">
        <v>31</v>
      </c>
      <c r="L16" s="12">
        <v>140000</v>
      </c>
      <c r="M16" s="13">
        <f>Tabla1[[#This Row],[valor]]-15000</f>
        <v>125000</v>
      </c>
      <c r="N16" s="13"/>
      <c r="O16">
        <v>13</v>
      </c>
    </row>
    <row r="17" spans="2:19" x14ac:dyDescent="0.25">
      <c r="B17" s="9">
        <v>14</v>
      </c>
      <c r="C17" t="s">
        <v>2</v>
      </c>
      <c r="D17" s="11" t="s">
        <v>4</v>
      </c>
      <c r="E17" s="1">
        <v>1072963889</v>
      </c>
      <c r="G17" s="7">
        <v>6</v>
      </c>
      <c r="I17" s="3" t="s">
        <v>12</v>
      </c>
      <c r="J17" t="s">
        <v>46</v>
      </c>
      <c r="L17" s="12">
        <v>140000</v>
      </c>
      <c r="M17" s="13">
        <f>Tabla1[[#This Row],[valor]]-15000</f>
        <v>125000</v>
      </c>
      <c r="N17" s="13"/>
      <c r="O17">
        <v>14</v>
      </c>
    </row>
    <row r="18" spans="2:19" x14ac:dyDescent="0.25">
      <c r="B18" s="9">
        <v>15</v>
      </c>
      <c r="C18" t="s">
        <v>3</v>
      </c>
      <c r="D18" s="7" t="s">
        <v>5</v>
      </c>
      <c r="E18" s="1">
        <v>1010051972</v>
      </c>
      <c r="G18" s="7">
        <v>27</v>
      </c>
      <c r="I18" s="3" t="s">
        <v>12</v>
      </c>
      <c r="J18" t="s">
        <v>46</v>
      </c>
      <c r="L18" s="12">
        <v>148000</v>
      </c>
      <c r="M18" s="13">
        <f>Tabla1[[#This Row],[valor]]-15000</f>
        <v>133000</v>
      </c>
      <c r="N18" s="13"/>
      <c r="O18">
        <v>15</v>
      </c>
    </row>
    <row r="19" spans="2:19" x14ac:dyDescent="0.25">
      <c r="B19" s="9">
        <v>16</v>
      </c>
      <c r="C19" t="s">
        <v>54</v>
      </c>
      <c r="D19" s="7" t="s">
        <v>21</v>
      </c>
      <c r="E19" s="1">
        <v>1072960894</v>
      </c>
      <c r="G19" s="7"/>
      <c r="I19" s="3" t="s">
        <v>12</v>
      </c>
      <c r="J19" t="s">
        <v>46</v>
      </c>
      <c r="L19" s="12">
        <v>140000</v>
      </c>
      <c r="M19" s="13">
        <f>Tabla1[[#This Row],[valor]]-15000</f>
        <v>125000</v>
      </c>
      <c r="N19" s="13"/>
      <c r="O19">
        <v>16</v>
      </c>
      <c r="Q19" s="17" t="s">
        <v>18</v>
      </c>
      <c r="R19" s="17" t="s">
        <v>86</v>
      </c>
      <c r="S19" s="17" t="s">
        <v>74</v>
      </c>
    </row>
    <row r="20" spans="2:19" x14ac:dyDescent="0.25">
      <c r="B20" s="9">
        <v>17</v>
      </c>
      <c r="C20" t="s">
        <v>13</v>
      </c>
      <c r="D20" s="7" t="s">
        <v>5</v>
      </c>
      <c r="E20" s="1">
        <v>1013633198</v>
      </c>
      <c r="F20" s="2">
        <v>33774</v>
      </c>
      <c r="G20" s="7">
        <f>2023-1992</f>
        <v>31</v>
      </c>
      <c r="I20" s="4" t="s">
        <v>35</v>
      </c>
      <c r="J20" t="s">
        <v>19</v>
      </c>
      <c r="K20" s="1">
        <v>50000</v>
      </c>
      <c r="L20" s="12">
        <v>148000</v>
      </c>
      <c r="M20" s="13">
        <f>Tabla1[[#This Row],[valor]]-15000</f>
        <v>133000</v>
      </c>
      <c r="N20" s="13"/>
      <c r="O20">
        <v>17</v>
      </c>
      <c r="Q20" s="17" t="s">
        <v>31</v>
      </c>
      <c r="R20" s="17">
        <f>COUNTIF(Tabla1[COMISIONISTA],"GLORIA")</f>
        <v>15</v>
      </c>
      <c r="S20" s="34">
        <f>R20*15000</f>
        <v>225000</v>
      </c>
    </row>
    <row r="21" spans="2:19" x14ac:dyDescent="0.25">
      <c r="B21" s="9">
        <v>18</v>
      </c>
      <c r="C21" t="s">
        <v>15</v>
      </c>
      <c r="D21" s="7" t="s">
        <v>5</v>
      </c>
      <c r="E21" s="1">
        <v>1072962420</v>
      </c>
      <c r="F21" s="2">
        <v>34566</v>
      </c>
      <c r="G21" s="7">
        <f>2023-1994</f>
        <v>29</v>
      </c>
      <c r="I21" s="4" t="s">
        <v>35</v>
      </c>
      <c r="J21" t="s">
        <v>19</v>
      </c>
      <c r="K21" s="1">
        <v>50000</v>
      </c>
      <c r="L21" s="12">
        <v>148000</v>
      </c>
      <c r="M21" s="13">
        <f>Tabla1[[#This Row],[valor]]-15000</f>
        <v>133000</v>
      </c>
      <c r="N21" s="13"/>
      <c r="O21">
        <v>18</v>
      </c>
      <c r="Q21" s="17" t="s">
        <v>19</v>
      </c>
      <c r="R21" s="17">
        <f>COUNTIF(Tabla1[COMISIONISTA],"EDITH")</f>
        <v>12</v>
      </c>
      <c r="S21" s="34">
        <f t="shared" ref="S21:S24" si="0">R21*15000</f>
        <v>180000</v>
      </c>
    </row>
    <row r="22" spans="2:19" x14ac:dyDescent="0.25">
      <c r="B22" s="9">
        <v>19</v>
      </c>
      <c r="C22" t="s">
        <v>16</v>
      </c>
      <c r="D22" s="11" t="s">
        <v>4</v>
      </c>
      <c r="E22" s="1">
        <v>1195268000</v>
      </c>
      <c r="F22" s="2">
        <v>43961</v>
      </c>
      <c r="G22" s="7">
        <f>2024-2020</f>
        <v>4</v>
      </c>
      <c r="I22" s="4" t="s">
        <v>35</v>
      </c>
      <c r="J22" t="s">
        <v>19</v>
      </c>
      <c r="K22" s="1">
        <v>50000</v>
      </c>
      <c r="L22" s="12">
        <v>140000</v>
      </c>
      <c r="M22" s="13">
        <f>Tabla1[[#This Row],[valor]]-15000</f>
        <v>125000</v>
      </c>
      <c r="N22" s="13"/>
      <c r="O22">
        <v>19</v>
      </c>
      <c r="Q22" s="17" t="s">
        <v>56</v>
      </c>
      <c r="R22" s="17">
        <v>0</v>
      </c>
      <c r="S22" s="34">
        <v>0</v>
      </c>
    </row>
    <row r="23" spans="2:19" x14ac:dyDescent="0.25">
      <c r="B23" s="9">
        <v>20</v>
      </c>
      <c r="C23" t="s">
        <v>17</v>
      </c>
      <c r="D23" s="7" t="s">
        <v>5</v>
      </c>
      <c r="E23" s="1">
        <v>39714585</v>
      </c>
      <c r="F23" s="2">
        <v>22819</v>
      </c>
      <c r="G23" s="10">
        <f>2024-1962</f>
        <v>62</v>
      </c>
      <c r="H23" s="9"/>
      <c r="I23" s="4" t="s">
        <v>35</v>
      </c>
      <c r="J23" t="s">
        <v>19</v>
      </c>
      <c r="K23" s="1">
        <v>50000</v>
      </c>
      <c r="L23" s="12">
        <v>148000</v>
      </c>
      <c r="M23" s="13">
        <f>Tabla1[[#This Row],[valor]]-15000</f>
        <v>133000</v>
      </c>
      <c r="N23" s="13"/>
      <c r="O23">
        <v>20</v>
      </c>
      <c r="Q23" s="17" t="s">
        <v>32</v>
      </c>
      <c r="R23" s="17">
        <f>COUNTIF(Tabla1[COMISIONISTA],"LAD")</f>
        <v>3</v>
      </c>
      <c r="S23" s="34">
        <f t="shared" si="0"/>
        <v>45000</v>
      </c>
    </row>
    <row r="24" spans="2:19" x14ac:dyDescent="0.25">
      <c r="B24" s="9">
        <v>21</v>
      </c>
      <c r="C24" t="s">
        <v>50</v>
      </c>
      <c r="D24" s="7" t="s">
        <v>5</v>
      </c>
      <c r="E24" s="1">
        <v>17045400</v>
      </c>
      <c r="F24" s="2">
        <v>15106</v>
      </c>
      <c r="G24" s="10">
        <f>2024-1941</f>
        <v>83</v>
      </c>
      <c r="H24" s="9"/>
      <c r="I24" s="4" t="s">
        <v>35</v>
      </c>
      <c r="J24" t="s">
        <v>19</v>
      </c>
      <c r="K24" s="1"/>
      <c r="L24" s="12">
        <v>148000</v>
      </c>
      <c r="M24" s="13">
        <f>Tabla1[[#This Row],[valor]]-15000</f>
        <v>133000</v>
      </c>
      <c r="N24" s="13"/>
      <c r="O24">
        <v>21</v>
      </c>
      <c r="Q24" s="17" t="s">
        <v>46</v>
      </c>
      <c r="R24" s="17">
        <f>COUNTIF(Tabla1[COMISIONISTA],"MAFE")</f>
        <v>6</v>
      </c>
      <c r="S24" s="34">
        <f t="shared" si="0"/>
        <v>90000</v>
      </c>
    </row>
    <row r="25" spans="2:19" x14ac:dyDescent="0.25">
      <c r="B25" s="9">
        <v>22</v>
      </c>
      <c r="C25" t="s">
        <v>51</v>
      </c>
      <c r="D25" s="7" t="s">
        <v>5</v>
      </c>
      <c r="E25" s="1">
        <v>20871030</v>
      </c>
      <c r="F25" s="2">
        <v>22387</v>
      </c>
      <c r="G25" s="10">
        <f>2024-1961</f>
        <v>63</v>
      </c>
      <c r="H25" s="9"/>
      <c r="I25" s="4" t="s">
        <v>35</v>
      </c>
      <c r="J25" t="s">
        <v>19</v>
      </c>
      <c r="K25" s="1"/>
      <c r="L25" s="12">
        <v>148000</v>
      </c>
      <c r="M25" s="13">
        <f>Tabla1[[#This Row],[valor]]-15000</f>
        <v>133000</v>
      </c>
      <c r="N25" s="13"/>
      <c r="O25">
        <v>22</v>
      </c>
      <c r="Q25" s="17" t="s">
        <v>74</v>
      </c>
      <c r="R25" s="17">
        <f>SUM(R20:R24)</f>
        <v>36</v>
      </c>
      <c r="S25" s="35">
        <f>SUM(S20:S24)</f>
        <v>540000</v>
      </c>
    </row>
    <row r="26" spans="2:19" x14ac:dyDescent="0.25">
      <c r="B26" s="9">
        <v>23</v>
      </c>
      <c r="C26" t="s">
        <v>52</v>
      </c>
      <c r="D26" s="7" t="s">
        <v>5</v>
      </c>
      <c r="E26" s="1">
        <v>20871360</v>
      </c>
      <c r="F26" s="2">
        <v>23413</v>
      </c>
      <c r="G26" s="10">
        <f>2024-1964</f>
        <v>60</v>
      </c>
      <c r="H26" s="9"/>
      <c r="I26" s="4" t="s">
        <v>35</v>
      </c>
      <c r="J26" t="s">
        <v>19</v>
      </c>
      <c r="K26" s="1"/>
      <c r="L26" s="12">
        <v>148000</v>
      </c>
      <c r="M26" s="13">
        <f>Tabla1[[#This Row],[valor]]-15000</f>
        <v>133000</v>
      </c>
      <c r="N26" s="13"/>
      <c r="O26">
        <v>23</v>
      </c>
    </row>
    <row r="27" spans="2:19" x14ac:dyDescent="0.25">
      <c r="B27" s="9">
        <v>24</v>
      </c>
      <c r="C27" t="s">
        <v>34</v>
      </c>
      <c r="D27" s="7" t="s">
        <v>5</v>
      </c>
      <c r="E27" s="1">
        <v>65739648</v>
      </c>
      <c r="F27" s="2">
        <v>24632</v>
      </c>
      <c r="G27" s="7">
        <f>2024-1967</f>
        <v>57</v>
      </c>
      <c r="I27" s="4" t="s">
        <v>35</v>
      </c>
      <c r="J27" t="s">
        <v>19</v>
      </c>
      <c r="L27" s="12">
        <v>148000</v>
      </c>
      <c r="M27" s="13">
        <f>Tabla1[[#This Row],[valor]]-15000</f>
        <v>133000</v>
      </c>
      <c r="N27" s="13"/>
      <c r="O27">
        <v>24</v>
      </c>
    </row>
    <row r="28" spans="2:19" x14ac:dyDescent="0.25">
      <c r="B28" s="9">
        <v>25</v>
      </c>
      <c r="C28" t="s">
        <v>53</v>
      </c>
      <c r="D28" s="11" t="s">
        <v>21</v>
      </c>
      <c r="E28" s="1">
        <v>1073630290</v>
      </c>
      <c r="F28" s="2">
        <v>42230</v>
      </c>
      <c r="G28" s="7">
        <v>8</v>
      </c>
      <c r="I28" s="4" t="s">
        <v>35</v>
      </c>
      <c r="J28" t="s">
        <v>19</v>
      </c>
      <c r="L28" s="12">
        <v>140000</v>
      </c>
      <c r="M28" s="13">
        <f>Tabla1[[#This Row],[valor]]-15000</f>
        <v>125000</v>
      </c>
      <c r="N28" s="13"/>
      <c r="O28">
        <v>25</v>
      </c>
    </row>
    <row r="29" spans="2:19" x14ac:dyDescent="0.25">
      <c r="B29" s="9">
        <v>26</v>
      </c>
      <c r="C29" t="s">
        <v>36</v>
      </c>
      <c r="D29" s="11" t="s">
        <v>21</v>
      </c>
      <c r="E29" s="1">
        <v>1073630175</v>
      </c>
      <c r="F29" s="2">
        <v>42020</v>
      </c>
      <c r="G29" s="7">
        <v>9</v>
      </c>
      <c r="I29" s="4" t="s">
        <v>35</v>
      </c>
      <c r="J29" t="s">
        <v>19</v>
      </c>
      <c r="L29" s="12">
        <v>140000</v>
      </c>
      <c r="M29" s="13">
        <f>Tabla1[[#This Row],[valor]]-15000</f>
        <v>125000</v>
      </c>
      <c r="N29" s="13"/>
      <c r="O29">
        <v>26</v>
      </c>
    </row>
    <row r="30" spans="2:19" s="4" customFormat="1" x14ac:dyDescent="0.25">
      <c r="B30" s="4">
        <v>27</v>
      </c>
      <c r="C30" s="4" t="s">
        <v>57</v>
      </c>
      <c r="D30" s="29" t="s">
        <v>5</v>
      </c>
      <c r="E30" s="39">
        <v>21013371</v>
      </c>
      <c r="F30" s="36"/>
      <c r="G30" s="29">
        <v>68</v>
      </c>
      <c r="H30" s="4" t="s">
        <v>59</v>
      </c>
      <c r="I30" s="4" t="s">
        <v>42</v>
      </c>
      <c r="J30" s="4" t="s">
        <v>56</v>
      </c>
      <c r="L30" s="37">
        <v>148000</v>
      </c>
      <c r="M30" s="38">
        <f>Tabla1[[#This Row],[valor]]</f>
        <v>148000</v>
      </c>
      <c r="N30" s="38"/>
    </row>
    <row r="31" spans="2:19" s="4" customFormat="1" x14ac:dyDescent="0.25">
      <c r="B31" s="4">
        <v>28</v>
      </c>
      <c r="C31" s="4" t="s">
        <v>60</v>
      </c>
      <c r="D31" s="29" t="s">
        <v>5</v>
      </c>
      <c r="E31" s="39">
        <v>41681426</v>
      </c>
      <c r="F31" s="36"/>
      <c r="G31" s="29" t="s">
        <v>75</v>
      </c>
      <c r="H31" s="4" t="s">
        <v>61</v>
      </c>
      <c r="I31" s="4" t="s">
        <v>42</v>
      </c>
      <c r="J31" s="4" t="s">
        <v>56</v>
      </c>
      <c r="L31" s="37">
        <v>148000</v>
      </c>
      <c r="M31" s="38">
        <f>Tabla1[[#This Row],[valor]]</f>
        <v>148000</v>
      </c>
      <c r="N31" s="38"/>
    </row>
    <row r="32" spans="2:19" s="4" customFormat="1" x14ac:dyDescent="0.25">
      <c r="B32" s="4">
        <v>29</v>
      </c>
      <c r="C32" s="4" t="s">
        <v>69</v>
      </c>
      <c r="D32" s="29" t="s">
        <v>5</v>
      </c>
      <c r="E32" s="39">
        <v>4211176</v>
      </c>
      <c r="F32" s="36"/>
      <c r="G32" s="29"/>
      <c r="I32" s="4" t="s">
        <v>42</v>
      </c>
      <c r="J32" s="4" t="s">
        <v>56</v>
      </c>
      <c r="L32" s="37">
        <v>148000</v>
      </c>
      <c r="M32" s="38">
        <f>Tabla1[[#This Row],[valor]]</f>
        <v>148000</v>
      </c>
      <c r="N32" s="38"/>
    </row>
    <row r="33" spans="2:15" s="4" customFormat="1" x14ac:dyDescent="0.25">
      <c r="B33" s="4">
        <v>30</v>
      </c>
      <c r="C33" s="4" t="s">
        <v>62</v>
      </c>
      <c r="D33" s="29" t="s">
        <v>5</v>
      </c>
      <c r="E33" s="39">
        <v>21013470</v>
      </c>
      <c r="F33" s="36"/>
      <c r="G33" s="29">
        <v>69</v>
      </c>
      <c r="I33" s="4" t="s">
        <v>42</v>
      </c>
      <c r="J33" s="4" t="s">
        <v>56</v>
      </c>
      <c r="L33" s="37">
        <v>148000</v>
      </c>
      <c r="M33" s="38">
        <f>Tabla1[[#This Row],[valor]]</f>
        <v>148000</v>
      </c>
      <c r="N33" s="38"/>
    </row>
    <row r="34" spans="2:15" s="4" customFormat="1" x14ac:dyDescent="0.25">
      <c r="B34" s="4">
        <v>31</v>
      </c>
      <c r="C34" s="4" t="s">
        <v>63</v>
      </c>
      <c r="D34" s="29" t="s">
        <v>5</v>
      </c>
      <c r="E34" s="39">
        <v>21007814</v>
      </c>
      <c r="F34" s="36"/>
      <c r="G34" s="29">
        <v>88</v>
      </c>
      <c r="H34" s="4" t="s">
        <v>64</v>
      </c>
      <c r="I34" s="4" t="s">
        <v>42</v>
      </c>
      <c r="J34" s="4" t="s">
        <v>56</v>
      </c>
      <c r="L34" s="37">
        <v>148000</v>
      </c>
      <c r="M34" s="38">
        <f>Tabla1[[#This Row],[valor]]</f>
        <v>148000</v>
      </c>
      <c r="N34" s="38"/>
    </row>
    <row r="35" spans="2:15" s="4" customFormat="1" x14ac:dyDescent="0.25">
      <c r="B35" s="4">
        <v>32</v>
      </c>
      <c r="C35" s="4" t="s">
        <v>70</v>
      </c>
      <c r="D35" s="29" t="s">
        <v>5</v>
      </c>
      <c r="E35" s="39">
        <v>1075629194</v>
      </c>
      <c r="F35" s="36"/>
      <c r="G35" s="29">
        <v>27</v>
      </c>
      <c r="I35" s="4" t="s">
        <v>42</v>
      </c>
      <c r="J35" s="4" t="s">
        <v>56</v>
      </c>
      <c r="L35" s="37">
        <v>148000</v>
      </c>
      <c r="M35" s="38">
        <f>Tabla1[[#This Row],[valor]]</f>
        <v>148000</v>
      </c>
      <c r="N35" s="38"/>
    </row>
    <row r="36" spans="2:15" s="4" customFormat="1" x14ac:dyDescent="0.25">
      <c r="B36" s="4">
        <v>33</v>
      </c>
      <c r="C36" s="4" t="s">
        <v>65</v>
      </c>
      <c r="D36" s="29" t="s">
        <v>5</v>
      </c>
      <c r="E36" s="39">
        <v>21012039</v>
      </c>
      <c r="F36" s="36"/>
      <c r="G36" s="29">
        <v>73</v>
      </c>
      <c r="H36" s="4" t="s">
        <v>71</v>
      </c>
      <c r="I36" s="4" t="s">
        <v>42</v>
      </c>
      <c r="L36" s="37">
        <v>0</v>
      </c>
      <c r="M36" s="38">
        <v>0</v>
      </c>
      <c r="N36" s="38"/>
    </row>
    <row r="37" spans="2:15" x14ac:dyDescent="0.25">
      <c r="B37" s="9">
        <v>34</v>
      </c>
      <c r="C37" t="s">
        <v>67</v>
      </c>
      <c r="D37" s="7" t="s">
        <v>5</v>
      </c>
      <c r="E37" s="1">
        <v>1000227821</v>
      </c>
      <c r="F37" s="2">
        <v>37064</v>
      </c>
      <c r="G37" s="7">
        <v>23</v>
      </c>
      <c r="H37" t="s">
        <v>76</v>
      </c>
      <c r="I37" s="4" t="s">
        <v>35</v>
      </c>
      <c r="J37" t="s">
        <v>32</v>
      </c>
      <c r="L37" s="12">
        <v>148000</v>
      </c>
      <c r="M37" s="13">
        <f>Tabla1[[#This Row],[valor]]-15000</f>
        <v>133000</v>
      </c>
      <c r="N37" s="13"/>
      <c r="O37">
        <v>27</v>
      </c>
    </row>
    <row r="38" spans="2:15" x14ac:dyDescent="0.25">
      <c r="B38" s="9">
        <v>35</v>
      </c>
      <c r="C38" t="s">
        <v>68</v>
      </c>
      <c r="D38" s="7" t="s">
        <v>5</v>
      </c>
      <c r="E38" s="1">
        <v>1007101361</v>
      </c>
      <c r="F38" s="2">
        <v>36570</v>
      </c>
      <c r="G38" s="7">
        <v>24</v>
      </c>
      <c r="H38">
        <v>3248718790</v>
      </c>
      <c r="I38" s="4" t="s">
        <v>35</v>
      </c>
      <c r="J38" t="s">
        <v>32</v>
      </c>
      <c r="L38" s="12">
        <v>148000</v>
      </c>
      <c r="M38" s="13">
        <f>Tabla1[[#This Row],[valor]]-15000</f>
        <v>133000</v>
      </c>
      <c r="N38" s="13"/>
      <c r="O38">
        <v>28</v>
      </c>
    </row>
    <row r="39" spans="2:15" s="4" customFormat="1" x14ac:dyDescent="0.25">
      <c r="B39" s="4">
        <v>36</v>
      </c>
      <c r="C39" s="4" t="s">
        <v>37</v>
      </c>
      <c r="D39" s="29"/>
      <c r="E39" s="39"/>
      <c r="F39" s="36"/>
      <c r="G39" s="29"/>
      <c r="J39" s="4" t="s">
        <v>49</v>
      </c>
      <c r="L39" s="37">
        <v>0</v>
      </c>
      <c r="M39" s="29">
        <v>0</v>
      </c>
      <c r="N39" s="29"/>
    </row>
    <row r="40" spans="2:15" s="4" customFormat="1" x14ac:dyDescent="0.25">
      <c r="B40" s="4">
        <v>37</v>
      </c>
      <c r="C40" s="4" t="s">
        <v>40</v>
      </c>
      <c r="D40" s="29" t="s">
        <v>5</v>
      </c>
      <c r="E40" s="39">
        <v>79656808</v>
      </c>
      <c r="F40" s="36">
        <v>27034</v>
      </c>
      <c r="G40" s="29">
        <f>2024-1974</f>
        <v>50</v>
      </c>
      <c r="I40" s="4" t="s">
        <v>42</v>
      </c>
      <c r="J40" s="4" t="s">
        <v>49</v>
      </c>
      <c r="L40" s="37">
        <v>0</v>
      </c>
      <c r="M40" s="29">
        <v>0</v>
      </c>
      <c r="N40" s="29"/>
    </row>
    <row r="41" spans="2:15" s="4" customFormat="1" x14ac:dyDescent="0.25">
      <c r="B41" s="4">
        <v>38</v>
      </c>
      <c r="C41" s="4" t="s">
        <v>45</v>
      </c>
      <c r="D41" s="29" t="s">
        <v>5</v>
      </c>
      <c r="E41" s="39">
        <v>1075628177</v>
      </c>
      <c r="F41" s="36">
        <v>34519</v>
      </c>
      <c r="G41" s="29">
        <f>2023-1994</f>
        <v>29</v>
      </c>
      <c r="I41" s="4" t="s">
        <v>42</v>
      </c>
      <c r="J41" s="4" t="s">
        <v>49</v>
      </c>
      <c r="L41" s="37">
        <v>0</v>
      </c>
      <c r="M41" s="29">
        <v>0</v>
      </c>
      <c r="N41" s="29"/>
    </row>
    <row r="42" spans="2:15" s="4" customFormat="1" x14ac:dyDescent="0.25">
      <c r="B42" s="4">
        <v>39</v>
      </c>
      <c r="C42" s="4" t="s">
        <v>41</v>
      </c>
      <c r="D42" s="29" t="s">
        <v>21</v>
      </c>
      <c r="E42" s="39">
        <v>1014877742</v>
      </c>
      <c r="F42" s="36">
        <v>40522</v>
      </c>
      <c r="G42" s="29">
        <f>2023-2010</f>
        <v>13</v>
      </c>
      <c r="I42" s="4" t="s">
        <v>42</v>
      </c>
      <c r="J42" s="4" t="s">
        <v>49</v>
      </c>
      <c r="L42" s="37">
        <v>0</v>
      </c>
      <c r="M42" s="29">
        <v>0</v>
      </c>
      <c r="N42" s="29"/>
    </row>
    <row r="43" spans="2:15" x14ac:dyDescent="0.25">
      <c r="B43" s="4">
        <v>40</v>
      </c>
      <c r="C43" t="s">
        <v>44</v>
      </c>
      <c r="D43" s="7" t="s">
        <v>5</v>
      </c>
      <c r="E43" s="1">
        <v>2950955</v>
      </c>
      <c r="G43" s="7"/>
      <c r="I43" s="5" t="s">
        <v>42</v>
      </c>
      <c r="J43" t="s">
        <v>31</v>
      </c>
      <c r="L43" s="12">
        <v>148000</v>
      </c>
      <c r="M43" s="13">
        <f>Tabla1[[#This Row],[valor]]-15000</f>
        <v>133000</v>
      </c>
      <c r="N43" s="13"/>
      <c r="O43">
        <v>29</v>
      </c>
    </row>
    <row r="44" spans="2:15" x14ac:dyDescent="0.25">
      <c r="B44" s="4">
        <v>41</v>
      </c>
      <c r="C44" t="s">
        <v>55</v>
      </c>
      <c r="D44" s="7" t="s">
        <v>5</v>
      </c>
      <c r="E44" s="1">
        <v>20358624</v>
      </c>
      <c r="G44" s="7"/>
      <c r="I44" s="5" t="s">
        <v>42</v>
      </c>
      <c r="J44" t="s">
        <v>31</v>
      </c>
      <c r="L44" s="12">
        <v>148000</v>
      </c>
      <c r="M44" s="13">
        <f>Tabla1[[#This Row],[valor]]-15000</f>
        <v>133000</v>
      </c>
      <c r="N44" s="13"/>
      <c r="O44">
        <v>30</v>
      </c>
    </row>
    <row r="45" spans="2:15" x14ac:dyDescent="0.25">
      <c r="B45" s="4">
        <v>42</v>
      </c>
      <c r="C45" t="s">
        <v>48</v>
      </c>
      <c r="D45" s="7" t="s">
        <v>5</v>
      </c>
      <c r="E45" s="1">
        <v>20871810</v>
      </c>
      <c r="F45" s="6" t="s">
        <v>77</v>
      </c>
      <c r="G45" s="7"/>
      <c r="I45" s="4" t="s">
        <v>35</v>
      </c>
      <c r="J45" t="s">
        <v>32</v>
      </c>
      <c r="L45" s="12">
        <v>148000</v>
      </c>
      <c r="M45" s="13">
        <f>Tabla1[[#This Row],[valor]]-15000</f>
        <v>133000</v>
      </c>
      <c r="N45" s="13"/>
      <c r="O45">
        <v>31</v>
      </c>
    </row>
    <row r="46" spans="2:15" x14ac:dyDescent="0.25">
      <c r="B46" s="4">
        <v>43</v>
      </c>
      <c r="C46" t="s">
        <v>80</v>
      </c>
      <c r="D46" s="7" t="s">
        <v>21</v>
      </c>
      <c r="E46" s="8">
        <v>1070613331</v>
      </c>
      <c r="G46" s="7"/>
      <c r="I46" s="11" t="s">
        <v>42</v>
      </c>
      <c r="J46" t="s">
        <v>46</v>
      </c>
      <c r="L46" s="12">
        <v>148000</v>
      </c>
      <c r="M46" s="13">
        <f>Tabla1[[#This Row],[valor]]-15000</f>
        <v>133000</v>
      </c>
      <c r="N46" s="13"/>
      <c r="O46">
        <v>32</v>
      </c>
    </row>
    <row r="47" spans="2:15" x14ac:dyDescent="0.25">
      <c r="B47" s="4">
        <v>44</v>
      </c>
      <c r="C47" t="s">
        <v>81</v>
      </c>
      <c r="D47" s="7" t="s">
        <v>5</v>
      </c>
      <c r="E47" s="8">
        <v>21016823</v>
      </c>
      <c r="G47" s="7"/>
      <c r="I47" s="11" t="s">
        <v>42</v>
      </c>
      <c r="J47" t="s">
        <v>46</v>
      </c>
      <c r="L47" s="12">
        <v>148000</v>
      </c>
      <c r="M47" s="13">
        <f>Tabla1[[#This Row],[valor]]-15000</f>
        <v>133000</v>
      </c>
      <c r="N47" s="13"/>
      <c r="O47">
        <v>33</v>
      </c>
    </row>
    <row r="48" spans="2:15" s="4" customFormat="1" x14ac:dyDescent="0.25">
      <c r="B48" s="4">
        <v>45</v>
      </c>
      <c r="C48" s="4" t="s">
        <v>82</v>
      </c>
      <c r="D48" s="29" t="s">
        <v>5</v>
      </c>
      <c r="E48" s="29">
        <v>11303143</v>
      </c>
      <c r="F48" s="36"/>
      <c r="G48" s="29"/>
      <c r="I48" s="29" t="s">
        <v>42</v>
      </c>
      <c r="L48" s="37">
        <v>60000</v>
      </c>
      <c r="M48" s="38">
        <v>60000</v>
      </c>
      <c r="N48" s="38"/>
    </row>
    <row r="49" spans="2:15" s="4" customFormat="1" x14ac:dyDescent="0.25">
      <c r="C49" s="4" t="s">
        <v>83</v>
      </c>
      <c r="D49" s="29" t="s">
        <v>4</v>
      </c>
      <c r="E49" s="29">
        <v>1073630853</v>
      </c>
      <c r="F49" s="36">
        <v>44384</v>
      </c>
      <c r="G49" s="29"/>
      <c r="I49" s="29" t="s">
        <v>35</v>
      </c>
      <c r="L49" s="37">
        <v>25000</v>
      </c>
      <c r="M49" s="38">
        <v>25000</v>
      </c>
      <c r="N49" s="38"/>
    </row>
    <row r="50" spans="2:15" x14ac:dyDescent="0.25">
      <c r="B50" s="9">
        <v>46</v>
      </c>
      <c r="C50" t="s">
        <v>84</v>
      </c>
      <c r="D50" s="7" t="s">
        <v>21</v>
      </c>
      <c r="E50" s="7">
        <v>1222204996</v>
      </c>
      <c r="F50" s="2">
        <v>41464</v>
      </c>
      <c r="G50" s="7"/>
      <c r="I50" s="29" t="s">
        <v>35</v>
      </c>
      <c r="J50" t="s">
        <v>19</v>
      </c>
      <c r="L50" s="12">
        <v>140000</v>
      </c>
      <c r="M50" s="13">
        <f>Tabla1[[#This Row],[valor]]-15000</f>
        <v>125000</v>
      </c>
      <c r="N50" s="13"/>
      <c r="O50">
        <v>34</v>
      </c>
    </row>
    <row r="51" spans="2:15" x14ac:dyDescent="0.25">
      <c r="B51" s="9"/>
      <c r="C51" t="s">
        <v>95</v>
      </c>
      <c r="D51" s="7" t="s">
        <v>96</v>
      </c>
      <c r="E51" s="7"/>
      <c r="G51" s="7"/>
      <c r="I51" s="29" t="s">
        <v>42</v>
      </c>
      <c r="J51" t="s">
        <v>46</v>
      </c>
      <c r="L51" s="12">
        <v>148000</v>
      </c>
      <c r="M51" s="13">
        <f>Tabla1[[#This Row],[valor]]-15000</f>
        <v>133000</v>
      </c>
      <c r="N51" s="13"/>
    </row>
    <row r="52" spans="2:15" x14ac:dyDescent="0.25">
      <c r="B52" s="9">
        <v>47</v>
      </c>
      <c r="C52" t="s">
        <v>85</v>
      </c>
      <c r="D52" s="7" t="s">
        <v>5</v>
      </c>
      <c r="E52" s="7">
        <v>1070593550</v>
      </c>
      <c r="F52" s="2">
        <v>32391</v>
      </c>
      <c r="G52" s="7"/>
      <c r="I52" s="29" t="s">
        <v>35</v>
      </c>
      <c r="J52" t="s">
        <v>19</v>
      </c>
      <c r="L52" s="12">
        <v>148000</v>
      </c>
      <c r="M52" s="13">
        <f>Tabla1[[#This Row],[valor]]-15000</f>
        <v>133000</v>
      </c>
      <c r="N52" s="13"/>
      <c r="O52">
        <v>35</v>
      </c>
    </row>
    <row r="53" spans="2:15" x14ac:dyDescent="0.25">
      <c r="D53" s="7"/>
      <c r="G53" s="7"/>
      <c r="L53" s="13">
        <f>SUBTOTAL(109,Tabla1[valor])</f>
        <v>6221000</v>
      </c>
      <c r="M53" s="13">
        <f>SUBTOTAL(109,Tabla1[comisión])</f>
        <v>5681000</v>
      </c>
      <c r="N53" s="13"/>
    </row>
    <row r="54" spans="2:15" x14ac:dyDescent="0.25">
      <c r="M54" s="13">
        <f>Tabla1[[#Totals],[comisión]]+S25</f>
        <v>6221000</v>
      </c>
      <c r="N54" s="13"/>
    </row>
  </sheetData>
  <mergeCells count="1">
    <mergeCell ref="Q3:R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8010-4BBF-4600-8254-1C5CC81F66A6}">
  <dimension ref="B2:J52"/>
  <sheetViews>
    <sheetView workbookViewId="0">
      <selection activeCell="I8" sqref="I8:J10"/>
    </sheetView>
  </sheetViews>
  <sheetFormatPr baseColWidth="10" defaultRowHeight="15" x14ac:dyDescent="0.25"/>
  <cols>
    <col min="2" max="2" width="3.140625" bestFit="1" customWidth="1"/>
    <col min="3" max="3" width="33.5703125" bestFit="1" customWidth="1"/>
    <col min="4" max="4" width="3.85546875" style="7" bestFit="1" customWidth="1"/>
    <col min="5" max="5" width="16.5703125" style="7" customWidth="1"/>
    <col min="6" max="6" width="11.140625" style="7" bestFit="1" customWidth="1"/>
    <col min="7" max="7" width="14.7109375" style="7" customWidth="1"/>
    <col min="10" max="10" width="11.85546875" bestFit="1" customWidth="1"/>
  </cols>
  <sheetData>
    <row r="2" spans="2:10" s="21" customFormat="1" x14ac:dyDescent="0.25">
      <c r="B2" s="14" t="s">
        <v>33</v>
      </c>
      <c r="C2" s="14" t="s">
        <v>9</v>
      </c>
      <c r="D2" s="14" t="s">
        <v>8</v>
      </c>
      <c r="E2" s="14" t="s">
        <v>7</v>
      </c>
      <c r="F2" s="14" t="s">
        <v>10</v>
      </c>
      <c r="G2" s="14" t="s">
        <v>18</v>
      </c>
    </row>
    <row r="3" spans="2:10" x14ac:dyDescent="0.25">
      <c r="B3" s="17">
        <v>1</v>
      </c>
      <c r="C3" s="17" t="s">
        <v>0</v>
      </c>
      <c r="D3" s="15" t="s">
        <v>5</v>
      </c>
      <c r="E3" s="16">
        <v>20357610</v>
      </c>
      <c r="F3" s="18" t="s">
        <v>12</v>
      </c>
      <c r="G3" s="15" t="s">
        <v>31</v>
      </c>
      <c r="I3" s="17">
        <f>COUNTIF(F3:F46,"ANAPOIMA")</f>
        <v>18</v>
      </c>
      <c r="J3" s="23" t="s">
        <v>12</v>
      </c>
    </row>
    <row r="4" spans="2:10" x14ac:dyDescent="0.25">
      <c r="B4" s="17">
        <v>2</v>
      </c>
      <c r="C4" s="27" t="s">
        <v>20</v>
      </c>
      <c r="D4" s="28" t="s">
        <v>21</v>
      </c>
      <c r="E4" s="16">
        <v>1014900064</v>
      </c>
      <c r="F4" s="18" t="s">
        <v>12</v>
      </c>
      <c r="G4" s="15" t="s">
        <v>31</v>
      </c>
      <c r="I4" s="17">
        <f>COUNTIF(F3:F46,"APULO")</f>
        <v>16</v>
      </c>
      <c r="J4" s="22" t="s">
        <v>35</v>
      </c>
    </row>
    <row r="5" spans="2:10" x14ac:dyDescent="0.25">
      <c r="B5" s="17">
        <v>3</v>
      </c>
      <c r="C5" s="17" t="s">
        <v>66</v>
      </c>
      <c r="D5" s="15" t="s">
        <v>5</v>
      </c>
      <c r="E5" s="16">
        <v>20358584</v>
      </c>
      <c r="F5" s="18" t="s">
        <v>12</v>
      </c>
      <c r="G5" s="15" t="s">
        <v>31</v>
      </c>
      <c r="I5" s="17">
        <f>COUNTIF(F3:F46,"TOCAIMA")</f>
        <v>10</v>
      </c>
      <c r="J5" s="24" t="s">
        <v>42</v>
      </c>
    </row>
    <row r="6" spans="2:10" x14ac:dyDescent="0.25">
      <c r="B6" s="17">
        <v>4</v>
      </c>
      <c r="C6" s="17" t="s">
        <v>22</v>
      </c>
      <c r="D6" s="15" t="s">
        <v>5</v>
      </c>
      <c r="E6" s="16">
        <v>51660953</v>
      </c>
      <c r="F6" s="18" t="s">
        <v>12</v>
      </c>
      <c r="G6" s="15" t="s">
        <v>31</v>
      </c>
      <c r="I6" s="17">
        <f>SUM(I3:I5)</f>
        <v>44</v>
      </c>
      <c r="J6" s="17" t="s">
        <v>74</v>
      </c>
    </row>
    <row r="7" spans="2:10" x14ac:dyDescent="0.25">
      <c r="B7" s="17">
        <v>5</v>
      </c>
      <c r="C7" s="27" t="s">
        <v>23</v>
      </c>
      <c r="D7" s="28" t="s">
        <v>21</v>
      </c>
      <c r="E7" s="16">
        <v>1028876519</v>
      </c>
      <c r="F7" s="18" t="s">
        <v>12</v>
      </c>
      <c r="G7" s="15" t="s">
        <v>31</v>
      </c>
    </row>
    <row r="8" spans="2:10" x14ac:dyDescent="0.25">
      <c r="B8" s="17">
        <v>6</v>
      </c>
      <c r="C8" s="27" t="s">
        <v>24</v>
      </c>
      <c r="D8" s="28" t="s">
        <v>21</v>
      </c>
      <c r="E8" s="16">
        <v>98090405110</v>
      </c>
      <c r="F8" s="18" t="s">
        <v>12</v>
      </c>
      <c r="G8" s="15" t="s">
        <v>31</v>
      </c>
      <c r="I8" s="17">
        <v>8</v>
      </c>
      <c r="J8" s="27" t="s">
        <v>78</v>
      </c>
    </row>
    <row r="9" spans="2:10" x14ac:dyDescent="0.25">
      <c r="B9" s="17">
        <v>7</v>
      </c>
      <c r="C9" s="17" t="s">
        <v>25</v>
      </c>
      <c r="D9" s="15" t="s">
        <v>5</v>
      </c>
      <c r="E9" s="16">
        <v>39704333</v>
      </c>
      <c r="F9" s="18" t="s">
        <v>12</v>
      </c>
      <c r="G9" s="15" t="s">
        <v>31</v>
      </c>
      <c r="I9" s="17">
        <v>8</v>
      </c>
      <c r="J9" s="25" t="s">
        <v>79</v>
      </c>
    </row>
    <row r="10" spans="2:10" x14ac:dyDescent="0.25">
      <c r="B10" s="17">
        <v>8</v>
      </c>
      <c r="C10" s="17" t="s">
        <v>26</v>
      </c>
      <c r="D10" s="15" t="s">
        <v>5</v>
      </c>
      <c r="E10" s="16">
        <v>41517360</v>
      </c>
      <c r="F10" s="18" t="s">
        <v>12</v>
      </c>
      <c r="G10" s="15" t="s">
        <v>31</v>
      </c>
      <c r="I10" s="17">
        <f>SUM(I8:I9)</f>
        <v>16</v>
      </c>
      <c r="J10" s="17" t="s">
        <v>74</v>
      </c>
    </row>
    <row r="11" spans="2:10" x14ac:dyDescent="0.25">
      <c r="B11" s="17">
        <v>9</v>
      </c>
      <c r="C11" s="17" t="s">
        <v>27</v>
      </c>
      <c r="D11" s="15" t="s">
        <v>5</v>
      </c>
      <c r="E11" s="16">
        <v>19199204</v>
      </c>
      <c r="F11" s="18" t="s">
        <v>12</v>
      </c>
      <c r="G11" s="15" t="s">
        <v>31</v>
      </c>
    </row>
    <row r="12" spans="2:10" x14ac:dyDescent="0.25">
      <c r="B12" s="17">
        <v>10</v>
      </c>
      <c r="C12" s="17" t="s">
        <v>28</v>
      </c>
      <c r="D12" s="15" t="s">
        <v>5</v>
      </c>
      <c r="E12" s="16">
        <v>20357616</v>
      </c>
      <c r="F12" s="18" t="s">
        <v>12</v>
      </c>
      <c r="G12" s="15" t="s">
        <v>31</v>
      </c>
    </row>
    <row r="13" spans="2:10" x14ac:dyDescent="0.25">
      <c r="B13" s="17">
        <v>11</v>
      </c>
      <c r="C13" s="17" t="s">
        <v>29</v>
      </c>
      <c r="D13" s="15" t="s">
        <v>5</v>
      </c>
      <c r="E13" s="16">
        <v>79502637</v>
      </c>
      <c r="F13" s="18" t="s">
        <v>12</v>
      </c>
      <c r="G13" s="15" t="s">
        <v>31</v>
      </c>
    </row>
    <row r="14" spans="2:10" x14ac:dyDescent="0.25">
      <c r="B14" s="17">
        <v>12</v>
      </c>
      <c r="C14" s="17" t="s">
        <v>30</v>
      </c>
      <c r="D14" s="15" t="s">
        <v>5</v>
      </c>
      <c r="E14" s="16">
        <v>1027285231</v>
      </c>
      <c r="F14" s="18" t="s">
        <v>12</v>
      </c>
      <c r="G14" s="15" t="s">
        <v>31</v>
      </c>
    </row>
    <row r="15" spans="2:10" x14ac:dyDescent="0.25">
      <c r="B15" s="17">
        <v>13</v>
      </c>
      <c r="C15" s="27" t="s">
        <v>43</v>
      </c>
      <c r="D15" s="28" t="s">
        <v>21</v>
      </c>
      <c r="E15" s="16">
        <v>1019908883</v>
      </c>
      <c r="F15" s="18" t="s">
        <v>12</v>
      </c>
      <c r="G15" s="15" t="s">
        <v>31</v>
      </c>
    </row>
    <row r="16" spans="2:10" x14ac:dyDescent="0.25">
      <c r="B16" s="17">
        <v>14</v>
      </c>
      <c r="C16" s="27" t="s">
        <v>2</v>
      </c>
      <c r="D16" s="28" t="s">
        <v>4</v>
      </c>
      <c r="E16" s="16">
        <v>1072963889</v>
      </c>
      <c r="F16" s="18" t="s">
        <v>12</v>
      </c>
      <c r="G16" s="15" t="s">
        <v>46</v>
      </c>
    </row>
    <row r="17" spans="2:7" x14ac:dyDescent="0.25">
      <c r="B17" s="17">
        <v>15</v>
      </c>
      <c r="C17" s="17" t="s">
        <v>3</v>
      </c>
      <c r="D17" s="15" t="s">
        <v>5</v>
      </c>
      <c r="E17" s="16">
        <v>1010051972</v>
      </c>
      <c r="F17" s="18" t="s">
        <v>12</v>
      </c>
      <c r="G17" s="15" t="s">
        <v>47</v>
      </c>
    </row>
    <row r="18" spans="2:7" x14ac:dyDescent="0.25">
      <c r="B18" s="17">
        <v>16</v>
      </c>
      <c r="C18" s="17" t="s">
        <v>54</v>
      </c>
      <c r="D18" s="15" t="s">
        <v>21</v>
      </c>
      <c r="E18" s="16">
        <v>1072960894</v>
      </c>
      <c r="F18" s="18" t="s">
        <v>12</v>
      </c>
      <c r="G18" s="15" t="s">
        <v>46</v>
      </c>
    </row>
    <row r="19" spans="2:7" x14ac:dyDescent="0.25">
      <c r="B19" s="17">
        <v>17</v>
      </c>
      <c r="C19" s="17" t="s">
        <v>13</v>
      </c>
      <c r="D19" s="15" t="s">
        <v>5</v>
      </c>
      <c r="E19" s="16">
        <v>1013633198</v>
      </c>
      <c r="F19" s="19" t="s">
        <v>35</v>
      </c>
      <c r="G19" s="15" t="s">
        <v>19</v>
      </c>
    </row>
    <row r="20" spans="2:7" x14ac:dyDescent="0.25">
      <c r="B20" s="17">
        <v>18</v>
      </c>
      <c r="C20" s="17" t="s">
        <v>15</v>
      </c>
      <c r="D20" s="15" t="s">
        <v>5</v>
      </c>
      <c r="E20" s="16">
        <v>1072962420</v>
      </c>
      <c r="F20" s="19" t="s">
        <v>35</v>
      </c>
      <c r="G20" s="15" t="s">
        <v>19</v>
      </c>
    </row>
    <row r="21" spans="2:7" x14ac:dyDescent="0.25">
      <c r="B21" s="17">
        <v>19</v>
      </c>
      <c r="C21" s="27" t="s">
        <v>16</v>
      </c>
      <c r="D21" s="28" t="s">
        <v>4</v>
      </c>
      <c r="E21" s="16">
        <v>1195268000</v>
      </c>
      <c r="F21" s="19" t="s">
        <v>35</v>
      </c>
      <c r="G21" s="15" t="s">
        <v>19</v>
      </c>
    </row>
    <row r="22" spans="2:7" x14ac:dyDescent="0.25">
      <c r="B22" s="17">
        <v>20</v>
      </c>
      <c r="C22" s="25" t="s">
        <v>17</v>
      </c>
      <c r="D22" s="26" t="s">
        <v>5</v>
      </c>
      <c r="E22" s="16">
        <v>39714585</v>
      </c>
      <c r="F22" s="19" t="s">
        <v>35</v>
      </c>
      <c r="G22" s="15" t="s">
        <v>19</v>
      </c>
    </row>
    <row r="23" spans="2:7" x14ac:dyDescent="0.25">
      <c r="B23" s="17">
        <v>21</v>
      </c>
      <c r="C23" s="25" t="s">
        <v>50</v>
      </c>
      <c r="D23" s="26" t="s">
        <v>5</v>
      </c>
      <c r="E23" s="16">
        <v>17045400</v>
      </c>
      <c r="F23" s="19" t="s">
        <v>35</v>
      </c>
      <c r="G23" s="15" t="s">
        <v>19</v>
      </c>
    </row>
    <row r="24" spans="2:7" x14ac:dyDescent="0.25">
      <c r="B24" s="17">
        <v>22</v>
      </c>
      <c r="C24" s="25" t="s">
        <v>51</v>
      </c>
      <c r="D24" s="26" t="s">
        <v>5</v>
      </c>
      <c r="E24" s="16">
        <v>20871030</v>
      </c>
      <c r="F24" s="19" t="s">
        <v>35</v>
      </c>
      <c r="G24" s="15" t="s">
        <v>19</v>
      </c>
    </row>
    <row r="25" spans="2:7" x14ac:dyDescent="0.25">
      <c r="B25" s="17">
        <v>23</v>
      </c>
      <c r="C25" s="25" t="s">
        <v>52</v>
      </c>
      <c r="D25" s="26" t="s">
        <v>5</v>
      </c>
      <c r="E25" s="16">
        <v>20871360</v>
      </c>
      <c r="F25" s="19" t="s">
        <v>35</v>
      </c>
      <c r="G25" s="15" t="s">
        <v>19</v>
      </c>
    </row>
    <row r="26" spans="2:7" x14ac:dyDescent="0.25">
      <c r="B26" s="17">
        <v>24</v>
      </c>
      <c r="C26" s="17" t="s">
        <v>34</v>
      </c>
      <c r="D26" s="15" t="s">
        <v>5</v>
      </c>
      <c r="E26" s="16">
        <v>65739648</v>
      </c>
      <c r="F26" s="19" t="s">
        <v>35</v>
      </c>
      <c r="G26" s="15" t="s">
        <v>19</v>
      </c>
    </row>
    <row r="27" spans="2:7" x14ac:dyDescent="0.25">
      <c r="B27" s="17">
        <v>25</v>
      </c>
      <c r="C27" s="27" t="s">
        <v>53</v>
      </c>
      <c r="D27" s="28" t="s">
        <v>21</v>
      </c>
      <c r="E27" s="16">
        <v>1073630290</v>
      </c>
      <c r="F27" s="19" t="s">
        <v>35</v>
      </c>
      <c r="G27" s="15" t="s">
        <v>19</v>
      </c>
    </row>
    <row r="28" spans="2:7" x14ac:dyDescent="0.25">
      <c r="B28" s="17">
        <v>26</v>
      </c>
      <c r="C28" s="27" t="s">
        <v>36</v>
      </c>
      <c r="D28" s="28" t="s">
        <v>21</v>
      </c>
      <c r="E28" s="16">
        <v>1073630175</v>
      </c>
      <c r="F28" s="19" t="s">
        <v>35</v>
      </c>
      <c r="G28" s="15" t="s">
        <v>19</v>
      </c>
    </row>
    <row r="29" spans="2:7" x14ac:dyDescent="0.25">
      <c r="B29" s="17">
        <v>27</v>
      </c>
      <c r="C29" s="25" t="s">
        <v>57</v>
      </c>
      <c r="D29" s="26" t="s">
        <v>5</v>
      </c>
      <c r="E29" s="16">
        <v>21013371</v>
      </c>
      <c r="F29" s="20" t="s">
        <v>42</v>
      </c>
      <c r="G29" s="15" t="s">
        <v>56</v>
      </c>
    </row>
    <row r="30" spans="2:7" x14ac:dyDescent="0.25">
      <c r="B30" s="17">
        <v>28</v>
      </c>
      <c r="C30" s="17" t="s">
        <v>60</v>
      </c>
      <c r="D30" s="15" t="s">
        <v>5</v>
      </c>
      <c r="E30" s="16">
        <v>41681426</v>
      </c>
      <c r="F30" s="20" t="s">
        <v>42</v>
      </c>
      <c r="G30" s="15" t="s">
        <v>56</v>
      </c>
    </row>
    <row r="31" spans="2:7" x14ac:dyDescent="0.25">
      <c r="B31" s="17">
        <v>29</v>
      </c>
      <c r="C31" s="17" t="s">
        <v>69</v>
      </c>
      <c r="D31" s="15" t="s">
        <v>5</v>
      </c>
      <c r="E31" s="16">
        <v>4211176</v>
      </c>
      <c r="F31" s="20" t="s">
        <v>42</v>
      </c>
      <c r="G31" s="15" t="s">
        <v>56</v>
      </c>
    </row>
    <row r="32" spans="2:7" x14ac:dyDescent="0.25">
      <c r="B32" s="17">
        <v>30</v>
      </c>
      <c r="C32" s="25" t="s">
        <v>62</v>
      </c>
      <c r="D32" s="26" t="s">
        <v>5</v>
      </c>
      <c r="E32" s="16">
        <v>21013470</v>
      </c>
      <c r="F32" s="20" t="s">
        <v>42</v>
      </c>
      <c r="G32" s="15" t="s">
        <v>56</v>
      </c>
    </row>
    <row r="33" spans="2:7" x14ac:dyDescent="0.25">
      <c r="B33" s="17">
        <v>31</v>
      </c>
      <c r="C33" s="25" t="s">
        <v>63</v>
      </c>
      <c r="D33" s="26" t="s">
        <v>5</v>
      </c>
      <c r="E33" s="16">
        <v>21007814</v>
      </c>
      <c r="F33" s="20" t="s">
        <v>42</v>
      </c>
      <c r="G33" s="15" t="s">
        <v>56</v>
      </c>
    </row>
    <row r="34" spans="2:7" x14ac:dyDescent="0.25">
      <c r="B34" s="17">
        <v>32</v>
      </c>
      <c r="C34" s="17" t="s">
        <v>70</v>
      </c>
      <c r="D34" s="15" t="s">
        <v>5</v>
      </c>
      <c r="E34" s="16">
        <v>1075629194</v>
      </c>
      <c r="F34" s="20" t="s">
        <v>42</v>
      </c>
      <c r="G34" s="15" t="s">
        <v>56</v>
      </c>
    </row>
    <row r="35" spans="2:7" x14ac:dyDescent="0.25">
      <c r="B35" s="17">
        <v>33</v>
      </c>
      <c r="C35" s="25" t="s">
        <v>65</v>
      </c>
      <c r="D35" s="26" t="s">
        <v>5</v>
      </c>
      <c r="E35" s="16">
        <v>21012039</v>
      </c>
      <c r="F35" s="20" t="s">
        <v>42</v>
      </c>
      <c r="G35" s="15" t="s">
        <v>56</v>
      </c>
    </row>
    <row r="36" spans="2:7" x14ac:dyDescent="0.25">
      <c r="B36" s="17">
        <v>34</v>
      </c>
      <c r="C36" s="17" t="s">
        <v>67</v>
      </c>
      <c r="D36" s="15" t="s">
        <v>5</v>
      </c>
      <c r="E36" s="16">
        <v>1000227821</v>
      </c>
      <c r="F36" s="19" t="s">
        <v>35</v>
      </c>
      <c r="G36" s="15" t="s">
        <v>32</v>
      </c>
    </row>
    <row r="37" spans="2:7" x14ac:dyDescent="0.25">
      <c r="B37" s="17">
        <v>35</v>
      </c>
      <c r="C37" s="17" t="s">
        <v>68</v>
      </c>
      <c r="D37" s="15" t="s">
        <v>5</v>
      </c>
      <c r="E37" s="16">
        <v>1007101361</v>
      </c>
      <c r="F37" s="19" t="s">
        <v>35</v>
      </c>
      <c r="G37" s="15" t="s">
        <v>32</v>
      </c>
    </row>
    <row r="38" spans="2:7" x14ac:dyDescent="0.25">
      <c r="B38" s="17">
        <v>36</v>
      </c>
      <c r="C38" s="17" t="s">
        <v>37</v>
      </c>
      <c r="D38" s="15" t="s">
        <v>5</v>
      </c>
      <c r="E38" s="16">
        <v>79538678</v>
      </c>
      <c r="F38" s="19" t="s">
        <v>35</v>
      </c>
      <c r="G38" s="15" t="s">
        <v>49</v>
      </c>
    </row>
    <row r="39" spans="2:7" x14ac:dyDescent="0.25">
      <c r="B39" s="17">
        <v>37</v>
      </c>
      <c r="C39" s="17" t="s">
        <v>38</v>
      </c>
      <c r="D39" s="15" t="s">
        <v>5</v>
      </c>
      <c r="E39" s="16">
        <v>1007953320</v>
      </c>
      <c r="F39" s="19" t="s">
        <v>35</v>
      </c>
      <c r="G39" s="15" t="s">
        <v>49</v>
      </c>
    </row>
    <row r="40" spans="2:7" x14ac:dyDescent="0.25">
      <c r="B40" s="17">
        <v>38</v>
      </c>
      <c r="C40" s="17" t="s">
        <v>39</v>
      </c>
      <c r="D40" s="15" t="s">
        <v>5</v>
      </c>
      <c r="E40" s="16">
        <v>1070588821</v>
      </c>
      <c r="F40" s="19" t="s">
        <v>35</v>
      </c>
      <c r="G40" s="15" t="s">
        <v>49</v>
      </c>
    </row>
    <row r="41" spans="2:7" x14ac:dyDescent="0.25">
      <c r="B41" s="17">
        <v>39</v>
      </c>
      <c r="C41" s="17" t="s">
        <v>40</v>
      </c>
      <c r="D41" s="15" t="s">
        <v>5</v>
      </c>
      <c r="E41" s="16">
        <v>79656808</v>
      </c>
      <c r="F41" s="20" t="s">
        <v>42</v>
      </c>
      <c r="G41" s="15" t="s">
        <v>49</v>
      </c>
    </row>
    <row r="42" spans="2:7" x14ac:dyDescent="0.25">
      <c r="B42" s="17">
        <v>40</v>
      </c>
      <c r="C42" s="17" t="s">
        <v>45</v>
      </c>
      <c r="D42" s="15" t="s">
        <v>5</v>
      </c>
      <c r="E42" s="16">
        <v>1075628177</v>
      </c>
      <c r="F42" s="20" t="s">
        <v>42</v>
      </c>
      <c r="G42" s="15" t="s">
        <v>49</v>
      </c>
    </row>
    <row r="43" spans="2:7" x14ac:dyDescent="0.25">
      <c r="B43" s="17">
        <v>41</v>
      </c>
      <c r="C43" s="17" t="s">
        <v>41</v>
      </c>
      <c r="D43" s="15" t="s">
        <v>21</v>
      </c>
      <c r="E43" s="16">
        <v>1014877742</v>
      </c>
      <c r="F43" s="20" t="s">
        <v>42</v>
      </c>
      <c r="G43" s="15" t="s">
        <v>49</v>
      </c>
    </row>
    <row r="44" spans="2:7" x14ac:dyDescent="0.25">
      <c r="B44" s="17">
        <v>42</v>
      </c>
      <c r="C44" s="17" t="s">
        <v>44</v>
      </c>
      <c r="D44" s="15" t="s">
        <v>5</v>
      </c>
      <c r="E44" s="16">
        <v>2950955</v>
      </c>
      <c r="F44" s="18" t="s">
        <v>12</v>
      </c>
      <c r="G44" s="15" t="s">
        <v>31</v>
      </c>
    </row>
    <row r="45" spans="2:7" x14ac:dyDescent="0.25">
      <c r="B45" s="17">
        <v>43</v>
      </c>
      <c r="C45" s="17" t="s">
        <v>55</v>
      </c>
      <c r="D45" s="15" t="s">
        <v>5</v>
      </c>
      <c r="E45" s="16">
        <v>20358624</v>
      </c>
      <c r="F45" s="18" t="s">
        <v>12</v>
      </c>
      <c r="G45" s="15" t="s">
        <v>31</v>
      </c>
    </row>
    <row r="46" spans="2:7" x14ac:dyDescent="0.25">
      <c r="B46" s="17">
        <v>44</v>
      </c>
      <c r="C46" s="17" t="s">
        <v>48</v>
      </c>
      <c r="D46" s="15" t="s">
        <v>5</v>
      </c>
      <c r="E46" s="16">
        <v>20871810</v>
      </c>
      <c r="F46" s="19" t="s">
        <v>35</v>
      </c>
      <c r="G46" s="15" t="s">
        <v>32</v>
      </c>
    </row>
    <row r="47" spans="2:7" x14ac:dyDescent="0.25">
      <c r="B47" s="17">
        <v>45</v>
      </c>
      <c r="C47" s="17" t="s">
        <v>80</v>
      </c>
      <c r="D47" s="15" t="s">
        <v>21</v>
      </c>
      <c r="E47" s="16">
        <v>1070613331</v>
      </c>
      <c r="F47" s="20" t="s">
        <v>42</v>
      </c>
      <c r="G47" s="15" t="s">
        <v>46</v>
      </c>
    </row>
    <row r="48" spans="2:7" x14ac:dyDescent="0.25">
      <c r="B48" s="17">
        <v>46</v>
      </c>
      <c r="C48" s="17" t="s">
        <v>81</v>
      </c>
      <c r="D48" s="15" t="s">
        <v>5</v>
      </c>
      <c r="E48" s="16">
        <v>21016823</v>
      </c>
      <c r="F48" s="20" t="s">
        <v>42</v>
      </c>
      <c r="G48" s="15" t="s">
        <v>46</v>
      </c>
    </row>
    <row r="49" spans="2:7" x14ac:dyDescent="0.25">
      <c r="B49" s="17">
        <v>47</v>
      </c>
      <c r="C49" s="17" t="s">
        <v>82</v>
      </c>
      <c r="D49" s="15" t="s">
        <v>5</v>
      </c>
      <c r="E49" s="15">
        <v>11303143</v>
      </c>
      <c r="F49" s="15"/>
      <c r="G49" s="15" t="s">
        <v>46</v>
      </c>
    </row>
    <row r="50" spans="2:7" x14ac:dyDescent="0.25">
      <c r="B50" s="17">
        <v>48</v>
      </c>
      <c r="C50" s="17" t="s">
        <v>83</v>
      </c>
      <c r="D50" s="15" t="s">
        <v>4</v>
      </c>
      <c r="E50" s="15">
        <v>1073630853</v>
      </c>
      <c r="F50" s="19" t="s">
        <v>35</v>
      </c>
      <c r="G50" s="15" t="s">
        <v>19</v>
      </c>
    </row>
    <row r="51" spans="2:7" x14ac:dyDescent="0.25">
      <c r="B51" s="17">
        <v>49</v>
      </c>
      <c r="C51" s="17" t="s">
        <v>84</v>
      </c>
      <c r="D51" s="15" t="s">
        <v>21</v>
      </c>
      <c r="E51" s="15">
        <v>1222204996</v>
      </c>
      <c r="F51" s="19" t="s">
        <v>35</v>
      </c>
      <c r="G51" s="15" t="s">
        <v>19</v>
      </c>
    </row>
    <row r="52" spans="2:7" x14ac:dyDescent="0.25">
      <c r="B52" s="17">
        <v>50</v>
      </c>
      <c r="C52" s="17" t="s">
        <v>85</v>
      </c>
      <c r="D52" s="15" t="s">
        <v>5</v>
      </c>
      <c r="E52" s="15">
        <v>1070593550</v>
      </c>
      <c r="F52" s="19" t="s">
        <v>35</v>
      </c>
      <c r="G52" s="1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7136-86F1-4F57-848F-EF624ABB8A64}">
  <dimension ref="B3:J52"/>
  <sheetViews>
    <sheetView topLeftCell="A2" workbookViewId="0">
      <selection activeCell="F45" sqref="F45:F46"/>
    </sheetView>
  </sheetViews>
  <sheetFormatPr baseColWidth="10" defaultRowHeight="15" x14ac:dyDescent="0.25"/>
  <cols>
    <col min="2" max="2" width="3.140625" bestFit="1" customWidth="1"/>
    <col min="3" max="3" width="33.5703125" bestFit="1" customWidth="1"/>
    <col min="4" max="4" width="3.85546875" style="7" bestFit="1" customWidth="1"/>
    <col min="5" max="5" width="13.7109375" style="7" bestFit="1" customWidth="1"/>
    <col min="6" max="6" width="11.42578125" style="7"/>
    <col min="7" max="7" width="14.140625" style="7" bestFit="1" customWidth="1"/>
  </cols>
  <sheetData>
    <row r="3" spans="2:10" s="7" customFormat="1" x14ac:dyDescent="0.25">
      <c r="B3" s="15" t="s">
        <v>33</v>
      </c>
      <c r="C3" s="15" t="s">
        <v>9</v>
      </c>
      <c r="D3" s="15" t="s">
        <v>8</v>
      </c>
      <c r="E3" s="15" t="s">
        <v>7</v>
      </c>
      <c r="F3" s="15" t="s">
        <v>10</v>
      </c>
      <c r="G3" s="15" t="s">
        <v>18</v>
      </c>
    </row>
    <row r="4" spans="2:10" x14ac:dyDescent="0.25">
      <c r="B4" s="17">
        <v>1</v>
      </c>
      <c r="C4" s="17" t="s">
        <v>0</v>
      </c>
      <c r="D4" s="15" t="s">
        <v>5</v>
      </c>
      <c r="E4" s="16">
        <v>20357610</v>
      </c>
      <c r="F4" s="18" t="s">
        <v>12</v>
      </c>
      <c r="G4" s="15" t="s">
        <v>31</v>
      </c>
      <c r="I4" s="17">
        <f>COUNTIF(F4:F52,"ANAPOIMA")</f>
        <v>18</v>
      </c>
      <c r="J4" s="23" t="s">
        <v>12</v>
      </c>
    </row>
    <row r="5" spans="2:10" x14ac:dyDescent="0.25">
      <c r="B5" s="17">
        <v>2</v>
      </c>
      <c r="C5" s="24" t="s">
        <v>20</v>
      </c>
      <c r="D5" s="20" t="s">
        <v>21</v>
      </c>
      <c r="E5" s="31">
        <v>1014900064</v>
      </c>
      <c r="F5" s="18" t="s">
        <v>12</v>
      </c>
      <c r="G5" s="15" t="s">
        <v>31</v>
      </c>
      <c r="I5" s="17">
        <f>COUNTIF(F4:F52,"APULO")</f>
        <v>19</v>
      </c>
      <c r="J5" s="22" t="s">
        <v>35</v>
      </c>
    </row>
    <row r="6" spans="2:10" x14ac:dyDescent="0.25">
      <c r="B6" s="17">
        <v>3</v>
      </c>
      <c r="C6" s="17" t="s">
        <v>66</v>
      </c>
      <c r="D6" s="15" t="s">
        <v>5</v>
      </c>
      <c r="E6" s="16">
        <v>20358584</v>
      </c>
      <c r="F6" s="18" t="s">
        <v>12</v>
      </c>
      <c r="G6" s="15" t="s">
        <v>31</v>
      </c>
      <c r="I6" s="17">
        <f>COUNTIF(F4:F52,"TOCAIMA")</f>
        <v>12</v>
      </c>
      <c r="J6" s="24" t="s">
        <v>42</v>
      </c>
    </row>
    <row r="7" spans="2:10" x14ac:dyDescent="0.25">
      <c r="B7" s="17">
        <v>4</v>
      </c>
      <c r="C7" s="17" t="s">
        <v>22</v>
      </c>
      <c r="D7" s="15" t="s">
        <v>5</v>
      </c>
      <c r="E7" s="16">
        <v>51660953</v>
      </c>
      <c r="F7" s="18" t="s">
        <v>12</v>
      </c>
      <c r="G7" s="15" t="s">
        <v>31</v>
      </c>
    </row>
    <row r="8" spans="2:10" x14ac:dyDescent="0.25">
      <c r="B8" s="17">
        <v>5</v>
      </c>
      <c r="C8" s="24" t="s">
        <v>23</v>
      </c>
      <c r="D8" s="20" t="s">
        <v>21</v>
      </c>
      <c r="E8" s="31">
        <v>1028876519</v>
      </c>
      <c r="F8" s="18" t="s">
        <v>12</v>
      </c>
      <c r="G8" s="15" t="s">
        <v>31</v>
      </c>
    </row>
    <row r="9" spans="2:10" x14ac:dyDescent="0.25">
      <c r="B9" s="17">
        <v>6</v>
      </c>
      <c r="C9" s="24" t="s">
        <v>24</v>
      </c>
      <c r="D9" s="20" t="s">
        <v>21</v>
      </c>
      <c r="E9" s="31">
        <v>98090405110</v>
      </c>
      <c r="F9" s="18" t="s">
        <v>12</v>
      </c>
      <c r="G9" s="15" t="s">
        <v>31</v>
      </c>
      <c r="I9" s="17">
        <v>9</v>
      </c>
      <c r="J9" s="24" t="s">
        <v>78</v>
      </c>
    </row>
    <row r="10" spans="2:10" x14ac:dyDescent="0.25">
      <c r="B10" s="17">
        <v>7</v>
      </c>
      <c r="C10" s="17" t="s">
        <v>25</v>
      </c>
      <c r="D10" s="15" t="s">
        <v>5</v>
      </c>
      <c r="E10" s="16">
        <v>39704333</v>
      </c>
      <c r="F10" s="18" t="s">
        <v>12</v>
      </c>
      <c r="G10" s="15" t="s">
        <v>31</v>
      </c>
      <c r="I10" s="17">
        <v>8</v>
      </c>
      <c r="J10" s="25" t="s">
        <v>79</v>
      </c>
    </row>
    <row r="11" spans="2:10" x14ac:dyDescent="0.25">
      <c r="B11" s="17">
        <v>8</v>
      </c>
      <c r="C11" s="17" t="s">
        <v>26</v>
      </c>
      <c r="D11" s="15" t="s">
        <v>5</v>
      </c>
      <c r="E11" s="16">
        <v>41517360</v>
      </c>
      <c r="F11" s="18" t="s">
        <v>12</v>
      </c>
      <c r="G11" s="15" t="s">
        <v>31</v>
      </c>
      <c r="I11" s="17">
        <f>SUM(I9:I10)</f>
        <v>17</v>
      </c>
      <c r="J11" s="17" t="s">
        <v>74</v>
      </c>
    </row>
    <row r="12" spans="2:10" x14ac:dyDescent="0.25">
      <c r="B12" s="17">
        <v>9</v>
      </c>
      <c r="C12" s="17" t="s">
        <v>27</v>
      </c>
      <c r="D12" s="15" t="s">
        <v>5</v>
      </c>
      <c r="E12" s="16">
        <v>19199204</v>
      </c>
      <c r="F12" s="18" t="s">
        <v>12</v>
      </c>
      <c r="G12" s="15" t="s">
        <v>31</v>
      </c>
    </row>
    <row r="13" spans="2:10" x14ac:dyDescent="0.25">
      <c r="B13" s="17">
        <v>10</v>
      </c>
      <c r="C13" s="17" t="s">
        <v>28</v>
      </c>
      <c r="D13" s="15" t="s">
        <v>5</v>
      </c>
      <c r="E13" s="16">
        <v>20357616</v>
      </c>
      <c r="F13" s="18" t="s">
        <v>12</v>
      </c>
      <c r="G13" s="15" t="s">
        <v>31</v>
      </c>
    </row>
    <row r="14" spans="2:10" x14ac:dyDescent="0.25">
      <c r="B14" s="17">
        <v>11</v>
      </c>
      <c r="C14" s="17" t="s">
        <v>29</v>
      </c>
      <c r="D14" s="15" t="s">
        <v>5</v>
      </c>
      <c r="E14" s="16">
        <v>79502637</v>
      </c>
      <c r="F14" s="18" t="s">
        <v>12</v>
      </c>
      <c r="G14" s="15" t="s">
        <v>31</v>
      </c>
    </row>
    <row r="15" spans="2:10" x14ac:dyDescent="0.25">
      <c r="B15" s="17">
        <v>12</v>
      </c>
      <c r="C15" s="17" t="s">
        <v>30</v>
      </c>
      <c r="D15" s="15" t="s">
        <v>5</v>
      </c>
      <c r="E15" s="16">
        <v>1027285231</v>
      </c>
      <c r="F15" s="18" t="s">
        <v>12</v>
      </c>
      <c r="G15" s="15" t="s">
        <v>31</v>
      </c>
    </row>
    <row r="16" spans="2:10" x14ac:dyDescent="0.25">
      <c r="B16" s="17">
        <v>13</v>
      </c>
      <c r="C16" s="24" t="s">
        <v>43</v>
      </c>
      <c r="D16" s="20" t="s">
        <v>21</v>
      </c>
      <c r="E16" s="31">
        <v>1019908883</v>
      </c>
      <c r="F16" s="18" t="s">
        <v>12</v>
      </c>
      <c r="G16" s="15" t="s">
        <v>31</v>
      </c>
    </row>
    <row r="17" spans="2:7" x14ac:dyDescent="0.25">
      <c r="B17" s="17">
        <v>14</v>
      </c>
      <c r="C17" s="24" t="s">
        <v>2</v>
      </c>
      <c r="D17" s="20" t="s">
        <v>4</v>
      </c>
      <c r="E17" s="31">
        <v>1072963889</v>
      </c>
      <c r="F17" s="18" t="s">
        <v>12</v>
      </c>
      <c r="G17" s="15" t="s">
        <v>46</v>
      </c>
    </row>
    <row r="18" spans="2:7" x14ac:dyDescent="0.25">
      <c r="B18" s="17">
        <v>15</v>
      </c>
      <c r="C18" s="17" t="s">
        <v>3</v>
      </c>
      <c r="D18" s="15" t="s">
        <v>5</v>
      </c>
      <c r="E18" s="16">
        <v>1010051972</v>
      </c>
      <c r="F18" s="18" t="s">
        <v>12</v>
      </c>
      <c r="G18" s="15" t="s">
        <v>47</v>
      </c>
    </row>
    <row r="19" spans="2:7" x14ac:dyDescent="0.25">
      <c r="B19" s="17">
        <v>16</v>
      </c>
      <c r="C19" s="17" t="s">
        <v>54</v>
      </c>
      <c r="D19" s="15" t="s">
        <v>21</v>
      </c>
      <c r="E19" s="16">
        <v>1072960894</v>
      </c>
      <c r="F19" s="18" t="s">
        <v>12</v>
      </c>
      <c r="G19" s="15" t="s">
        <v>46</v>
      </c>
    </row>
    <row r="20" spans="2:7" x14ac:dyDescent="0.25">
      <c r="B20" s="17">
        <v>17</v>
      </c>
      <c r="C20" s="17" t="s">
        <v>13</v>
      </c>
      <c r="D20" s="15" t="s">
        <v>5</v>
      </c>
      <c r="E20" s="16">
        <v>1013633198</v>
      </c>
      <c r="F20" s="19" t="s">
        <v>35</v>
      </c>
      <c r="G20" s="15" t="s">
        <v>19</v>
      </c>
    </row>
    <row r="21" spans="2:7" x14ac:dyDescent="0.25">
      <c r="B21" s="17">
        <v>18</v>
      </c>
      <c r="C21" s="17" t="s">
        <v>15</v>
      </c>
      <c r="D21" s="15" t="s">
        <v>5</v>
      </c>
      <c r="E21" s="16">
        <v>1072962420</v>
      </c>
      <c r="F21" s="19" t="s">
        <v>35</v>
      </c>
      <c r="G21" s="15" t="s">
        <v>19</v>
      </c>
    </row>
    <row r="22" spans="2:7" x14ac:dyDescent="0.25">
      <c r="B22" s="17">
        <v>19</v>
      </c>
      <c r="C22" s="24" t="s">
        <v>16</v>
      </c>
      <c r="D22" s="20" t="s">
        <v>4</v>
      </c>
      <c r="E22" s="31">
        <v>1195268000</v>
      </c>
      <c r="F22" s="19" t="s">
        <v>35</v>
      </c>
      <c r="G22" s="15" t="s">
        <v>19</v>
      </c>
    </row>
    <row r="23" spans="2:7" x14ac:dyDescent="0.25">
      <c r="B23" s="17">
        <v>20</v>
      </c>
      <c r="C23" s="25" t="s">
        <v>17</v>
      </c>
      <c r="D23" s="26" t="s">
        <v>5</v>
      </c>
      <c r="E23" s="30">
        <v>39714585</v>
      </c>
      <c r="F23" s="19" t="s">
        <v>35</v>
      </c>
      <c r="G23" s="15" t="s">
        <v>19</v>
      </c>
    </row>
    <row r="24" spans="2:7" x14ac:dyDescent="0.25">
      <c r="B24" s="17">
        <v>21</v>
      </c>
      <c r="C24" s="25" t="s">
        <v>50</v>
      </c>
      <c r="D24" s="26" t="s">
        <v>5</v>
      </c>
      <c r="E24" s="30">
        <v>17045400</v>
      </c>
      <c r="F24" s="19" t="s">
        <v>35</v>
      </c>
      <c r="G24" s="15" t="s">
        <v>19</v>
      </c>
    </row>
    <row r="25" spans="2:7" x14ac:dyDescent="0.25">
      <c r="B25" s="17">
        <v>22</v>
      </c>
      <c r="C25" s="25" t="s">
        <v>51</v>
      </c>
      <c r="D25" s="26" t="s">
        <v>5</v>
      </c>
      <c r="E25" s="30">
        <v>20871030</v>
      </c>
      <c r="F25" s="19" t="s">
        <v>35</v>
      </c>
      <c r="G25" s="15" t="s">
        <v>19</v>
      </c>
    </row>
    <row r="26" spans="2:7" x14ac:dyDescent="0.25">
      <c r="B26" s="17">
        <v>23</v>
      </c>
      <c r="C26" s="25" t="s">
        <v>52</v>
      </c>
      <c r="D26" s="26" t="s">
        <v>5</v>
      </c>
      <c r="E26" s="30">
        <v>20871360</v>
      </c>
      <c r="F26" s="19" t="s">
        <v>35</v>
      </c>
      <c r="G26" s="15" t="s">
        <v>19</v>
      </c>
    </row>
    <row r="27" spans="2:7" x14ac:dyDescent="0.25">
      <c r="B27" s="17">
        <v>24</v>
      </c>
      <c r="C27" s="17" t="s">
        <v>34</v>
      </c>
      <c r="D27" s="15" t="s">
        <v>5</v>
      </c>
      <c r="E27" s="16">
        <v>65739648</v>
      </c>
      <c r="F27" s="19" t="s">
        <v>35</v>
      </c>
      <c r="G27" s="15" t="s">
        <v>19</v>
      </c>
    </row>
    <row r="28" spans="2:7" x14ac:dyDescent="0.25">
      <c r="B28" s="17">
        <v>25</v>
      </c>
      <c r="C28" s="24" t="s">
        <v>53</v>
      </c>
      <c r="D28" s="20" t="s">
        <v>21</v>
      </c>
      <c r="E28" s="31">
        <v>1073630290</v>
      </c>
      <c r="F28" s="19" t="s">
        <v>35</v>
      </c>
      <c r="G28" s="15" t="s">
        <v>19</v>
      </c>
    </row>
    <row r="29" spans="2:7" x14ac:dyDescent="0.25">
      <c r="B29" s="17">
        <v>26</v>
      </c>
      <c r="C29" s="24" t="s">
        <v>36</v>
      </c>
      <c r="D29" s="20" t="s">
        <v>21</v>
      </c>
      <c r="E29" s="31">
        <v>1073630175</v>
      </c>
      <c r="F29" s="19" t="s">
        <v>35</v>
      </c>
      <c r="G29" s="15" t="s">
        <v>19</v>
      </c>
    </row>
    <row r="30" spans="2:7" x14ac:dyDescent="0.25">
      <c r="B30" s="17">
        <v>27</v>
      </c>
      <c r="C30" s="25" t="s">
        <v>57</v>
      </c>
      <c r="D30" s="26" t="s">
        <v>5</v>
      </c>
      <c r="E30" s="30">
        <v>21013371</v>
      </c>
      <c r="F30" s="20" t="s">
        <v>42</v>
      </c>
      <c r="G30" s="15" t="s">
        <v>56</v>
      </c>
    </row>
    <row r="31" spans="2:7" x14ac:dyDescent="0.25">
      <c r="B31" s="17">
        <v>28</v>
      </c>
      <c r="C31" s="17" t="s">
        <v>60</v>
      </c>
      <c r="D31" s="15" t="s">
        <v>5</v>
      </c>
      <c r="E31" s="16">
        <v>41681426</v>
      </c>
      <c r="F31" s="20" t="s">
        <v>42</v>
      </c>
      <c r="G31" s="15" t="s">
        <v>56</v>
      </c>
    </row>
    <row r="32" spans="2:7" x14ac:dyDescent="0.25">
      <c r="B32" s="17">
        <v>29</v>
      </c>
      <c r="C32" s="17" t="s">
        <v>69</v>
      </c>
      <c r="D32" s="15" t="s">
        <v>5</v>
      </c>
      <c r="E32" s="16">
        <v>4211176</v>
      </c>
      <c r="F32" s="20" t="s">
        <v>42</v>
      </c>
      <c r="G32" s="15" t="s">
        <v>56</v>
      </c>
    </row>
    <row r="33" spans="2:7" x14ac:dyDescent="0.25">
      <c r="B33" s="17">
        <v>30</v>
      </c>
      <c r="C33" s="25" t="s">
        <v>62</v>
      </c>
      <c r="D33" s="26" t="s">
        <v>5</v>
      </c>
      <c r="E33" s="30">
        <v>21013470</v>
      </c>
      <c r="F33" s="20" t="s">
        <v>42</v>
      </c>
      <c r="G33" s="15" t="s">
        <v>56</v>
      </c>
    </row>
    <row r="34" spans="2:7" x14ac:dyDescent="0.25">
      <c r="B34" s="17">
        <v>31</v>
      </c>
      <c r="C34" s="25" t="s">
        <v>63</v>
      </c>
      <c r="D34" s="26" t="s">
        <v>5</v>
      </c>
      <c r="E34" s="30">
        <v>21007814</v>
      </c>
      <c r="F34" s="20" t="s">
        <v>42</v>
      </c>
      <c r="G34" s="15" t="s">
        <v>56</v>
      </c>
    </row>
    <row r="35" spans="2:7" x14ac:dyDescent="0.25">
      <c r="B35" s="17">
        <v>32</v>
      </c>
      <c r="C35" s="17" t="s">
        <v>70</v>
      </c>
      <c r="D35" s="15" t="s">
        <v>5</v>
      </c>
      <c r="E35" s="16">
        <v>1075629194</v>
      </c>
      <c r="F35" s="20" t="s">
        <v>42</v>
      </c>
      <c r="G35" s="15" t="s">
        <v>56</v>
      </c>
    </row>
    <row r="36" spans="2:7" x14ac:dyDescent="0.25">
      <c r="B36" s="17">
        <v>33</v>
      </c>
      <c r="C36" s="25" t="s">
        <v>65</v>
      </c>
      <c r="D36" s="26" t="s">
        <v>5</v>
      </c>
      <c r="E36" s="30">
        <v>21012039</v>
      </c>
      <c r="F36" s="20" t="s">
        <v>42</v>
      </c>
      <c r="G36" s="15" t="s">
        <v>56</v>
      </c>
    </row>
    <row r="37" spans="2:7" x14ac:dyDescent="0.25">
      <c r="B37" s="17">
        <v>34</v>
      </c>
      <c r="C37" s="17" t="s">
        <v>67</v>
      </c>
      <c r="D37" s="15" t="s">
        <v>5</v>
      </c>
      <c r="E37" s="16">
        <v>1000227821</v>
      </c>
      <c r="F37" s="19" t="s">
        <v>35</v>
      </c>
      <c r="G37" s="15" t="s">
        <v>32</v>
      </c>
    </row>
    <row r="38" spans="2:7" x14ac:dyDescent="0.25">
      <c r="B38" s="17">
        <v>35</v>
      </c>
      <c r="C38" s="17" t="s">
        <v>68</v>
      </c>
      <c r="D38" s="15" t="s">
        <v>5</v>
      </c>
      <c r="E38" s="16">
        <v>1007101361</v>
      </c>
      <c r="F38" s="19" t="s">
        <v>35</v>
      </c>
      <c r="G38" s="15" t="s">
        <v>32</v>
      </c>
    </row>
    <row r="39" spans="2:7" x14ac:dyDescent="0.25">
      <c r="B39" s="17">
        <v>36</v>
      </c>
      <c r="C39" s="17" t="s">
        <v>37</v>
      </c>
      <c r="D39" s="15" t="s">
        <v>5</v>
      </c>
      <c r="E39" s="16">
        <v>79538678</v>
      </c>
      <c r="F39" s="19" t="s">
        <v>35</v>
      </c>
      <c r="G39" s="15" t="s">
        <v>49</v>
      </c>
    </row>
    <row r="40" spans="2:7" x14ac:dyDescent="0.25">
      <c r="B40" s="17">
        <v>37</v>
      </c>
      <c r="C40" s="17" t="s">
        <v>38</v>
      </c>
      <c r="D40" s="15" t="s">
        <v>5</v>
      </c>
      <c r="E40" s="16">
        <v>1007953320</v>
      </c>
      <c r="F40" s="19" t="s">
        <v>35</v>
      </c>
      <c r="G40" s="15" t="s">
        <v>49</v>
      </c>
    </row>
    <row r="41" spans="2:7" x14ac:dyDescent="0.25">
      <c r="B41" s="17">
        <v>38</v>
      </c>
      <c r="C41" s="17" t="s">
        <v>39</v>
      </c>
      <c r="D41" s="15" t="s">
        <v>5</v>
      </c>
      <c r="E41" s="16">
        <v>1070588821</v>
      </c>
      <c r="F41" s="19" t="s">
        <v>35</v>
      </c>
      <c r="G41" s="15" t="s">
        <v>49</v>
      </c>
    </row>
    <row r="42" spans="2:7" x14ac:dyDescent="0.25">
      <c r="B42" s="17">
        <v>39</v>
      </c>
      <c r="C42" s="17" t="s">
        <v>40</v>
      </c>
      <c r="D42" s="15" t="s">
        <v>5</v>
      </c>
      <c r="E42" s="16">
        <v>79656808</v>
      </c>
      <c r="F42" s="20" t="s">
        <v>42</v>
      </c>
      <c r="G42" s="15" t="s">
        <v>49</v>
      </c>
    </row>
    <row r="43" spans="2:7" x14ac:dyDescent="0.25">
      <c r="B43" s="17">
        <v>40</v>
      </c>
      <c r="C43" s="17" t="s">
        <v>45</v>
      </c>
      <c r="D43" s="15" t="s">
        <v>5</v>
      </c>
      <c r="E43" s="16">
        <v>1075628177</v>
      </c>
      <c r="F43" s="20" t="s">
        <v>42</v>
      </c>
      <c r="G43" s="15" t="s">
        <v>49</v>
      </c>
    </row>
    <row r="44" spans="2:7" x14ac:dyDescent="0.25">
      <c r="B44" s="17">
        <v>41</v>
      </c>
      <c r="C44" s="17" t="s">
        <v>41</v>
      </c>
      <c r="D44" s="15" t="s">
        <v>21</v>
      </c>
      <c r="E44" s="16">
        <v>1014877742</v>
      </c>
      <c r="F44" s="20" t="s">
        <v>42</v>
      </c>
      <c r="G44" s="15" t="s">
        <v>49</v>
      </c>
    </row>
    <row r="45" spans="2:7" x14ac:dyDescent="0.25">
      <c r="B45" s="17">
        <v>42</v>
      </c>
      <c r="C45" s="17" t="s">
        <v>44</v>
      </c>
      <c r="D45" s="15" t="s">
        <v>5</v>
      </c>
      <c r="E45" s="16">
        <v>2950955</v>
      </c>
      <c r="F45" s="18" t="s">
        <v>12</v>
      </c>
      <c r="G45" s="15" t="s">
        <v>31</v>
      </c>
    </row>
    <row r="46" spans="2:7" x14ac:dyDescent="0.25">
      <c r="B46" s="17">
        <v>43</v>
      </c>
      <c r="C46" s="17" t="s">
        <v>55</v>
      </c>
      <c r="D46" s="15" t="s">
        <v>5</v>
      </c>
      <c r="E46" s="16">
        <v>20358624</v>
      </c>
      <c r="F46" s="18" t="s">
        <v>12</v>
      </c>
      <c r="G46" s="15" t="s">
        <v>31</v>
      </c>
    </row>
    <row r="47" spans="2:7" x14ac:dyDescent="0.25">
      <c r="B47" s="17">
        <v>44</v>
      </c>
      <c r="C47" s="17" t="s">
        <v>48</v>
      </c>
      <c r="D47" s="15" t="s">
        <v>5</v>
      </c>
      <c r="E47" s="16">
        <v>20871810</v>
      </c>
      <c r="F47" s="19" t="s">
        <v>35</v>
      </c>
      <c r="G47" s="15" t="s">
        <v>32</v>
      </c>
    </row>
    <row r="48" spans="2:7" x14ac:dyDescent="0.25">
      <c r="B48" s="17">
        <v>45</v>
      </c>
      <c r="C48" s="17" t="s">
        <v>80</v>
      </c>
      <c r="D48" s="15" t="s">
        <v>21</v>
      </c>
      <c r="E48" s="16">
        <v>1070613331</v>
      </c>
      <c r="F48" s="20" t="s">
        <v>42</v>
      </c>
      <c r="G48" s="15" t="s">
        <v>46</v>
      </c>
    </row>
    <row r="49" spans="2:7" x14ac:dyDescent="0.25">
      <c r="B49" s="17">
        <v>46</v>
      </c>
      <c r="C49" s="17" t="s">
        <v>81</v>
      </c>
      <c r="D49" s="15" t="s">
        <v>5</v>
      </c>
      <c r="E49" s="16">
        <v>21016823</v>
      </c>
      <c r="F49" s="20" t="s">
        <v>42</v>
      </c>
      <c r="G49" s="15" t="s">
        <v>46</v>
      </c>
    </row>
    <row r="50" spans="2:7" x14ac:dyDescent="0.25">
      <c r="B50" s="17">
        <v>47</v>
      </c>
      <c r="C50" s="17" t="s">
        <v>83</v>
      </c>
      <c r="D50" s="15" t="s">
        <v>4</v>
      </c>
      <c r="E50" s="15">
        <v>1073630853</v>
      </c>
      <c r="F50" s="19" t="s">
        <v>35</v>
      </c>
      <c r="G50" s="15" t="s">
        <v>19</v>
      </c>
    </row>
    <row r="51" spans="2:7" x14ac:dyDescent="0.25">
      <c r="B51" s="17">
        <v>48</v>
      </c>
      <c r="C51" s="24" t="s">
        <v>84</v>
      </c>
      <c r="D51" s="20" t="s">
        <v>21</v>
      </c>
      <c r="E51" s="20">
        <v>1222204996</v>
      </c>
      <c r="F51" s="19" t="s">
        <v>35</v>
      </c>
      <c r="G51" s="15" t="s">
        <v>19</v>
      </c>
    </row>
    <row r="52" spans="2:7" x14ac:dyDescent="0.25">
      <c r="B52" s="17">
        <v>49</v>
      </c>
      <c r="C52" s="17" t="s">
        <v>85</v>
      </c>
      <c r="D52" s="15" t="s">
        <v>5</v>
      </c>
      <c r="E52" s="15">
        <v>1070593550</v>
      </c>
      <c r="F52" s="19" t="s">
        <v>35</v>
      </c>
      <c r="G52" s="15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B0BA-E6E5-4E76-929D-4A42A13336E9}">
  <dimension ref="B3:H53"/>
  <sheetViews>
    <sheetView topLeftCell="A35" workbookViewId="0">
      <selection activeCell="G54" sqref="G54"/>
    </sheetView>
  </sheetViews>
  <sheetFormatPr baseColWidth="10" defaultRowHeight="15" x14ac:dyDescent="0.25"/>
  <cols>
    <col min="2" max="2" width="3.140625" bestFit="1" customWidth="1"/>
    <col min="3" max="3" width="33.5703125" style="32" bestFit="1" customWidth="1"/>
    <col min="5" max="5" width="13.7109375" bestFit="1" customWidth="1"/>
    <col min="7" max="7" width="16.85546875" customWidth="1"/>
    <col min="8" max="8" width="12" bestFit="1" customWidth="1"/>
  </cols>
  <sheetData>
    <row r="3" spans="2:8" x14ac:dyDescent="0.25">
      <c r="B3" s="15" t="s">
        <v>33</v>
      </c>
      <c r="C3" s="15" t="s">
        <v>9</v>
      </c>
      <c r="D3" s="15" t="s">
        <v>8</v>
      </c>
      <c r="E3" s="15" t="s">
        <v>7</v>
      </c>
    </row>
    <row r="4" spans="2:8" x14ac:dyDescent="0.25">
      <c r="B4" s="17">
        <v>1</v>
      </c>
      <c r="C4" s="17" t="s">
        <v>0</v>
      </c>
      <c r="D4" s="15" t="s">
        <v>5</v>
      </c>
      <c r="E4" s="16">
        <v>20357610</v>
      </c>
      <c r="G4" s="49">
        <v>148000</v>
      </c>
      <c r="H4" s="50">
        <f>G4-15000</f>
        <v>133000</v>
      </c>
    </row>
    <row r="5" spans="2:8" x14ac:dyDescent="0.25">
      <c r="B5" s="17">
        <v>2</v>
      </c>
      <c r="C5" s="17" t="s">
        <v>20</v>
      </c>
      <c r="D5" s="15" t="s">
        <v>21</v>
      </c>
      <c r="E5" s="16">
        <v>1014900064</v>
      </c>
      <c r="G5" s="51">
        <v>140000</v>
      </c>
      <c r="H5" s="50">
        <f t="shared" ref="H5:H29" si="0">G5-15000</f>
        <v>125000</v>
      </c>
    </row>
    <row r="6" spans="2:8" x14ac:dyDescent="0.25">
      <c r="B6" s="17">
        <v>3</v>
      </c>
      <c r="C6" s="17" t="s">
        <v>66</v>
      </c>
      <c r="D6" s="15" t="s">
        <v>5</v>
      </c>
      <c r="E6" s="16">
        <v>20358584</v>
      </c>
      <c r="G6" s="49">
        <v>148000</v>
      </c>
      <c r="H6" s="50">
        <f t="shared" si="0"/>
        <v>133000</v>
      </c>
    </row>
    <row r="7" spans="2:8" x14ac:dyDescent="0.25">
      <c r="B7" s="17">
        <v>4</v>
      </c>
      <c r="C7" s="17" t="s">
        <v>22</v>
      </c>
      <c r="D7" s="15" t="s">
        <v>5</v>
      </c>
      <c r="E7" s="16">
        <v>51660953</v>
      </c>
      <c r="G7" s="51">
        <v>148000</v>
      </c>
      <c r="H7" s="50">
        <f t="shared" si="0"/>
        <v>133000</v>
      </c>
    </row>
    <row r="8" spans="2:8" x14ac:dyDescent="0.25">
      <c r="B8" s="17">
        <v>5</v>
      </c>
      <c r="C8" s="17" t="s">
        <v>23</v>
      </c>
      <c r="D8" s="15" t="s">
        <v>21</v>
      </c>
      <c r="E8" s="16">
        <v>1028876519</v>
      </c>
      <c r="G8" s="49">
        <v>140000</v>
      </c>
      <c r="H8" s="50">
        <f t="shared" si="0"/>
        <v>125000</v>
      </c>
    </row>
    <row r="9" spans="2:8" x14ac:dyDescent="0.25">
      <c r="B9" s="17">
        <v>6</v>
      </c>
      <c r="C9" s="17" t="s">
        <v>24</v>
      </c>
      <c r="D9" s="15" t="s">
        <v>21</v>
      </c>
      <c r="E9" s="16">
        <v>98090405110</v>
      </c>
      <c r="G9" s="51">
        <v>140000</v>
      </c>
      <c r="H9" s="50">
        <f t="shared" si="0"/>
        <v>125000</v>
      </c>
    </row>
    <row r="10" spans="2:8" x14ac:dyDescent="0.25">
      <c r="B10" s="17">
        <v>7</v>
      </c>
      <c r="C10" s="17" t="s">
        <v>25</v>
      </c>
      <c r="D10" s="15" t="s">
        <v>5</v>
      </c>
      <c r="E10" s="16">
        <v>39704333</v>
      </c>
      <c r="G10" s="49">
        <v>148000</v>
      </c>
      <c r="H10" s="50">
        <f t="shared" si="0"/>
        <v>133000</v>
      </c>
    </row>
    <row r="11" spans="2:8" x14ac:dyDescent="0.25">
      <c r="B11" s="17">
        <v>8</v>
      </c>
      <c r="C11" s="17" t="s">
        <v>26</v>
      </c>
      <c r="D11" s="15" t="s">
        <v>5</v>
      </c>
      <c r="E11" s="16">
        <v>41517360</v>
      </c>
      <c r="G11" s="51">
        <v>148000</v>
      </c>
      <c r="H11" s="50">
        <f t="shared" si="0"/>
        <v>133000</v>
      </c>
    </row>
    <row r="12" spans="2:8" x14ac:dyDescent="0.25">
      <c r="B12" s="17">
        <v>9</v>
      </c>
      <c r="C12" s="17" t="s">
        <v>27</v>
      </c>
      <c r="D12" s="15" t="s">
        <v>5</v>
      </c>
      <c r="E12" s="16">
        <v>19199204</v>
      </c>
      <c r="G12" s="49">
        <v>148000</v>
      </c>
      <c r="H12" s="50">
        <f t="shared" si="0"/>
        <v>133000</v>
      </c>
    </row>
    <row r="13" spans="2:8" x14ac:dyDescent="0.25">
      <c r="B13" s="17">
        <v>10</v>
      </c>
      <c r="C13" s="17" t="s">
        <v>28</v>
      </c>
      <c r="D13" s="15" t="s">
        <v>5</v>
      </c>
      <c r="E13" s="16">
        <v>20357616</v>
      </c>
      <c r="G13" s="51">
        <v>148000</v>
      </c>
      <c r="H13" s="50">
        <f t="shared" si="0"/>
        <v>133000</v>
      </c>
    </row>
    <row r="14" spans="2:8" x14ac:dyDescent="0.25">
      <c r="B14" s="17">
        <v>11</v>
      </c>
      <c r="C14" s="17" t="s">
        <v>29</v>
      </c>
      <c r="D14" s="15" t="s">
        <v>5</v>
      </c>
      <c r="E14" s="16">
        <v>79502637</v>
      </c>
      <c r="G14" s="49">
        <v>148000</v>
      </c>
      <c r="H14" s="50">
        <f t="shared" si="0"/>
        <v>133000</v>
      </c>
    </row>
    <row r="15" spans="2:8" x14ac:dyDescent="0.25">
      <c r="B15" s="17">
        <v>12</v>
      </c>
      <c r="C15" s="17" t="s">
        <v>30</v>
      </c>
      <c r="D15" s="15" t="s">
        <v>5</v>
      </c>
      <c r="E15" s="16">
        <v>1027285231</v>
      </c>
      <c r="G15" s="51">
        <v>148000</v>
      </c>
      <c r="H15" s="50">
        <f t="shared" si="0"/>
        <v>133000</v>
      </c>
    </row>
    <row r="16" spans="2:8" x14ac:dyDescent="0.25">
      <c r="B16" s="17">
        <v>13</v>
      </c>
      <c r="C16" s="17" t="s">
        <v>43</v>
      </c>
      <c r="D16" s="15" t="s">
        <v>21</v>
      </c>
      <c r="E16" s="16">
        <v>1019908883</v>
      </c>
      <c r="G16" s="49">
        <v>140000</v>
      </c>
      <c r="H16" s="50">
        <f t="shared" si="0"/>
        <v>125000</v>
      </c>
    </row>
    <row r="17" spans="2:8" x14ac:dyDescent="0.25">
      <c r="B17" s="17">
        <v>14</v>
      </c>
      <c r="C17" s="17" t="s">
        <v>2</v>
      </c>
      <c r="D17" s="15" t="s">
        <v>4</v>
      </c>
      <c r="E17" s="16">
        <v>1072963889</v>
      </c>
      <c r="G17" s="51">
        <v>140000</v>
      </c>
      <c r="H17" s="50">
        <f t="shared" si="0"/>
        <v>125000</v>
      </c>
    </row>
    <row r="18" spans="2:8" x14ac:dyDescent="0.25">
      <c r="B18" s="17">
        <v>15</v>
      </c>
      <c r="C18" s="17" t="s">
        <v>3</v>
      </c>
      <c r="D18" s="15" t="s">
        <v>5</v>
      </c>
      <c r="E18" s="16">
        <v>1010051972</v>
      </c>
      <c r="G18" s="49">
        <v>148000</v>
      </c>
      <c r="H18" s="50">
        <f t="shared" si="0"/>
        <v>133000</v>
      </c>
    </row>
    <row r="19" spans="2:8" x14ac:dyDescent="0.25">
      <c r="B19" s="17">
        <v>16</v>
      </c>
      <c r="C19" s="17" t="s">
        <v>54</v>
      </c>
      <c r="D19" s="15" t="s">
        <v>21</v>
      </c>
      <c r="E19" s="16">
        <v>1072960894</v>
      </c>
      <c r="G19" s="51">
        <v>140000</v>
      </c>
      <c r="H19" s="50">
        <f t="shared" si="0"/>
        <v>125000</v>
      </c>
    </row>
    <row r="20" spans="2:8" x14ac:dyDescent="0.25">
      <c r="B20" s="17">
        <v>17</v>
      </c>
      <c r="C20" s="17" t="s">
        <v>13</v>
      </c>
      <c r="D20" s="15" t="s">
        <v>5</v>
      </c>
      <c r="E20" s="16">
        <v>1013633198</v>
      </c>
      <c r="G20" s="49">
        <v>148000</v>
      </c>
      <c r="H20" s="50">
        <f t="shared" si="0"/>
        <v>133000</v>
      </c>
    </row>
    <row r="21" spans="2:8" x14ac:dyDescent="0.25">
      <c r="B21" s="17">
        <v>18</v>
      </c>
      <c r="C21" s="17" t="s">
        <v>15</v>
      </c>
      <c r="D21" s="15" t="s">
        <v>5</v>
      </c>
      <c r="E21" s="16">
        <v>1072962420</v>
      </c>
      <c r="G21" s="51">
        <v>148000</v>
      </c>
      <c r="H21" s="50">
        <f t="shared" si="0"/>
        <v>133000</v>
      </c>
    </row>
    <row r="22" spans="2:8" x14ac:dyDescent="0.25">
      <c r="B22" s="17">
        <v>19</v>
      </c>
      <c r="C22" s="17" t="s">
        <v>16</v>
      </c>
      <c r="D22" s="15" t="s">
        <v>4</v>
      </c>
      <c r="E22" s="16">
        <v>1195268000</v>
      </c>
      <c r="G22" s="49">
        <v>140000</v>
      </c>
      <c r="H22" s="50">
        <f t="shared" si="0"/>
        <v>125000</v>
      </c>
    </row>
    <row r="23" spans="2:8" x14ac:dyDescent="0.25">
      <c r="B23" s="17">
        <v>20</v>
      </c>
      <c r="C23" s="17" t="s">
        <v>17</v>
      </c>
      <c r="D23" s="15" t="s">
        <v>5</v>
      </c>
      <c r="E23" s="16">
        <v>39714585</v>
      </c>
      <c r="G23" s="51">
        <v>148000</v>
      </c>
      <c r="H23" s="50">
        <f t="shared" si="0"/>
        <v>133000</v>
      </c>
    </row>
    <row r="24" spans="2:8" x14ac:dyDescent="0.25">
      <c r="B24" s="17">
        <v>21</v>
      </c>
      <c r="C24" s="17" t="s">
        <v>50</v>
      </c>
      <c r="D24" s="15" t="s">
        <v>5</v>
      </c>
      <c r="E24" s="16">
        <v>17045400</v>
      </c>
      <c r="G24" s="49">
        <v>148000</v>
      </c>
      <c r="H24" s="50">
        <f t="shared" si="0"/>
        <v>133000</v>
      </c>
    </row>
    <row r="25" spans="2:8" x14ac:dyDescent="0.25">
      <c r="B25" s="17">
        <v>22</v>
      </c>
      <c r="C25" s="17" t="s">
        <v>51</v>
      </c>
      <c r="D25" s="15" t="s">
        <v>5</v>
      </c>
      <c r="E25" s="16">
        <v>20871030</v>
      </c>
      <c r="G25" s="51">
        <v>148000</v>
      </c>
      <c r="H25" s="50">
        <f t="shared" si="0"/>
        <v>133000</v>
      </c>
    </row>
    <row r="26" spans="2:8" x14ac:dyDescent="0.25">
      <c r="B26" s="17">
        <v>23</v>
      </c>
      <c r="C26" s="17" t="s">
        <v>52</v>
      </c>
      <c r="D26" s="15" t="s">
        <v>5</v>
      </c>
      <c r="E26" s="16">
        <v>20871360</v>
      </c>
      <c r="G26" s="49">
        <v>148000</v>
      </c>
      <c r="H26" s="50">
        <f t="shared" si="0"/>
        <v>133000</v>
      </c>
    </row>
    <row r="27" spans="2:8" x14ac:dyDescent="0.25">
      <c r="B27" s="17">
        <v>24</v>
      </c>
      <c r="C27" s="17" t="s">
        <v>34</v>
      </c>
      <c r="D27" s="15" t="s">
        <v>5</v>
      </c>
      <c r="E27" s="16">
        <v>65739648</v>
      </c>
      <c r="G27" s="51">
        <v>148000</v>
      </c>
      <c r="H27" s="50">
        <f t="shared" si="0"/>
        <v>133000</v>
      </c>
    </row>
    <row r="28" spans="2:8" x14ac:dyDescent="0.25">
      <c r="B28" s="17">
        <v>25</v>
      </c>
      <c r="C28" s="17" t="s">
        <v>53</v>
      </c>
      <c r="D28" s="15" t="s">
        <v>21</v>
      </c>
      <c r="E28" s="16">
        <v>1073630290</v>
      </c>
      <c r="G28" s="49">
        <v>140000</v>
      </c>
      <c r="H28" s="50">
        <f t="shared" si="0"/>
        <v>125000</v>
      </c>
    </row>
    <row r="29" spans="2:8" x14ac:dyDescent="0.25">
      <c r="B29" s="17">
        <v>26</v>
      </c>
      <c r="C29" s="17" t="s">
        <v>36</v>
      </c>
      <c r="D29" s="15" t="s">
        <v>21</v>
      </c>
      <c r="E29" s="16">
        <v>1073630175</v>
      </c>
      <c r="G29" s="51">
        <v>140000</v>
      </c>
      <c r="H29" s="50">
        <f t="shared" si="0"/>
        <v>125000</v>
      </c>
    </row>
    <row r="30" spans="2:8" x14ac:dyDescent="0.25">
      <c r="B30" s="17">
        <v>27</v>
      </c>
      <c r="C30" s="17" t="s">
        <v>57</v>
      </c>
      <c r="D30" s="15" t="s">
        <v>5</v>
      </c>
      <c r="E30" s="16">
        <v>21013371</v>
      </c>
      <c r="G30" s="53">
        <v>148000</v>
      </c>
      <c r="H30" s="54">
        <f>Tabla1[[#This Row],[valor]]</f>
        <v>148000</v>
      </c>
    </row>
    <row r="31" spans="2:8" x14ac:dyDescent="0.25">
      <c r="B31" s="17">
        <v>28</v>
      </c>
      <c r="C31" s="17" t="s">
        <v>60</v>
      </c>
      <c r="D31" s="15" t="s">
        <v>5</v>
      </c>
      <c r="E31" s="16">
        <v>41681426</v>
      </c>
      <c r="G31" s="53">
        <v>148000</v>
      </c>
      <c r="H31" s="54">
        <f>Tabla1[[#This Row],[valor]]</f>
        <v>148000</v>
      </c>
    </row>
    <row r="32" spans="2:8" x14ac:dyDescent="0.25">
      <c r="B32" s="17">
        <v>29</v>
      </c>
      <c r="C32" s="17" t="s">
        <v>69</v>
      </c>
      <c r="D32" s="15" t="s">
        <v>5</v>
      </c>
      <c r="E32" s="16">
        <v>4211176</v>
      </c>
      <c r="G32" s="53">
        <v>148000</v>
      </c>
      <c r="H32" s="54">
        <f>Tabla1[[#This Row],[valor]]</f>
        <v>148000</v>
      </c>
    </row>
    <row r="33" spans="2:8" x14ac:dyDescent="0.25">
      <c r="B33" s="17">
        <v>30</v>
      </c>
      <c r="C33" s="17" t="s">
        <v>62</v>
      </c>
      <c r="D33" s="15" t="s">
        <v>5</v>
      </c>
      <c r="E33" s="16">
        <v>21013470</v>
      </c>
      <c r="G33" s="53">
        <v>148000</v>
      </c>
      <c r="H33" s="54">
        <f>Tabla1[[#This Row],[valor]]</f>
        <v>148000</v>
      </c>
    </row>
    <row r="34" spans="2:8" x14ac:dyDescent="0.25">
      <c r="B34" s="17">
        <v>31</v>
      </c>
      <c r="C34" s="17" t="s">
        <v>63</v>
      </c>
      <c r="D34" s="15" t="s">
        <v>5</v>
      </c>
      <c r="E34" s="16">
        <v>21007814</v>
      </c>
      <c r="G34" s="53">
        <v>148000</v>
      </c>
      <c r="H34" s="54">
        <f>Tabla1[[#This Row],[valor]]</f>
        <v>148000</v>
      </c>
    </row>
    <row r="35" spans="2:8" x14ac:dyDescent="0.25">
      <c r="B35" s="17">
        <v>32</v>
      </c>
      <c r="C35" s="17" t="s">
        <v>70</v>
      </c>
      <c r="D35" s="15" t="s">
        <v>5</v>
      </c>
      <c r="E35" s="16">
        <v>1075629194</v>
      </c>
      <c r="G35" s="53">
        <v>148000</v>
      </c>
      <c r="H35" s="54">
        <f>Tabla1[[#This Row],[valor]]</f>
        <v>148000</v>
      </c>
    </row>
    <row r="36" spans="2:8" x14ac:dyDescent="0.25">
      <c r="B36" s="17">
        <v>33</v>
      </c>
      <c r="C36" s="17" t="s">
        <v>65</v>
      </c>
      <c r="D36" s="15" t="s">
        <v>5</v>
      </c>
      <c r="E36" s="16">
        <v>21012039</v>
      </c>
      <c r="G36" s="53">
        <v>0</v>
      </c>
      <c r="H36" s="54">
        <v>0</v>
      </c>
    </row>
    <row r="37" spans="2:8" x14ac:dyDescent="0.25">
      <c r="B37" s="17">
        <v>34</v>
      </c>
      <c r="C37" s="17" t="s">
        <v>67</v>
      </c>
      <c r="D37" s="15" t="s">
        <v>5</v>
      </c>
      <c r="E37" s="16">
        <v>1000227821</v>
      </c>
      <c r="G37" s="51">
        <v>148000</v>
      </c>
      <c r="H37" s="52">
        <f>G37-15000</f>
        <v>133000</v>
      </c>
    </row>
    <row r="38" spans="2:8" x14ac:dyDescent="0.25">
      <c r="B38" s="17">
        <v>35</v>
      </c>
      <c r="C38" s="17" t="s">
        <v>68</v>
      </c>
      <c r="D38" s="15" t="s">
        <v>5</v>
      </c>
      <c r="E38" s="16">
        <v>1007101361</v>
      </c>
      <c r="G38" s="49">
        <v>148000</v>
      </c>
      <c r="H38" s="50">
        <f>Tabla1[[#This Row],[valor]]-15000</f>
        <v>133000</v>
      </c>
    </row>
    <row r="39" spans="2:8" x14ac:dyDescent="0.25">
      <c r="B39" s="17">
        <v>36</v>
      </c>
      <c r="C39" s="17" t="s">
        <v>37</v>
      </c>
      <c r="D39" s="15" t="s">
        <v>5</v>
      </c>
      <c r="E39" s="16">
        <v>79538678</v>
      </c>
      <c r="G39" s="53">
        <v>0</v>
      </c>
      <c r="H39" s="55">
        <v>0</v>
      </c>
    </row>
    <row r="40" spans="2:8" x14ac:dyDescent="0.25">
      <c r="B40" s="17">
        <v>37</v>
      </c>
      <c r="C40" s="17" t="s">
        <v>38</v>
      </c>
      <c r="D40" s="15" t="s">
        <v>5</v>
      </c>
      <c r="E40" s="16">
        <v>1007953320</v>
      </c>
      <c r="G40" s="53">
        <v>0</v>
      </c>
      <c r="H40" s="55">
        <v>0</v>
      </c>
    </row>
    <row r="41" spans="2:8" x14ac:dyDescent="0.25">
      <c r="B41" s="17">
        <v>38</v>
      </c>
      <c r="C41" s="17" t="s">
        <v>39</v>
      </c>
      <c r="D41" s="15" t="s">
        <v>5</v>
      </c>
      <c r="E41" s="16">
        <v>1070588821</v>
      </c>
      <c r="G41" s="53">
        <v>0</v>
      </c>
      <c r="H41" s="55">
        <v>0</v>
      </c>
    </row>
    <row r="42" spans="2:8" x14ac:dyDescent="0.25">
      <c r="B42" s="17">
        <v>39</v>
      </c>
      <c r="C42" s="17" t="s">
        <v>40</v>
      </c>
      <c r="D42" s="15" t="s">
        <v>5</v>
      </c>
      <c r="E42" s="16">
        <v>79656808</v>
      </c>
      <c r="G42" s="53">
        <v>0</v>
      </c>
      <c r="H42" s="55">
        <v>0</v>
      </c>
    </row>
    <row r="43" spans="2:8" x14ac:dyDescent="0.25">
      <c r="B43" s="17">
        <v>40</v>
      </c>
      <c r="C43" s="17" t="s">
        <v>45</v>
      </c>
      <c r="D43" s="15" t="s">
        <v>5</v>
      </c>
      <c r="E43" s="16">
        <v>1075628177</v>
      </c>
      <c r="G43" s="51">
        <v>148000</v>
      </c>
      <c r="H43" s="52">
        <f>Tabla1[[#This Row],[valor]]-15000</f>
        <v>133000</v>
      </c>
    </row>
    <row r="44" spans="2:8" x14ac:dyDescent="0.25">
      <c r="B44" s="17">
        <v>41</v>
      </c>
      <c r="C44" s="17" t="s">
        <v>41</v>
      </c>
      <c r="D44" s="15" t="s">
        <v>21</v>
      </c>
      <c r="E44" s="16">
        <v>1014877742</v>
      </c>
      <c r="G44" s="49">
        <v>148000</v>
      </c>
      <c r="H44" s="52">
        <f>Tabla1[[#This Row],[valor]]-15000</f>
        <v>133000</v>
      </c>
    </row>
    <row r="45" spans="2:8" x14ac:dyDescent="0.25">
      <c r="B45" s="17">
        <v>42</v>
      </c>
      <c r="C45" s="17" t="s">
        <v>44</v>
      </c>
      <c r="D45" s="15" t="s">
        <v>5</v>
      </c>
      <c r="E45" s="16">
        <v>2950955</v>
      </c>
      <c r="G45" s="51">
        <v>148000</v>
      </c>
      <c r="H45" s="52">
        <f>Tabla1[[#This Row],[valor]]-15000</f>
        <v>133000</v>
      </c>
    </row>
    <row r="46" spans="2:8" x14ac:dyDescent="0.25">
      <c r="B46" s="17">
        <v>43</v>
      </c>
      <c r="C46" s="17" t="s">
        <v>55</v>
      </c>
      <c r="D46" s="15" t="s">
        <v>5</v>
      </c>
      <c r="E46" s="16">
        <v>20358624</v>
      </c>
      <c r="G46" s="49">
        <v>148000</v>
      </c>
      <c r="H46" s="52">
        <f>Tabla1[[#This Row],[valor]]-15000</f>
        <v>133000</v>
      </c>
    </row>
    <row r="47" spans="2:8" x14ac:dyDescent="0.25">
      <c r="B47" s="17">
        <v>44</v>
      </c>
      <c r="C47" s="17" t="s">
        <v>48</v>
      </c>
      <c r="D47" s="15" t="s">
        <v>5</v>
      </c>
      <c r="E47" s="16">
        <v>20871810</v>
      </c>
      <c r="G47" s="51">
        <v>148000</v>
      </c>
      <c r="H47" s="52">
        <f>Tabla1[[#This Row],[valor]]-15000</f>
        <v>133000</v>
      </c>
    </row>
    <row r="48" spans="2:8" x14ac:dyDescent="0.25">
      <c r="B48" s="17">
        <v>45</v>
      </c>
      <c r="C48" s="17" t="s">
        <v>80</v>
      </c>
      <c r="D48" s="15" t="s">
        <v>21</v>
      </c>
      <c r="E48" s="16">
        <v>1070613331</v>
      </c>
      <c r="G48" s="53">
        <v>60000</v>
      </c>
      <c r="H48" s="54">
        <v>60000</v>
      </c>
    </row>
    <row r="49" spans="2:8" x14ac:dyDescent="0.25">
      <c r="B49" s="17">
        <v>46</v>
      </c>
      <c r="C49" s="17" t="s">
        <v>81</v>
      </c>
      <c r="D49" s="15" t="s">
        <v>5</v>
      </c>
      <c r="E49" s="16">
        <v>21016823</v>
      </c>
      <c r="G49" s="53">
        <v>25000</v>
      </c>
      <c r="H49" s="54">
        <v>25000</v>
      </c>
    </row>
    <row r="50" spans="2:8" x14ac:dyDescent="0.25">
      <c r="B50" s="17">
        <v>47</v>
      </c>
      <c r="C50" s="17" t="s">
        <v>83</v>
      </c>
      <c r="D50" s="15" t="s">
        <v>4</v>
      </c>
      <c r="E50" s="15">
        <v>1073630853</v>
      </c>
      <c r="G50" s="49">
        <v>140000</v>
      </c>
      <c r="H50" s="50">
        <f>Tabla1[[#This Row],[valor]]-15000</f>
        <v>125000</v>
      </c>
    </row>
    <row r="51" spans="2:8" x14ac:dyDescent="0.25">
      <c r="B51" s="17">
        <v>48</v>
      </c>
      <c r="C51" s="17" t="s">
        <v>84</v>
      </c>
      <c r="D51" s="15" t="s">
        <v>21</v>
      </c>
      <c r="E51" s="15">
        <v>1222204996</v>
      </c>
      <c r="G51" s="51">
        <v>148000</v>
      </c>
      <c r="H51" s="50">
        <f>Tabla1[[#This Row],[valor]]-15000</f>
        <v>133000</v>
      </c>
    </row>
    <row r="52" spans="2:8" x14ac:dyDescent="0.25">
      <c r="B52" s="17">
        <v>49</v>
      </c>
      <c r="C52" s="17" t="s">
        <v>85</v>
      </c>
      <c r="D52" s="15" t="s">
        <v>5</v>
      </c>
      <c r="E52" s="15">
        <v>1070593550</v>
      </c>
      <c r="G52" s="49">
        <v>148000</v>
      </c>
      <c r="H52" s="50">
        <f>Tabla1[[#This Row],[valor]]-15000</f>
        <v>133000</v>
      </c>
    </row>
    <row r="53" spans="2:8" x14ac:dyDescent="0.25">
      <c r="G53" s="33">
        <f>SUM(G4:G52)</f>
        <v>6221000</v>
      </c>
      <c r="H53" s="33">
        <f>SUM(H4:H52)</f>
        <v>5681000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Hoja3</vt:lpstr>
      <vt:lpstr>Hoja4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2024-05-27T20:03:49Z</dcterms:created>
  <dcterms:modified xsi:type="dcterms:W3CDTF">2024-06-27T19:35:51Z</dcterms:modified>
</cp:coreProperties>
</file>