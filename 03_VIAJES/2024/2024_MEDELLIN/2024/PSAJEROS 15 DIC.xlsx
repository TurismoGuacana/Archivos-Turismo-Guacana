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MEDELLÍN\2024\"/>
    </mc:Choice>
  </mc:AlternateContent>
  <xr:revisionPtr revIDLastSave="0" documentId="13_ncr:1_{A24C4B7D-2A96-40FF-BA48-4441163A4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L45" i="1"/>
  <c r="K49" i="1"/>
  <c r="O22" i="1"/>
  <c r="O18" i="1"/>
  <c r="O17" i="1"/>
  <c r="O9" i="1" l="1"/>
  <c r="P9" i="1" s="1"/>
  <c r="O8" i="1"/>
  <c r="P8" i="1" s="1"/>
  <c r="O7" i="1"/>
  <c r="P7" i="1" s="1"/>
  <c r="O6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2" i="1"/>
  <c r="L33" i="1"/>
  <c r="L34" i="1"/>
  <c r="L35" i="1"/>
  <c r="L36" i="1"/>
  <c r="L37" i="1"/>
  <c r="L38" i="1"/>
  <c r="L39" i="1"/>
  <c r="L40" i="1"/>
  <c r="L41" i="1"/>
  <c r="L47" i="1"/>
  <c r="L48" i="1"/>
  <c r="I48" i="2"/>
  <c r="I46" i="2"/>
  <c r="I47" i="2"/>
  <c r="I45" i="2"/>
  <c r="I44" i="2"/>
  <c r="L49" i="1" l="1"/>
  <c r="O23" i="1" s="1"/>
  <c r="O24" i="1" s="1"/>
  <c r="P6" i="1"/>
  <c r="P10" i="1" s="1"/>
  <c r="O10" i="1"/>
</calcChain>
</file>

<file path=xl/sharedStrings.xml><?xml version="1.0" encoding="utf-8"?>
<sst xmlns="http://schemas.openxmlformats.org/spreadsheetml/2006/main" count="383" uniqueCount="106">
  <si>
    <t>#</t>
  </si>
  <si>
    <t>Nombre</t>
  </si>
  <si>
    <t>TD</t>
  </si>
  <si>
    <t>#D</t>
  </si>
  <si>
    <t xml:space="preserve">Fecha de Nacimiento </t>
  </si>
  <si>
    <t>Cel</t>
  </si>
  <si>
    <t>Comisionista</t>
  </si>
  <si>
    <t>Salida</t>
  </si>
  <si>
    <t>Abonos</t>
  </si>
  <si>
    <t>Lady Peña Zamora</t>
  </si>
  <si>
    <t>CC</t>
  </si>
  <si>
    <t xml:space="preserve">Edith </t>
  </si>
  <si>
    <t>Apulo</t>
  </si>
  <si>
    <t>PT</t>
  </si>
  <si>
    <t xml:space="preserve">Consuelo Herrera Vargas </t>
  </si>
  <si>
    <t>Salomé Henao Peña</t>
  </si>
  <si>
    <t xml:space="preserve">Ana Cecilia Medina de Acero </t>
  </si>
  <si>
    <t xml:space="preserve">Fernando Acero Martínez </t>
  </si>
  <si>
    <t xml:space="preserve">Diana Carolina Pinzón Ramírez </t>
  </si>
  <si>
    <t>LAD</t>
  </si>
  <si>
    <t>Anapoima</t>
  </si>
  <si>
    <t xml:space="preserve">Diana Gabriela Pinzón Ramírez </t>
  </si>
  <si>
    <t>TI</t>
  </si>
  <si>
    <t>310 314 3936</t>
  </si>
  <si>
    <t xml:space="preserve">Ian David Romero Guerrero </t>
  </si>
  <si>
    <t xml:space="preserve">Ginna Paola Guerrero Rubiano </t>
  </si>
  <si>
    <t>312 449 4909</t>
  </si>
  <si>
    <t xml:space="preserve">Samuel David Romero Guerrero </t>
  </si>
  <si>
    <t>RC</t>
  </si>
  <si>
    <t xml:space="preserve">Angélica María Moreno Gil </t>
  </si>
  <si>
    <t>313 544 3716</t>
  </si>
  <si>
    <t>Aleja</t>
  </si>
  <si>
    <t xml:space="preserve">Roberto Carlos Huertas Molina </t>
  </si>
  <si>
    <t>320 273 9002</t>
  </si>
  <si>
    <t xml:space="preserve">Juan Jose Huertas Moreno </t>
  </si>
  <si>
    <t xml:space="preserve">Luciana Huertas Moreno </t>
  </si>
  <si>
    <t xml:space="preserve">María Consejo Suárez </t>
  </si>
  <si>
    <t xml:space="preserve">Carlos Julio Arias </t>
  </si>
  <si>
    <t xml:space="preserve">PT </t>
  </si>
  <si>
    <t xml:space="preserve">Carmenza Orjuela Porras </t>
  </si>
  <si>
    <t xml:space="preserve">Diana Paola Patiño Salazar </t>
  </si>
  <si>
    <t>313 885 9110</t>
  </si>
  <si>
    <t xml:space="preserve">Tocaima </t>
  </si>
  <si>
    <t xml:space="preserve">Sandra Liliana Fonseca </t>
  </si>
  <si>
    <t>311 234 6117</t>
  </si>
  <si>
    <t xml:space="preserve">Nancy Amanda Lemus Barajas </t>
  </si>
  <si>
    <t xml:space="preserve">Cesar Alfonso Cárdenas Restrepo </t>
  </si>
  <si>
    <t>311 894 6308</t>
  </si>
  <si>
    <t xml:space="preserve">María Alejandra Vélez González </t>
  </si>
  <si>
    <t xml:space="preserve">María Fernanda Vélez González </t>
  </si>
  <si>
    <t>Thiago Alejandro Velez González</t>
  </si>
  <si>
    <t>Leidy Johana Gonzalez Gil</t>
  </si>
  <si>
    <t>Sonia Lorena Ovalle Tique</t>
  </si>
  <si>
    <t>321 942 6062</t>
  </si>
  <si>
    <t>Luis Nelson Hurtado Macedo</t>
  </si>
  <si>
    <t>Matias Hurtado Ovalle</t>
  </si>
  <si>
    <t>Sandra Milena Moreno</t>
  </si>
  <si>
    <t>323 209 5178</t>
  </si>
  <si>
    <t xml:space="preserve">Emily Dayan Lara Romero </t>
  </si>
  <si>
    <t>Jose Aristobulo Echeverry Aguilar</t>
  </si>
  <si>
    <t>Yolanda Jaramillo Bernal</t>
  </si>
  <si>
    <t>Yulieth Echeverry Jaramillo</t>
  </si>
  <si>
    <t>APULO H</t>
  </si>
  <si>
    <t>H</t>
  </si>
  <si>
    <t>TETE</t>
  </si>
  <si>
    <t>Yareglis Quiroz</t>
  </si>
  <si>
    <t>PPT</t>
  </si>
  <si>
    <t>Luis Nieves</t>
  </si>
  <si>
    <t>Annabella Rodriguez</t>
  </si>
  <si>
    <t>C.C</t>
  </si>
  <si>
    <t>T.I</t>
  </si>
  <si>
    <t>LUIS DUARTE</t>
  </si>
  <si>
    <t>VALERY NATALIA DUARTE GOMEZ</t>
  </si>
  <si>
    <t>Gabriel Cabrera</t>
  </si>
  <si>
    <t>Isabella Cabrera</t>
  </si>
  <si>
    <t>Julian Duarte Gomez</t>
  </si>
  <si>
    <t>EMPRESA</t>
  </si>
  <si>
    <t>María del Pilar Barrero</t>
  </si>
  <si>
    <t>Hernando Forero Berrio</t>
  </si>
  <si>
    <t>Nohora Cristina Roa Peña</t>
  </si>
  <si>
    <t>Noralba Peña Betancourt</t>
  </si>
  <si>
    <t>Hulandas</t>
  </si>
  <si>
    <t>Tocaima</t>
  </si>
  <si>
    <t>TOTAL</t>
  </si>
  <si>
    <t>COMISIONISTA</t>
  </si>
  <si>
    <t>CANT</t>
  </si>
  <si>
    <t>EDITH</t>
  </si>
  <si>
    <t>ALEJA</t>
  </si>
  <si>
    <t xml:space="preserve">Cenón Moyano </t>
  </si>
  <si>
    <t>cc</t>
  </si>
  <si>
    <t>GESTORA S</t>
  </si>
  <si>
    <t>Luis Lara</t>
  </si>
  <si>
    <t>valor</t>
  </si>
  <si>
    <t>comisión</t>
  </si>
  <si>
    <t>VALOR</t>
  </si>
  <si>
    <t>COSTOS Y GASTOS</t>
  </si>
  <si>
    <t>TRANSPORTE</t>
  </si>
  <si>
    <t>SEGURO</t>
  </si>
  <si>
    <t>ALMUERZO 1</t>
  </si>
  <si>
    <t>ALMUERZO 2</t>
  </si>
  <si>
    <t>FERRY</t>
  </si>
  <si>
    <t>COMUNA 13</t>
  </si>
  <si>
    <t>ALOJAMIENTO + DESAYUNO</t>
  </si>
  <si>
    <t>INGRESO</t>
  </si>
  <si>
    <t>UTILIDAD</t>
  </si>
  <si>
    <t>GASTOS DE REPRESENTACIÓN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</si>
</sst>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42" fontId="0" fillId="0" borderId="0" xfId="1" applyFont="1" applyAlignment="1">
      <alignment horizontal="center"/>
    </xf>
    <xf numFmtId="42" fontId="0" fillId="0" borderId="0" xfId="1" applyFont="1"/>
    <xf numFmtId="42" fontId="0" fillId="0" borderId="1" xfId="1" applyFont="1" applyBorder="1"/>
    <xf numFmtId="42" fontId="0" fillId="0" borderId="0" xfId="1" applyNumberFormat="1" applyFont="1" applyAlignment="1">
      <alignment horizontal="center"/>
    </xf>
    <xf numFmtId="42" fontId="0" fillId="0" borderId="0" xfId="0" applyNumberFormat="1"/>
    <xf numFmtId="0" fontId="0" fillId="0" borderId="1" xfId="0" applyBorder="1" applyAlignment="1">
      <alignment horizontal="center"/>
    </xf>
    <xf numFmtId="42" fontId="0" fillId="0" borderId="2" xfId="1" applyFont="1" applyBorder="1"/>
    <xf numFmtId="0" fontId="0" fillId="0" borderId="3" xfId="0" applyBorder="1"/>
    <xf numFmtId="42" fontId="0" fillId="0" borderId="3" xfId="1" applyFont="1" applyBorder="1"/>
    <xf numFmtId="42" fontId="0" fillId="0" borderId="2" xfId="0" applyNumberFormat="1" applyBorder="1"/>
    <xf numFmtId="42" fontId="0" fillId="0" borderId="3" xfId="0" applyNumberFormat="1" applyBorder="1"/>
    <xf numFmtId="0" fontId="0" fillId="2" borderId="2" xfId="0" applyFill="1" applyBorder="1"/>
    <xf numFmtId="0" fontId="0" fillId="5" borderId="3" xfId="0" applyFill="1" applyBorder="1"/>
    <xf numFmtId="0" fontId="0" fillId="3" borderId="2" xfId="0" applyFill="1" applyBorder="1"/>
    <xf numFmtId="0" fontId="0" fillId="0" borderId="1" xfId="0" applyFill="1" applyBorder="1"/>
  </cellXfs>
  <cellStyles count="2">
    <cellStyle name="Moneda [0]" xfId="1" builtinId="7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5F224-91EE-48CB-A4B4-991D2898B5F5}" name="Tabla1" displayName="Tabla1" ref="B3:L49" totalsRowCount="1">
  <autoFilter ref="B3:L48" xr:uid="{C9D5F224-91EE-48CB-A4B4-991D2898B5F5}"/>
  <tableColumns count="11">
    <tableColumn id="1" xr3:uid="{10C50A60-7A9B-49AC-A509-D217F22FC855}" name="#" dataDxfId="23" totalsRowDxfId="9"/>
    <tableColumn id="2" xr3:uid="{8FF5A278-FA8E-422F-9211-18B44E18AEDC}" name="Nombre"/>
    <tableColumn id="3" xr3:uid="{D05F89C6-3739-45AA-B098-9561D7B27937}" name="TD" dataDxfId="22" totalsRowDxfId="8"/>
    <tableColumn id="4" xr3:uid="{CB63CA8F-E14F-4CB8-9085-86F08CE87A28}" name="#D" dataDxfId="21" totalsRowDxfId="7"/>
    <tableColumn id="5" xr3:uid="{C671D767-05BC-421D-ADD4-A7367ABCADB1}" name="Fecha de Nacimiento " dataDxfId="20" totalsRowDxfId="6"/>
    <tableColumn id="6" xr3:uid="{C62F41E6-ACC3-47CA-8B01-7C7F00148310}" name="Cel" dataDxfId="19" totalsRowDxfId="5"/>
    <tableColumn id="7" xr3:uid="{372214D1-E23B-44A1-AF2E-6D7D0D854F31}" name="Comisionista" dataDxfId="18" totalsRowDxfId="4"/>
    <tableColumn id="8" xr3:uid="{2C2AACC5-A9EC-48E5-B9EA-16C2D73CF427}" name="Salida" dataDxfId="17" totalsRowDxfId="3"/>
    <tableColumn id="9" xr3:uid="{7E107B8E-F113-4D60-ADC5-AA5EC4BC7AD5}" name="Abonos" dataDxfId="16" totalsRowDxfId="2"/>
    <tableColumn id="10" xr3:uid="{5A89153D-61B2-4E06-BCB4-76AD53594F43}" name="valor" totalsRowFunction="sum" dataDxfId="11" totalsRowDxfId="1" dataCellStyle="Moneda [0]" totalsRowCellStyle="Moneda [0]"/>
    <tableColumn id="11" xr3:uid="{B513BB2E-FBEA-43CE-9101-7ECB70CD0797}" name="comisión" totalsRowFunction="sum" dataDxfId="10" totalsRowDxfId="0" dataCellStyle="Moneda [0]" totalsRowCellStyle="Moneda [0]">
      <calculatedColumnFormula>Tabla1[[#This Row],[valor]]-25000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E50C7-F984-40EE-A9B4-EEFFB984C093}" name="Tabla13" displayName="Tabla13" ref="B3:F48" totalsRowShown="0">
  <autoFilter ref="B3:F48" xr:uid="{930E50C7-F984-40EE-A9B4-EEFFB984C093}"/>
  <tableColumns count="5">
    <tableColumn id="1" xr3:uid="{F3F31F75-F798-4121-9474-DED20BA3A96C}" name="#" dataDxfId="15"/>
    <tableColumn id="2" xr3:uid="{72A8FDE1-D8D2-4E32-974C-FDBD36EA8085}" name="Nombre"/>
    <tableColumn id="3" xr3:uid="{B50ADEC5-7B2F-4E6C-9F2E-8D1C6C27D25F}" name="TD" dataDxfId="14"/>
    <tableColumn id="4" xr3:uid="{EB203B43-5754-4A79-A905-C4C760561550}" name="#D" dataDxfId="13"/>
    <tableColumn id="8" xr3:uid="{BA321A79-3CE2-46FA-8A92-34181B8257A6}" name="Salida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43A7-4DEF-D54B-846C-A92B3A64F344}">
  <dimension ref="B3:P49"/>
  <sheetViews>
    <sheetView tabSelected="1" topLeftCell="E1" zoomScaleNormal="60" zoomScaleSheetLayoutView="100" workbookViewId="0">
      <selection activeCell="P23" sqref="P23"/>
    </sheetView>
  </sheetViews>
  <sheetFormatPr baseColWidth="10" defaultColWidth="9.140625" defaultRowHeight="15" x14ac:dyDescent="0.25"/>
  <cols>
    <col min="2" max="2" width="9.140625" style="2"/>
    <col min="3" max="3" width="32.7109375" customWidth="1"/>
    <col min="4" max="4" width="7.85546875" customWidth="1"/>
    <col min="5" max="5" width="13.85546875" customWidth="1"/>
    <col min="6" max="6" width="22.42578125" style="2" customWidth="1"/>
    <col min="7" max="7" width="15" style="2" customWidth="1"/>
    <col min="8" max="8" width="17.5703125" style="2" bestFit="1" customWidth="1"/>
    <col min="9" max="9" width="10.140625" style="2" bestFit="1" customWidth="1"/>
    <col min="10" max="10" width="9.85546875" style="2" customWidth="1"/>
    <col min="11" max="11" width="13" style="14" bestFit="1" customWidth="1"/>
    <col min="12" max="12" width="15.28515625" style="14" bestFit="1" customWidth="1"/>
    <col min="14" max="14" width="27" bestFit="1" customWidth="1"/>
    <col min="15" max="15" width="13" bestFit="1" customWidth="1"/>
    <col min="16" max="16" width="10.42578125" style="15" bestFit="1" customWidth="1"/>
  </cols>
  <sheetData>
    <row r="3" spans="2:16" x14ac:dyDescent="0.25">
      <c r="B3" s="2" t="s">
        <v>0</v>
      </c>
      <c r="C3" t="s">
        <v>1</v>
      </c>
      <c r="D3" t="s">
        <v>2</v>
      </c>
      <c r="E3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4" t="s">
        <v>92</v>
      </c>
      <c r="L3" s="14" t="s">
        <v>93</v>
      </c>
    </row>
    <row r="4" spans="2:16" x14ac:dyDescent="0.25">
      <c r="B4" s="2">
        <v>1</v>
      </c>
      <c r="C4" t="s">
        <v>9</v>
      </c>
      <c r="D4" s="2" t="s">
        <v>10</v>
      </c>
      <c r="E4" s="1">
        <v>52812</v>
      </c>
      <c r="F4" s="4">
        <v>30649</v>
      </c>
      <c r="H4" s="2" t="s">
        <v>11</v>
      </c>
      <c r="I4" s="3" t="s">
        <v>12</v>
      </c>
      <c r="J4" s="2" t="s">
        <v>13</v>
      </c>
      <c r="K4" s="14">
        <v>395000</v>
      </c>
      <c r="L4" s="14">
        <f>Tabla1[[#This Row],[valor]]-25000</f>
        <v>370000</v>
      </c>
    </row>
    <row r="5" spans="2:16" x14ac:dyDescent="0.25">
      <c r="B5" s="2">
        <v>2</v>
      </c>
      <c r="C5" t="s">
        <v>14</v>
      </c>
      <c r="D5" s="2" t="s">
        <v>10</v>
      </c>
      <c r="E5" s="1">
        <v>39558663</v>
      </c>
      <c r="F5" s="4">
        <v>23991</v>
      </c>
      <c r="H5" s="2" t="s">
        <v>11</v>
      </c>
      <c r="I5" s="3" t="s">
        <v>12</v>
      </c>
      <c r="J5" s="2" t="s">
        <v>13</v>
      </c>
      <c r="K5" s="14">
        <v>395000</v>
      </c>
      <c r="L5" s="14">
        <f>Tabla1[[#This Row],[valor]]-25000</f>
        <v>370000</v>
      </c>
      <c r="N5" s="9" t="s">
        <v>84</v>
      </c>
      <c r="O5" s="9" t="s">
        <v>85</v>
      </c>
      <c r="P5" s="16" t="s">
        <v>94</v>
      </c>
    </row>
    <row r="6" spans="2:16" x14ac:dyDescent="0.25">
      <c r="B6" s="2">
        <v>3</v>
      </c>
      <c r="C6" t="s">
        <v>15</v>
      </c>
      <c r="D6" s="2" t="s">
        <v>10</v>
      </c>
      <c r="E6" s="1">
        <v>1195466511</v>
      </c>
      <c r="F6" s="4">
        <v>30270</v>
      </c>
      <c r="H6" s="2" t="s">
        <v>11</v>
      </c>
      <c r="I6" s="3" t="s">
        <v>12</v>
      </c>
      <c r="J6" s="2" t="s">
        <v>13</v>
      </c>
      <c r="K6" s="14">
        <v>395000</v>
      </c>
      <c r="L6" s="14">
        <f>Tabla1[[#This Row],[valor]]-25000</f>
        <v>370000</v>
      </c>
      <c r="N6" s="9" t="s">
        <v>86</v>
      </c>
      <c r="O6" s="9">
        <f>COUNTIF(H:H,"Edith ")</f>
        <v>12</v>
      </c>
      <c r="P6" s="16">
        <f>O6*25000</f>
        <v>300000</v>
      </c>
    </row>
    <row r="7" spans="2:16" x14ac:dyDescent="0.25">
      <c r="B7" s="2">
        <v>4</v>
      </c>
      <c r="C7" t="s">
        <v>16</v>
      </c>
      <c r="D7" s="2" t="s">
        <v>10</v>
      </c>
      <c r="E7" s="1">
        <v>20858499</v>
      </c>
      <c r="F7" s="4">
        <v>18012</v>
      </c>
      <c r="H7" s="2" t="s">
        <v>11</v>
      </c>
      <c r="I7" s="3" t="s">
        <v>12</v>
      </c>
      <c r="J7" s="2" t="s">
        <v>13</v>
      </c>
      <c r="K7" s="14">
        <v>395000</v>
      </c>
      <c r="L7" s="14">
        <f>Tabla1[[#This Row],[valor]]-25000</f>
        <v>370000</v>
      </c>
      <c r="N7" s="9" t="s">
        <v>19</v>
      </c>
      <c r="O7" s="9">
        <f>COUNTIF(H:H,"LAD")</f>
        <v>18</v>
      </c>
      <c r="P7" s="16">
        <f t="shared" ref="P7:P9" si="0">O7*25000</f>
        <v>450000</v>
      </c>
    </row>
    <row r="8" spans="2:16" x14ac:dyDescent="0.25">
      <c r="B8" s="2">
        <v>5</v>
      </c>
      <c r="C8" t="s">
        <v>17</v>
      </c>
      <c r="D8" s="2" t="s">
        <v>10</v>
      </c>
      <c r="E8" s="1">
        <v>11283851</v>
      </c>
      <c r="F8" s="4">
        <v>18630</v>
      </c>
      <c r="H8" s="2" t="s">
        <v>11</v>
      </c>
      <c r="I8" s="3" t="s">
        <v>12</v>
      </c>
      <c r="J8" s="2" t="s">
        <v>13</v>
      </c>
      <c r="K8" s="14">
        <v>395000</v>
      </c>
      <c r="L8" s="14">
        <f>Tabla1[[#This Row],[valor]]-25000</f>
        <v>370000</v>
      </c>
      <c r="N8" s="9" t="s">
        <v>87</v>
      </c>
      <c r="O8" s="9">
        <f>COUNTIF(H:H,"Aleja")</f>
        <v>4</v>
      </c>
      <c r="P8" s="16">
        <f t="shared" si="0"/>
        <v>100000</v>
      </c>
    </row>
    <row r="9" spans="2:16" x14ac:dyDescent="0.25">
      <c r="B9" s="2">
        <v>6</v>
      </c>
      <c r="C9" t="s">
        <v>18</v>
      </c>
      <c r="D9" s="2" t="s">
        <v>10</v>
      </c>
      <c r="E9" s="1">
        <v>1072961116</v>
      </c>
      <c r="F9" s="4">
        <v>32848</v>
      </c>
      <c r="G9" s="2" t="s">
        <v>23</v>
      </c>
      <c r="H9" s="2" t="s">
        <v>19</v>
      </c>
      <c r="I9" s="6" t="s">
        <v>20</v>
      </c>
      <c r="J9" s="2" t="s">
        <v>13</v>
      </c>
      <c r="K9" s="14">
        <v>395000</v>
      </c>
      <c r="L9" s="14">
        <f>Tabla1[[#This Row],[valor]]-25000</f>
        <v>370000</v>
      </c>
      <c r="N9" s="9" t="s">
        <v>64</v>
      </c>
      <c r="O9" s="9">
        <f>COUNTIF(H:H,"TETE")</f>
        <v>3</v>
      </c>
      <c r="P9" s="16">
        <f t="shared" si="0"/>
        <v>75000</v>
      </c>
    </row>
    <row r="10" spans="2:16" x14ac:dyDescent="0.25">
      <c r="B10" s="2">
        <v>7</v>
      </c>
      <c r="C10" t="s">
        <v>21</v>
      </c>
      <c r="D10" s="2" t="s">
        <v>22</v>
      </c>
      <c r="E10" s="1">
        <v>1195463507</v>
      </c>
      <c r="F10" s="4">
        <v>40385</v>
      </c>
      <c r="H10" s="2" t="s">
        <v>19</v>
      </c>
      <c r="I10" s="6" t="s">
        <v>20</v>
      </c>
      <c r="J10" s="2" t="s">
        <v>13</v>
      </c>
      <c r="K10" s="14">
        <v>395000</v>
      </c>
      <c r="L10" s="14">
        <f>Tabla1[[#This Row],[valor]]-25000</f>
        <v>370000</v>
      </c>
      <c r="N10" s="9" t="s">
        <v>83</v>
      </c>
      <c r="O10" s="9">
        <f>SUM(O6:O9)</f>
        <v>37</v>
      </c>
      <c r="P10" s="16">
        <f>SUM(P6:P9)</f>
        <v>925000</v>
      </c>
    </row>
    <row r="11" spans="2:16" x14ac:dyDescent="0.25">
      <c r="B11" s="2">
        <v>8</v>
      </c>
      <c r="C11" t="s">
        <v>24</v>
      </c>
      <c r="D11" s="2" t="s">
        <v>22</v>
      </c>
      <c r="E11" s="1">
        <v>1073630398</v>
      </c>
      <c r="F11" s="4">
        <v>42469</v>
      </c>
      <c r="H11" s="2" t="s">
        <v>19</v>
      </c>
      <c r="I11" s="6" t="s">
        <v>20</v>
      </c>
      <c r="J11" s="2" t="s">
        <v>13</v>
      </c>
      <c r="K11" s="14">
        <v>395000</v>
      </c>
      <c r="L11" s="14">
        <f>Tabla1[[#This Row],[valor]]-25000</f>
        <v>370000</v>
      </c>
    </row>
    <row r="12" spans="2:16" x14ac:dyDescent="0.25">
      <c r="B12" s="2">
        <v>9</v>
      </c>
      <c r="C12" t="s">
        <v>25</v>
      </c>
      <c r="D12" s="2" t="s">
        <v>10</v>
      </c>
      <c r="E12" s="1">
        <v>1073630253</v>
      </c>
      <c r="F12" s="4">
        <v>35607</v>
      </c>
      <c r="G12" s="2" t="s">
        <v>26</v>
      </c>
      <c r="H12" s="2" t="s">
        <v>19</v>
      </c>
      <c r="I12" s="6" t="s">
        <v>20</v>
      </c>
      <c r="J12" s="2" t="s">
        <v>13</v>
      </c>
      <c r="K12" s="14">
        <v>395000</v>
      </c>
      <c r="L12" s="14">
        <f>Tabla1[[#This Row],[valor]]-25000</f>
        <v>370000</v>
      </c>
    </row>
    <row r="13" spans="2:16" x14ac:dyDescent="0.25">
      <c r="B13" s="3"/>
      <c r="C13" t="s">
        <v>27</v>
      </c>
      <c r="D13" s="2" t="s">
        <v>28</v>
      </c>
      <c r="E13" s="1">
        <v>1073630909</v>
      </c>
      <c r="F13" s="4">
        <v>44818</v>
      </c>
      <c r="I13" s="6" t="s">
        <v>20</v>
      </c>
      <c r="J13" s="2" t="s">
        <v>13</v>
      </c>
      <c r="K13" s="14">
        <v>35000</v>
      </c>
      <c r="L13" s="14">
        <v>35000</v>
      </c>
      <c r="N13" s="19" t="s">
        <v>95</v>
      </c>
      <c r="O13" s="19"/>
    </row>
    <row r="14" spans="2:16" x14ac:dyDescent="0.25">
      <c r="B14" s="2">
        <v>10</v>
      </c>
      <c r="C14" t="s">
        <v>29</v>
      </c>
      <c r="D14" s="2" t="s">
        <v>10</v>
      </c>
      <c r="E14" s="1">
        <v>1073629434</v>
      </c>
      <c r="F14" s="4">
        <v>34029</v>
      </c>
      <c r="G14" s="2" t="s">
        <v>30</v>
      </c>
      <c r="H14" s="2" t="s">
        <v>31</v>
      </c>
      <c r="I14" s="3" t="s">
        <v>12</v>
      </c>
      <c r="J14" s="2" t="s">
        <v>13</v>
      </c>
      <c r="K14" s="14">
        <v>395000</v>
      </c>
      <c r="L14" s="14">
        <f>Tabla1[[#This Row],[valor]]-25000</f>
        <v>370000</v>
      </c>
      <c r="N14" s="9" t="s">
        <v>96</v>
      </c>
      <c r="O14" s="16">
        <v>5500000</v>
      </c>
    </row>
    <row r="15" spans="2:16" x14ac:dyDescent="0.25">
      <c r="B15" s="2">
        <v>11</v>
      </c>
      <c r="C15" t="s">
        <v>32</v>
      </c>
      <c r="D15" s="2" t="s">
        <v>10</v>
      </c>
      <c r="E15" s="1">
        <v>1073629084</v>
      </c>
      <c r="F15" s="4">
        <v>33393</v>
      </c>
      <c r="G15" s="2" t="s">
        <v>33</v>
      </c>
      <c r="H15" s="2" t="s">
        <v>31</v>
      </c>
      <c r="I15" s="3" t="s">
        <v>12</v>
      </c>
      <c r="J15" s="2" t="s">
        <v>13</v>
      </c>
      <c r="K15" s="14">
        <v>395000</v>
      </c>
      <c r="L15" s="14">
        <f>Tabla1[[#This Row],[valor]]-25000</f>
        <v>370000</v>
      </c>
      <c r="N15" s="9" t="s">
        <v>97</v>
      </c>
      <c r="O15" s="16">
        <v>188000</v>
      </c>
    </row>
    <row r="16" spans="2:16" x14ac:dyDescent="0.25">
      <c r="B16" s="2">
        <v>12</v>
      </c>
      <c r="C16" t="s">
        <v>34</v>
      </c>
      <c r="D16" s="2" t="s">
        <v>22</v>
      </c>
      <c r="E16" s="1">
        <v>1073629830</v>
      </c>
      <c r="F16" s="4">
        <v>41341</v>
      </c>
      <c r="H16" s="2" t="s">
        <v>31</v>
      </c>
      <c r="I16" s="3" t="s">
        <v>12</v>
      </c>
      <c r="J16" s="2" t="s">
        <v>13</v>
      </c>
      <c r="K16" s="14">
        <v>395000</v>
      </c>
      <c r="L16" s="14">
        <f>Tabla1[[#This Row],[valor]]-25000</f>
        <v>370000</v>
      </c>
      <c r="N16" s="9" t="s">
        <v>102</v>
      </c>
      <c r="O16" s="16">
        <v>2785000</v>
      </c>
      <c r="P16"/>
    </row>
    <row r="17" spans="2:16" x14ac:dyDescent="0.25">
      <c r="B17" s="2">
        <v>13</v>
      </c>
      <c r="C17" t="s">
        <v>35</v>
      </c>
      <c r="D17" s="2" t="s">
        <v>28</v>
      </c>
      <c r="E17" s="1">
        <v>1073630716</v>
      </c>
      <c r="F17" s="4">
        <v>43450</v>
      </c>
      <c r="H17" s="2" t="s">
        <v>31</v>
      </c>
      <c r="I17" s="3" t="s">
        <v>12</v>
      </c>
      <c r="J17" s="2" t="s">
        <v>13</v>
      </c>
      <c r="K17" s="14">
        <v>395000</v>
      </c>
      <c r="L17" s="14">
        <f>Tabla1[[#This Row],[valor]]-25000</f>
        <v>370000</v>
      </c>
      <c r="N17" s="9" t="s">
        <v>98</v>
      </c>
      <c r="O17" s="16">
        <f>18000*40</f>
        <v>720000</v>
      </c>
    </row>
    <row r="18" spans="2:16" x14ac:dyDescent="0.25">
      <c r="B18" s="2">
        <v>14</v>
      </c>
      <c r="C18" t="s">
        <v>36</v>
      </c>
      <c r="D18" s="2" t="s">
        <v>10</v>
      </c>
      <c r="E18" s="1">
        <v>20610072</v>
      </c>
      <c r="F18" s="4">
        <v>17341</v>
      </c>
      <c r="H18" s="2" t="s">
        <v>19</v>
      </c>
      <c r="I18" s="3" t="s">
        <v>12</v>
      </c>
      <c r="J18" s="2" t="s">
        <v>38</v>
      </c>
      <c r="K18" s="14">
        <v>395000</v>
      </c>
      <c r="L18" s="14">
        <f>Tabla1[[#This Row],[valor]]-25000</f>
        <v>370000</v>
      </c>
      <c r="N18" s="9" t="s">
        <v>99</v>
      </c>
      <c r="O18" s="16">
        <f>18000*40</f>
        <v>720000</v>
      </c>
    </row>
    <row r="19" spans="2:16" x14ac:dyDescent="0.25">
      <c r="B19" s="2">
        <v>15</v>
      </c>
      <c r="C19" t="s">
        <v>37</v>
      </c>
      <c r="D19" s="2" t="s">
        <v>10</v>
      </c>
      <c r="E19" s="1">
        <v>11292897</v>
      </c>
      <c r="F19" s="4">
        <v>18324</v>
      </c>
      <c r="H19" s="2" t="s">
        <v>19</v>
      </c>
      <c r="I19" s="3" t="s">
        <v>12</v>
      </c>
      <c r="J19" s="2" t="s">
        <v>38</v>
      </c>
      <c r="K19" s="14">
        <v>395000</v>
      </c>
      <c r="L19" s="14">
        <f>Tabla1[[#This Row],[valor]]-25000</f>
        <v>370000</v>
      </c>
      <c r="N19" s="9" t="s">
        <v>100</v>
      </c>
      <c r="O19" s="16">
        <v>360000</v>
      </c>
    </row>
    <row r="20" spans="2:16" x14ac:dyDescent="0.25">
      <c r="B20" s="2">
        <v>16</v>
      </c>
      <c r="C20" t="s">
        <v>39</v>
      </c>
      <c r="D20" s="2" t="s">
        <v>10</v>
      </c>
      <c r="E20" s="1">
        <v>40019624</v>
      </c>
      <c r="F20" s="4">
        <v>22685</v>
      </c>
      <c r="H20" s="2" t="s">
        <v>19</v>
      </c>
      <c r="I20" s="3" t="s">
        <v>12</v>
      </c>
      <c r="J20" s="2" t="s">
        <v>38</v>
      </c>
      <c r="K20" s="14">
        <v>395000</v>
      </c>
      <c r="L20" s="14">
        <f>Tabla1[[#This Row],[valor]]-25000</f>
        <v>370000</v>
      </c>
      <c r="N20" s="28" t="s">
        <v>105</v>
      </c>
      <c r="O20" s="16">
        <v>265000</v>
      </c>
      <c r="P20"/>
    </row>
    <row r="21" spans="2:16" ht="15.75" thickBot="1" x14ac:dyDescent="0.3">
      <c r="B21" s="2">
        <v>17</v>
      </c>
      <c r="C21" t="s">
        <v>40</v>
      </c>
      <c r="D21" s="2" t="s">
        <v>10</v>
      </c>
      <c r="E21" s="1">
        <v>21018743</v>
      </c>
      <c r="F21" s="4">
        <v>30585</v>
      </c>
      <c r="G21" s="2" t="s">
        <v>41</v>
      </c>
      <c r="H21" s="2" t="s">
        <v>19</v>
      </c>
      <c r="I21" s="8" t="s">
        <v>42</v>
      </c>
      <c r="J21" s="2" t="s">
        <v>38</v>
      </c>
      <c r="K21" s="14">
        <v>395000</v>
      </c>
      <c r="L21" s="14">
        <f>Tabla1[[#This Row],[valor]]-25000</f>
        <v>370000</v>
      </c>
      <c r="N21" s="21" t="s">
        <v>101</v>
      </c>
      <c r="O21" s="22">
        <v>400000</v>
      </c>
    </row>
    <row r="22" spans="2:16" x14ac:dyDescent="0.25">
      <c r="B22" s="2">
        <v>18</v>
      </c>
      <c r="C22" t="s">
        <v>43</v>
      </c>
      <c r="D22" s="2" t="s">
        <v>10</v>
      </c>
      <c r="E22" s="1">
        <v>39573071</v>
      </c>
      <c r="F22" s="4">
        <v>27929</v>
      </c>
      <c r="G22" s="2" t="s">
        <v>44</v>
      </c>
      <c r="H22" s="2" t="s">
        <v>19</v>
      </c>
      <c r="I22" s="3" t="s">
        <v>12</v>
      </c>
      <c r="J22" s="2" t="s">
        <v>13</v>
      </c>
      <c r="K22" s="14">
        <v>395000</v>
      </c>
      <c r="L22" s="14">
        <f>Tabla1[[#This Row],[valor]]-25000</f>
        <v>370000</v>
      </c>
      <c r="N22" s="25" t="s">
        <v>83</v>
      </c>
      <c r="O22" s="20">
        <f>SUM(O14:O21)</f>
        <v>10938000</v>
      </c>
    </row>
    <row r="23" spans="2:16" ht="15.75" thickBot="1" x14ac:dyDescent="0.3">
      <c r="B23" s="2">
        <v>19</v>
      </c>
      <c r="C23" t="s">
        <v>45</v>
      </c>
      <c r="D23" s="2" t="s">
        <v>10</v>
      </c>
      <c r="E23" s="1">
        <v>51877830</v>
      </c>
      <c r="F23" s="4">
        <v>24748</v>
      </c>
      <c r="H23" s="2" t="s">
        <v>19</v>
      </c>
      <c r="I23" s="3" t="s">
        <v>12</v>
      </c>
      <c r="J23" s="2" t="s">
        <v>13</v>
      </c>
      <c r="K23" s="14">
        <v>395000</v>
      </c>
      <c r="L23" s="14">
        <f>Tabla1[[#This Row],[valor]]-25000</f>
        <v>370000</v>
      </c>
      <c r="N23" s="26" t="s">
        <v>103</v>
      </c>
      <c r="O23" s="24">
        <f>Tabla1[[#Totals],[comisión]]</f>
        <v>14395000</v>
      </c>
    </row>
    <row r="24" spans="2:16" x14ac:dyDescent="0.25">
      <c r="B24" s="2">
        <v>20</v>
      </c>
      <c r="C24" t="s">
        <v>46</v>
      </c>
      <c r="D24" s="2" t="s">
        <v>10</v>
      </c>
      <c r="E24" s="1">
        <v>11450246</v>
      </c>
      <c r="F24" s="4">
        <v>22038</v>
      </c>
      <c r="G24" s="2" t="s">
        <v>47</v>
      </c>
      <c r="H24" s="2" t="s">
        <v>19</v>
      </c>
      <c r="I24" s="3" t="s">
        <v>12</v>
      </c>
      <c r="J24" s="2" t="s">
        <v>13</v>
      </c>
      <c r="K24" s="14">
        <v>395000</v>
      </c>
      <c r="L24" s="14">
        <f>Tabla1[[#This Row],[valor]]-25000</f>
        <v>370000</v>
      </c>
      <c r="N24" s="27" t="s">
        <v>104</v>
      </c>
      <c r="O24" s="23">
        <f>O23-O22</f>
        <v>3457000</v>
      </c>
    </row>
    <row r="25" spans="2:16" x14ac:dyDescent="0.25">
      <c r="B25" s="2">
        <v>21</v>
      </c>
      <c r="C25" t="s">
        <v>48</v>
      </c>
      <c r="D25" s="2" t="s">
        <v>22</v>
      </c>
      <c r="E25" s="1">
        <v>1073629791</v>
      </c>
      <c r="F25" s="4">
        <v>41280</v>
      </c>
      <c r="H25" s="2" t="s">
        <v>19</v>
      </c>
      <c r="I25" s="7" t="s">
        <v>62</v>
      </c>
      <c r="K25" s="14">
        <v>395000</v>
      </c>
      <c r="L25" s="14">
        <f>Tabla1[[#This Row],[valor]]-25000</f>
        <v>370000</v>
      </c>
    </row>
    <row r="26" spans="2:16" x14ac:dyDescent="0.25">
      <c r="B26" s="2">
        <v>22</v>
      </c>
      <c r="C26" t="s">
        <v>49</v>
      </c>
      <c r="D26" s="2" t="s">
        <v>22</v>
      </c>
      <c r="E26" s="1">
        <v>1073628658</v>
      </c>
      <c r="F26" s="4">
        <v>39266</v>
      </c>
      <c r="H26" s="2" t="s">
        <v>19</v>
      </c>
      <c r="I26" s="7" t="s">
        <v>63</v>
      </c>
      <c r="K26" s="14">
        <v>395000</v>
      </c>
      <c r="L26" s="14">
        <f>Tabla1[[#This Row],[valor]]-25000</f>
        <v>370000</v>
      </c>
      <c r="N26" s="15"/>
      <c r="O26" s="18"/>
    </row>
    <row r="27" spans="2:16" x14ac:dyDescent="0.25">
      <c r="B27" s="3"/>
      <c r="C27" t="s">
        <v>50</v>
      </c>
      <c r="D27" s="2" t="s">
        <v>28</v>
      </c>
      <c r="E27" s="1">
        <v>1073630950</v>
      </c>
      <c r="F27" s="4">
        <v>45073</v>
      </c>
      <c r="I27" s="7" t="s">
        <v>63</v>
      </c>
      <c r="K27" s="14">
        <v>35000</v>
      </c>
      <c r="L27" s="14">
        <v>35000</v>
      </c>
      <c r="N27" s="18"/>
    </row>
    <row r="28" spans="2:16" x14ac:dyDescent="0.25">
      <c r="B28" s="2">
        <v>23</v>
      </c>
      <c r="C28" t="s">
        <v>51</v>
      </c>
      <c r="D28" s="2" t="s">
        <v>10</v>
      </c>
      <c r="E28" s="1">
        <v>1073628347</v>
      </c>
      <c r="F28" s="4">
        <v>32150</v>
      </c>
      <c r="H28" s="2" t="s">
        <v>19</v>
      </c>
      <c r="I28" s="7" t="s">
        <v>63</v>
      </c>
      <c r="J28" s="2">
        <v>300</v>
      </c>
      <c r="K28" s="14">
        <v>395000</v>
      </c>
      <c r="L28" s="14">
        <f>Tabla1[[#This Row],[valor]]-25000</f>
        <v>370000</v>
      </c>
      <c r="N28" s="15"/>
    </row>
    <row r="29" spans="2:16" x14ac:dyDescent="0.25">
      <c r="B29" s="2">
        <v>24</v>
      </c>
      <c r="C29" t="s">
        <v>52</v>
      </c>
      <c r="D29" s="2" t="s">
        <v>10</v>
      </c>
      <c r="E29" s="1">
        <v>1073628128</v>
      </c>
      <c r="F29" s="4">
        <v>38239</v>
      </c>
      <c r="G29" s="2" t="s">
        <v>53</v>
      </c>
      <c r="H29" s="2" t="s">
        <v>19</v>
      </c>
      <c r="I29" s="3" t="s">
        <v>12</v>
      </c>
      <c r="J29" s="2">
        <v>600</v>
      </c>
      <c r="K29" s="14">
        <v>395000</v>
      </c>
      <c r="L29" s="14">
        <f>Tabla1[[#This Row],[valor]]-25000</f>
        <v>370000</v>
      </c>
    </row>
    <row r="30" spans="2:16" x14ac:dyDescent="0.25">
      <c r="B30" s="2">
        <v>25</v>
      </c>
      <c r="C30" t="s">
        <v>54</v>
      </c>
      <c r="D30" s="2" t="s">
        <v>10</v>
      </c>
      <c r="E30" s="1">
        <v>1020446053</v>
      </c>
      <c r="F30" s="4">
        <v>33517</v>
      </c>
      <c r="H30" s="2" t="s">
        <v>19</v>
      </c>
      <c r="I30" s="3" t="s">
        <v>12</v>
      </c>
      <c r="K30" s="14">
        <v>395000</v>
      </c>
      <c r="L30" s="14">
        <f>Tabla1[[#This Row],[valor]]-25000</f>
        <v>370000</v>
      </c>
    </row>
    <row r="31" spans="2:16" x14ac:dyDescent="0.25">
      <c r="B31" s="3"/>
      <c r="C31" t="s">
        <v>55</v>
      </c>
      <c r="D31" s="2" t="s">
        <v>28</v>
      </c>
      <c r="E31" s="1">
        <v>107363920</v>
      </c>
      <c r="F31" s="4">
        <v>44880</v>
      </c>
      <c r="I31" s="3" t="s">
        <v>12</v>
      </c>
      <c r="K31" s="14">
        <v>35000</v>
      </c>
      <c r="L31" s="14">
        <v>35000</v>
      </c>
    </row>
    <row r="32" spans="2:16" x14ac:dyDescent="0.25">
      <c r="B32" s="2">
        <v>26</v>
      </c>
      <c r="C32" t="s">
        <v>56</v>
      </c>
      <c r="D32" s="2" t="s">
        <v>10</v>
      </c>
      <c r="E32" s="1">
        <v>20872056</v>
      </c>
      <c r="F32" s="4">
        <v>28030</v>
      </c>
      <c r="G32" s="2" t="s">
        <v>57</v>
      </c>
      <c r="H32" s="2" t="s">
        <v>19</v>
      </c>
      <c r="I32" s="3" t="s">
        <v>12</v>
      </c>
      <c r="K32" s="14">
        <v>395000</v>
      </c>
      <c r="L32" s="14">
        <f>Tabla1[[#This Row],[valor]]-25000</f>
        <v>370000</v>
      </c>
    </row>
    <row r="33" spans="2:12" x14ac:dyDescent="0.25">
      <c r="B33" s="2">
        <v>27</v>
      </c>
      <c r="C33" t="s">
        <v>58</v>
      </c>
      <c r="D33" s="2" t="s">
        <v>10</v>
      </c>
      <c r="E33" s="1">
        <v>1073629413</v>
      </c>
      <c r="F33" s="4">
        <v>40526</v>
      </c>
      <c r="H33" s="2" t="s">
        <v>19</v>
      </c>
      <c r="I33" s="3" t="s">
        <v>12</v>
      </c>
      <c r="K33" s="14">
        <v>395000</v>
      </c>
      <c r="L33" s="14">
        <f>Tabla1[[#This Row],[valor]]-25000</f>
        <v>370000</v>
      </c>
    </row>
    <row r="34" spans="2:12" x14ac:dyDescent="0.25">
      <c r="B34" s="2">
        <v>28</v>
      </c>
      <c r="C34" t="s">
        <v>59</v>
      </c>
      <c r="D34" s="2" t="s">
        <v>10</v>
      </c>
      <c r="E34" s="1">
        <v>1273920</v>
      </c>
      <c r="F34" s="4">
        <v>23238</v>
      </c>
      <c r="H34" s="2" t="s">
        <v>64</v>
      </c>
      <c r="I34" s="3" t="s">
        <v>12</v>
      </c>
      <c r="K34" s="14">
        <v>395000</v>
      </c>
      <c r="L34" s="14">
        <f>Tabla1[[#This Row],[valor]]-25000</f>
        <v>370000</v>
      </c>
    </row>
    <row r="35" spans="2:12" x14ac:dyDescent="0.25">
      <c r="B35" s="2">
        <v>29</v>
      </c>
      <c r="C35" t="s">
        <v>60</v>
      </c>
      <c r="D35" s="2" t="s">
        <v>10</v>
      </c>
      <c r="E35" s="1">
        <v>24579910</v>
      </c>
      <c r="F35" s="4">
        <v>23237</v>
      </c>
      <c r="H35" s="2" t="s">
        <v>64</v>
      </c>
      <c r="I35" s="3" t="s">
        <v>12</v>
      </c>
      <c r="K35" s="14">
        <v>395000</v>
      </c>
      <c r="L35" s="14">
        <f>Tabla1[[#This Row],[valor]]-25000</f>
        <v>370000</v>
      </c>
    </row>
    <row r="36" spans="2:12" x14ac:dyDescent="0.25">
      <c r="B36" s="2">
        <v>30</v>
      </c>
      <c r="C36" t="s">
        <v>61</v>
      </c>
      <c r="D36" s="2" t="s">
        <v>10</v>
      </c>
      <c r="E36" s="1">
        <v>1007856126</v>
      </c>
      <c r="F36" s="4">
        <v>37151</v>
      </c>
      <c r="H36" s="2" t="s">
        <v>64</v>
      </c>
      <c r="I36" s="3" t="s">
        <v>12</v>
      </c>
      <c r="K36" s="14">
        <v>395000</v>
      </c>
      <c r="L36" s="14">
        <f>Tabla1[[#This Row],[valor]]-25000</f>
        <v>370000</v>
      </c>
    </row>
    <row r="37" spans="2:12" x14ac:dyDescent="0.25">
      <c r="B37" s="2">
        <v>31</v>
      </c>
      <c r="C37" t="s">
        <v>77</v>
      </c>
      <c r="D37" s="2" t="s">
        <v>10</v>
      </c>
      <c r="E37" s="1">
        <v>20014466</v>
      </c>
      <c r="F37" s="4">
        <v>22482</v>
      </c>
      <c r="H37" s="2" t="s">
        <v>11</v>
      </c>
      <c r="I37" s="3" t="s">
        <v>12</v>
      </c>
      <c r="K37" s="14">
        <v>395000</v>
      </c>
      <c r="L37" s="14">
        <f>Tabla1[[#This Row],[valor]]-25000</f>
        <v>370000</v>
      </c>
    </row>
    <row r="38" spans="2:12" x14ac:dyDescent="0.25">
      <c r="B38" s="2">
        <v>32</v>
      </c>
      <c r="C38" t="s">
        <v>78</v>
      </c>
      <c r="D38" s="2" t="s">
        <v>10</v>
      </c>
      <c r="E38" s="1">
        <v>3209792</v>
      </c>
      <c r="F38" s="4">
        <v>22653</v>
      </c>
      <c r="H38" s="2" t="s">
        <v>11</v>
      </c>
      <c r="I38" s="3" t="s">
        <v>12</v>
      </c>
      <c r="K38" s="14">
        <v>395000</v>
      </c>
      <c r="L38" s="14">
        <f>Tabla1[[#This Row],[valor]]-25000</f>
        <v>370000</v>
      </c>
    </row>
    <row r="39" spans="2:12" x14ac:dyDescent="0.25">
      <c r="B39" s="2">
        <v>33</v>
      </c>
      <c r="C39" t="s">
        <v>65</v>
      </c>
      <c r="D39" s="2" t="s">
        <v>66</v>
      </c>
      <c r="E39" s="1">
        <v>4891826</v>
      </c>
      <c r="F39" s="4">
        <v>33170</v>
      </c>
      <c r="H39" s="2" t="s">
        <v>11</v>
      </c>
      <c r="I39" s="3" t="s">
        <v>12</v>
      </c>
      <c r="K39" s="14">
        <v>395000</v>
      </c>
      <c r="L39" s="14">
        <f>Tabla1[[#This Row],[valor]]-25000</f>
        <v>370000</v>
      </c>
    </row>
    <row r="40" spans="2:12" x14ac:dyDescent="0.25">
      <c r="B40" s="2">
        <v>34</v>
      </c>
      <c r="C40" t="s">
        <v>67</v>
      </c>
      <c r="D40" s="2" t="s">
        <v>66</v>
      </c>
      <c r="E40" s="1">
        <v>1411505</v>
      </c>
      <c r="F40" s="4">
        <v>31347</v>
      </c>
      <c r="H40" s="2" t="s">
        <v>11</v>
      </c>
      <c r="I40" s="3" t="s">
        <v>12</v>
      </c>
      <c r="K40" s="14">
        <v>395000</v>
      </c>
      <c r="L40" s="14">
        <f>Tabla1[[#This Row],[valor]]-25000</f>
        <v>370000</v>
      </c>
    </row>
    <row r="41" spans="2:12" x14ac:dyDescent="0.25">
      <c r="B41" s="2">
        <v>35</v>
      </c>
      <c r="C41" t="s">
        <v>68</v>
      </c>
      <c r="D41" s="2" t="s">
        <v>66</v>
      </c>
      <c r="E41" s="1">
        <v>5935750</v>
      </c>
      <c r="F41" s="4">
        <v>45650</v>
      </c>
      <c r="H41" s="2" t="s">
        <v>11</v>
      </c>
      <c r="I41" s="3" t="s">
        <v>12</v>
      </c>
      <c r="K41" s="14">
        <v>395000</v>
      </c>
      <c r="L41" s="14">
        <f>Tabla1[[#This Row],[valor]]-25000</f>
        <v>370000</v>
      </c>
    </row>
    <row r="42" spans="2:12" x14ac:dyDescent="0.25">
      <c r="B42" s="2">
        <v>36</v>
      </c>
      <c r="C42" t="s">
        <v>73</v>
      </c>
      <c r="D42" s="2" t="s">
        <v>69</v>
      </c>
      <c r="E42" s="1">
        <v>79656808</v>
      </c>
      <c r="F42" s="4">
        <v>27034</v>
      </c>
      <c r="H42" s="2" t="s">
        <v>76</v>
      </c>
      <c r="I42" s="8" t="s">
        <v>42</v>
      </c>
      <c r="K42" s="14">
        <v>0</v>
      </c>
      <c r="L42" s="14">
        <v>0</v>
      </c>
    </row>
    <row r="43" spans="2:12" x14ac:dyDescent="0.25">
      <c r="B43" s="2">
        <v>37</v>
      </c>
      <c r="C43" t="s">
        <v>74</v>
      </c>
      <c r="D43" s="2" t="s">
        <v>70</v>
      </c>
      <c r="E43" s="5">
        <v>1014877742</v>
      </c>
      <c r="F43" s="4">
        <v>40522</v>
      </c>
      <c r="H43" s="2" t="s">
        <v>76</v>
      </c>
      <c r="I43" s="8" t="s">
        <v>42</v>
      </c>
      <c r="K43" s="14">
        <v>0</v>
      </c>
      <c r="L43" s="14">
        <v>0</v>
      </c>
    </row>
    <row r="44" spans="2:12" x14ac:dyDescent="0.25">
      <c r="B44" s="2">
        <v>38</v>
      </c>
      <c r="C44" t="s">
        <v>71</v>
      </c>
      <c r="D44" s="2" t="s">
        <v>10</v>
      </c>
      <c r="E44" s="5">
        <v>79538678</v>
      </c>
      <c r="F44" s="4">
        <v>25737</v>
      </c>
      <c r="H44" s="2" t="s">
        <v>76</v>
      </c>
      <c r="I44" s="3" t="s">
        <v>12</v>
      </c>
      <c r="K44" s="14">
        <v>0</v>
      </c>
      <c r="L44" s="14">
        <v>0</v>
      </c>
    </row>
    <row r="45" spans="2:12" x14ac:dyDescent="0.25">
      <c r="B45" s="2">
        <v>39</v>
      </c>
      <c r="C45" t="s">
        <v>88</v>
      </c>
      <c r="D45" s="2" t="s">
        <v>89</v>
      </c>
      <c r="E45" s="5">
        <v>3149162</v>
      </c>
      <c r="F45" s="4">
        <v>17736</v>
      </c>
      <c r="H45" s="2" t="s">
        <v>90</v>
      </c>
      <c r="I45" s="3" t="s">
        <v>12</v>
      </c>
      <c r="K45" s="14">
        <v>300000</v>
      </c>
      <c r="L45" s="14">
        <f>Tabla1[[#This Row],[valor]]</f>
        <v>300000</v>
      </c>
    </row>
    <row r="46" spans="2:12" x14ac:dyDescent="0.25">
      <c r="B46" s="2">
        <v>40</v>
      </c>
      <c r="C46" t="s">
        <v>91</v>
      </c>
      <c r="D46" s="2" t="s">
        <v>89</v>
      </c>
      <c r="E46" s="1">
        <v>11451895</v>
      </c>
      <c r="F46" s="4">
        <v>31197</v>
      </c>
      <c r="H46" s="2" t="s">
        <v>90</v>
      </c>
      <c r="I46" s="3" t="s">
        <v>12</v>
      </c>
      <c r="K46" s="14">
        <v>300000</v>
      </c>
      <c r="L46" s="14">
        <f>Tabla1[[#This Row],[valor]]</f>
        <v>300000</v>
      </c>
    </row>
    <row r="47" spans="2:12" x14ac:dyDescent="0.25">
      <c r="B47" s="2">
        <v>41</v>
      </c>
      <c r="C47" t="s">
        <v>79</v>
      </c>
      <c r="D47" s="2" t="s">
        <v>10</v>
      </c>
      <c r="E47" s="1">
        <v>1073630620</v>
      </c>
      <c r="F47" s="4">
        <v>36419</v>
      </c>
      <c r="H47" s="2" t="s">
        <v>11</v>
      </c>
      <c r="I47" s="3" t="s">
        <v>12</v>
      </c>
      <c r="K47" s="14">
        <v>395000</v>
      </c>
      <c r="L47" s="14">
        <f>Tabla1[[#This Row],[valor]]-25000</f>
        <v>370000</v>
      </c>
    </row>
    <row r="48" spans="2:12" x14ac:dyDescent="0.25">
      <c r="B48" s="2">
        <v>42</v>
      </c>
      <c r="C48" t="s">
        <v>80</v>
      </c>
      <c r="D48" s="2" t="s">
        <v>10</v>
      </c>
      <c r="E48" s="1">
        <v>20871766</v>
      </c>
      <c r="F48" s="4">
        <v>26915</v>
      </c>
      <c r="H48" s="2" t="s">
        <v>11</v>
      </c>
      <c r="I48" s="3" t="s">
        <v>12</v>
      </c>
      <c r="K48" s="14">
        <v>395000</v>
      </c>
      <c r="L48" s="14">
        <f>Tabla1[[#This Row],[valor]]-25000</f>
        <v>370000</v>
      </c>
    </row>
    <row r="49" spans="4:12" x14ac:dyDescent="0.25">
      <c r="D49" s="2"/>
      <c r="E49" s="1"/>
      <c r="F49" s="4"/>
      <c r="K49" s="14">
        <f>SUBTOTAL(109,Tabla1[valor])</f>
        <v>15320000</v>
      </c>
      <c r="L49" s="17">
        <f>SUBTOTAL(109,Tabla1[comisión])</f>
        <v>14395000</v>
      </c>
    </row>
  </sheetData>
  <mergeCells count="1">
    <mergeCell ref="N13:O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AFB0-1067-4CE7-9D9D-CB2B42E9F2E3}">
  <dimension ref="B3:I48"/>
  <sheetViews>
    <sheetView workbookViewId="0">
      <selection activeCell="H44" sqref="H44:I48"/>
    </sheetView>
  </sheetViews>
  <sheetFormatPr baseColWidth="10" defaultRowHeight="15" x14ac:dyDescent="0.25"/>
  <cols>
    <col min="3" max="3" width="31" bestFit="1" customWidth="1"/>
    <col min="5" max="5" width="12.7109375" bestFit="1" customWidth="1"/>
    <col min="6" max="6" width="11" bestFit="1" customWidth="1"/>
  </cols>
  <sheetData>
    <row r="3" spans="2:6" x14ac:dyDescent="0.25">
      <c r="B3" s="2" t="s">
        <v>0</v>
      </c>
      <c r="C3" t="s">
        <v>1</v>
      </c>
      <c r="D3" t="s">
        <v>2</v>
      </c>
      <c r="E3" t="s">
        <v>3</v>
      </c>
      <c r="F3" s="2" t="s">
        <v>7</v>
      </c>
    </row>
    <row r="4" spans="2:6" x14ac:dyDescent="0.25">
      <c r="B4" s="2">
        <v>1</v>
      </c>
      <c r="C4" t="s">
        <v>9</v>
      </c>
      <c r="D4" s="2" t="s">
        <v>10</v>
      </c>
      <c r="E4" s="1">
        <v>52812</v>
      </c>
      <c r="F4" s="3" t="s">
        <v>12</v>
      </c>
    </row>
    <row r="5" spans="2:6" x14ac:dyDescent="0.25">
      <c r="B5" s="2">
        <v>2</v>
      </c>
      <c r="C5" t="s">
        <v>14</v>
      </c>
      <c r="D5" s="2" t="s">
        <v>10</v>
      </c>
      <c r="E5" s="1">
        <v>39558663</v>
      </c>
      <c r="F5" s="3" t="s">
        <v>12</v>
      </c>
    </row>
    <row r="6" spans="2:6" x14ac:dyDescent="0.25">
      <c r="B6" s="2">
        <v>3</v>
      </c>
      <c r="C6" t="s">
        <v>15</v>
      </c>
      <c r="D6" s="2" t="s">
        <v>10</v>
      </c>
      <c r="E6" s="1">
        <v>1195466511</v>
      </c>
      <c r="F6" s="3" t="s">
        <v>12</v>
      </c>
    </row>
    <row r="7" spans="2:6" x14ac:dyDescent="0.25">
      <c r="B7" s="2">
        <v>4</v>
      </c>
      <c r="C7" t="s">
        <v>16</v>
      </c>
      <c r="D7" s="2" t="s">
        <v>10</v>
      </c>
      <c r="E7" s="1">
        <v>20858499</v>
      </c>
      <c r="F7" s="3" t="s">
        <v>12</v>
      </c>
    </row>
    <row r="8" spans="2:6" x14ac:dyDescent="0.25">
      <c r="B8" s="2">
        <v>5</v>
      </c>
      <c r="C8" t="s">
        <v>17</v>
      </c>
      <c r="D8" s="2" t="s">
        <v>10</v>
      </c>
      <c r="E8" s="1">
        <v>11283851</v>
      </c>
      <c r="F8" s="3" t="s">
        <v>12</v>
      </c>
    </row>
    <row r="9" spans="2:6" x14ac:dyDescent="0.25">
      <c r="B9" s="2">
        <v>6</v>
      </c>
      <c r="C9" t="s">
        <v>18</v>
      </c>
      <c r="D9" s="2" t="s">
        <v>10</v>
      </c>
      <c r="E9" s="1">
        <v>1072961116</v>
      </c>
      <c r="F9" s="6" t="s">
        <v>20</v>
      </c>
    </row>
    <row r="10" spans="2:6" x14ac:dyDescent="0.25">
      <c r="B10" s="2">
        <v>7</v>
      </c>
      <c r="C10" t="s">
        <v>21</v>
      </c>
      <c r="D10" s="2" t="s">
        <v>22</v>
      </c>
      <c r="E10" s="1">
        <v>1195463507</v>
      </c>
      <c r="F10" s="6" t="s">
        <v>20</v>
      </c>
    </row>
    <row r="11" spans="2:6" x14ac:dyDescent="0.25">
      <c r="B11" s="2">
        <v>8</v>
      </c>
      <c r="C11" t="s">
        <v>24</v>
      </c>
      <c r="D11" s="2" t="s">
        <v>22</v>
      </c>
      <c r="E11" s="1">
        <v>1073630398</v>
      </c>
      <c r="F11" s="6" t="s">
        <v>20</v>
      </c>
    </row>
    <row r="12" spans="2:6" x14ac:dyDescent="0.25">
      <c r="B12" s="2">
        <v>9</v>
      </c>
      <c r="C12" t="s">
        <v>25</v>
      </c>
      <c r="D12" s="2" t="s">
        <v>10</v>
      </c>
      <c r="E12" s="1">
        <v>1073630253</v>
      </c>
      <c r="F12" s="6" t="s">
        <v>20</v>
      </c>
    </row>
    <row r="13" spans="2:6" x14ac:dyDescent="0.25">
      <c r="B13" s="3"/>
      <c r="C13" t="s">
        <v>27</v>
      </c>
      <c r="D13" s="2" t="s">
        <v>28</v>
      </c>
      <c r="E13" s="1">
        <v>1073630909</v>
      </c>
      <c r="F13" s="6" t="s">
        <v>20</v>
      </c>
    </row>
    <row r="14" spans="2:6" x14ac:dyDescent="0.25">
      <c r="B14" s="2">
        <v>10</v>
      </c>
      <c r="C14" t="s">
        <v>29</v>
      </c>
      <c r="D14" s="2" t="s">
        <v>10</v>
      </c>
      <c r="E14" s="1">
        <v>1073629434</v>
      </c>
      <c r="F14" s="3" t="s">
        <v>12</v>
      </c>
    </row>
    <row r="15" spans="2:6" x14ac:dyDescent="0.25">
      <c r="B15" s="2">
        <v>11</v>
      </c>
      <c r="C15" t="s">
        <v>32</v>
      </c>
      <c r="D15" s="2" t="s">
        <v>10</v>
      </c>
      <c r="E15" s="1">
        <v>1073629084</v>
      </c>
      <c r="F15" s="3" t="s">
        <v>12</v>
      </c>
    </row>
    <row r="16" spans="2:6" x14ac:dyDescent="0.25">
      <c r="B16" s="2">
        <v>12</v>
      </c>
      <c r="C16" t="s">
        <v>34</v>
      </c>
      <c r="D16" s="2" t="s">
        <v>22</v>
      </c>
      <c r="E16" s="1">
        <v>1073629830</v>
      </c>
      <c r="F16" s="3" t="s">
        <v>12</v>
      </c>
    </row>
    <row r="17" spans="2:6" x14ac:dyDescent="0.25">
      <c r="B17" s="2">
        <v>13</v>
      </c>
      <c r="C17" t="s">
        <v>35</v>
      </c>
      <c r="D17" s="2" t="s">
        <v>28</v>
      </c>
      <c r="E17" s="1">
        <v>1073630716</v>
      </c>
      <c r="F17" s="3" t="s">
        <v>12</v>
      </c>
    </row>
    <row r="18" spans="2:6" x14ac:dyDescent="0.25">
      <c r="B18" s="2">
        <v>14</v>
      </c>
      <c r="C18" t="s">
        <v>36</v>
      </c>
      <c r="D18" s="2" t="s">
        <v>10</v>
      </c>
      <c r="E18" s="1">
        <v>20610072</v>
      </c>
      <c r="F18" s="3" t="s">
        <v>12</v>
      </c>
    </row>
    <row r="19" spans="2:6" x14ac:dyDescent="0.25">
      <c r="B19" s="2">
        <v>15</v>
      </c>
      <c r="C19" t="s">
        <v>37</v>
      </c>
      <c r="D19" s="2" t="s">
        <v>10</v>
      </c>
      <c r="E19" s="1">
        <v>11292897</v>
      </c>
      <c r="F19" s="3" t="s">
        <v>12</v>
      </c>
    </row>
    <row r="20" spans="2:6" x14ac:dyDescent="0.25">
      <c r="B20" s="2">
        <v>16</v>
      </c>
      <c r="C20" t="s">
        <v>39</v>
      </c>
      <c r="D20" s="2" t="s">
        <v>10</v>
      </c>
      <c r="E20" s="1">
        <v>40019624</v>
      </c>
      <c r="F20" s="3" t="s">
        <v>12</v>
      </c>
    </row>
    <row r="21" spans="2:6" x14ac:dyDescent="0.25">
      <c r="B21" s="2">
        <v>17</v>
      </c>
      <c r="C21" t="s">
        <v>40</v>
      </c>
      <c r="D21" s="2" t="s">
        <v>10</v>
      </c>
      <c r="E21" s="1">
        <v>21018743</v>
      </c>
      <c r="F21" s="8" t="s">
        <v>42</v>
      </c>
    </row>
    <row r="22" spans="2:6" x14ac:dyDescent="0.25">
      <c r="B22" s="2">
        <v>18</v>
      </c>
      <c r="C22" t="s">
        <v>43</v>
      </c>
      <c r="D22" s="2" t="s">
        <v>10</v>
      </c>
      <c r="E22" s="1">
        <v>39573071</v>
      </c>
      <c r="F22" s="3" t="s">
        <v>12</v>
      </c>
    </row>
    <row r="23" spans="2:6" x14ac:dyDescent="0.25">
      <c r="B23" s="2">
        <v>19</v>
      </c>
      <c r="C23" t="s">
        <v>45</v>
      </c>
      <c r="D23" s="2" t="s">
        <v>10</v>
      </c>
      <c r="E23" s="1">
        <v>51877830</v>
      </c>
      <c r="F23" s="3" t="s">
        <v>12</v>
      </c>
    </row>
    <row r="24" spans="2:6" x14ac:dyDescent="0.25">
      <c r="B24" s="2">
        <v>20</v>
      </c>
      <c r="C24" t="s">
        <v>46</v>
      </c>
      <c r="D24" s="2" t="s">
        <v>10</v>
      </c>
      <c r="E24" s="1">
        <v>11450246</v>
      </c>
      <c r="F24" s="3" t="s">
        <v>12</v>
      </c>
    </row>
    <row r="25" spans="2:6" x14ac:dyDescent="0.25">
      <c r="B25" s="2">
        <v>21</v>
      </c>
      <c r="C25" t="s">
        <v>48</v>
      </c>
      <c r="D25" s="2" t="s">
        <v>22</v>
      </c>
      <c r="E25" s="1">
        <v>1073629791</v>
      </c>
      <c r="F25" s="7" t="s">
        <v>81</v>
      </c>
    </row>
    <row r="26" spans="2:6" x14ac:dyDescent="0.25">
      <c r="B26" s="2">
        <v>22</v>
      </c>
      <c r="C26" t="s">
        <v>49</v>
      </c>
      <c r="D26" s="2" t="s">
        <v>22</v>
      </c>
      <c r="E26" s="1">
        <v>1073628658</v>
      </c>
      <c r="F26" s="7" t="s">
        <v>81</v>
      </c>
    </row>
    <row r="27" spans="2:6" x14ac:dyDescent="0.25">
      <c r="B27" s="3"/>
      <c r="C27" t="s">
        <v>50</v>
      </c>
      <c r="D27" s="2" t="s">
        <v>28</v>
      </c>
      <c r="E27" s="1">
        <v>1073630950</v>
      </c>
      <c r="F27" s="7" t="s">
        <v>81</v>
      </c>
    </row>
    <row r="28" spans="2:6" x14ac:dyDescent="0.25">
      <c r="B28" s="2">
        <v>23</v>
      </c>
      <c r="C28" t="s">
        <v>51</v>
      </c>
      <c r="D28" s="2" t="s">
        <v>10</v>
      </c>
      <c r="E28" s="1">
        <v>1073628347</v>
      </c>
      <c r="F28" s="7" t="s">
        <v>81</v>
      </c>
    </row>
    <row r="29" spans="2:6" x14ac:dyDescent="0.25">
      <c r="B29" s="2">
        <v>24</v>
      </c>
      <c r="C29" t="s">
        <v>52</v>
      </c>
      <c r="D29" s="2" t="s">
        <v>10</v>
      </c>
      <c r="E29" s="1">
        <v>1073628128</v>
      </c>
      <c r="F29" s="3" t="s">
        <v>12</v>
      </c>
    </row>
    <row r="30" spans="2:6" x14ac:dyDescent="0.25">
      <c r="B30" s="2">
        <v>25</v>
      </c>
      <c r="C30" t="s">
        <v>54</v>
      </c>
      <c r="D30" s="2" t="s">
        <v>10</v>
      </c>
      <c r="E30" s="1">
        <v>1020446053</v>
      </c>
      <c r="F30" s="3" t="s">
        <v>12</v>
      </c>
    </row>
    <row r="31" spans="2:6" x14ac:dyDescent="0.25">
      <c r="B31" s="3"/>
      <c r="C31" t="s">
        <v>55</v>
      </c>
      <c r="D31" s="2" t="s">
        <v>28</v>
      </c>
      <c r="E31" s="1">
        <v>107363920</v>
      </c>
      <c r="F31" s="3" t="s">
        <v>12</v>
      </c>
    </row>
    <row r="32" spans="2:6" x14ac:dyDescent="0.25">
      <c r="B32" s="2">
        <v>26</v>
      </c>
      <c r="C32" t="s">
        <v>56</v>
      </c>
      <c r="D32" s="2" t="s">
        <v>10</v>
      </c>
      <c r="E32" s="1">
        <v>20872056</v>
      </c>
      <c r="F32" s="3" t="s">
        <v>12</v>
      </c>
    </row>
    <row r="33" spans="2:9" x14ac:dyDescent="0.25">
      <c r="B33" s="2">
        <v>27</v>
      </c>
      <c r="C33" t="s">
        <v>58</v>
      </c>
      <c r="D33" s="2" t="s">
        <v>10</v>
      </c>
      <c r="E33" s="1">
        <v>1073629413</v>
      </c>
      <c r="F33" s="3" t="s">
        <v>12</v>
      </c>
    </row>
    <row r="34" spans="2:9" x14ac:dyDescent="0.25">
      <c r="B34" s="2">
        <v>28</v>
      </c>
      <c r="C34" t="s">
        <v>59</v>
      </c>
      <c r="D34" s="2" t="s">
        <v>10</v>
      </c>
      <c r="E34" s="1">
        <v>1273920</v>
      </c>
      <c r="F34" s="3" t="s">
        <v>12</v>
      </c>
    </row>
    <row r="35" spans="2:9" x14ac:dyDescent="0.25">
      <c r="B35" s="2">
        <v>29</v>
      </c>
      <c r="C35" t="s">
        <v>60</v>
      </c>
      <c r="D35" s="2" t="s">
        <v>10</v>
      </c>
      <c r="E35" s="1">
        <v>24579910</v>
      </c>
      <c r="F35" s="3" t="s">
        <v>12</v>
      </c>
    </row>
    <row r="36" spans="2:9" x14ac:dyDescent="0.25">
      <c r="B36" s="2">
        <v>30</v>
      </c>
      <c r="C36" t="s">
        <v>61</v>
      </c>
      <c r="D36" s="2" t="s">
        <v>10</v>
      </c>
      <c r="E36" s="1">
        <v>1007856126</v>
      </c>
      <c r="F36" s="3" t="s">
        <v>12</v>
      </c>
    </row>
    <row r="37" spans="2:9" x14ac:dyDescent="0.25">
      <c r="B37" s="2">
        <v>31</v>
      </c>
      <c r="C37" t="s">
        <v>77</v>
      </c>
      <c r="D37" s="2" t="s">
        <v>10</v>
      </c>
      <c r="E37" s="1">
        <v>20014466</v>
      </c>
      <c r="F37" s="3" t="s">
        <v>12</v>
      </c>
    </row>
    <row r="38" spans="2:9" x14ac:dyDescent="0.25">
      <c r="B38" s="2">
        <v>32</v>
      </c>
      <c r="C38" t="s">
        <v>78</v>
      </c>
      <c r="D38" s="2" t="s">
        <v>10</v>
      </c>
      <c r="E38" s="1">
        <v>3209792</v>
      </c>
      <c r="F38" s="3" t="s">
        <v>12</v>
      </c>
    </row>
    <row r="39" spans="2:9" x14ac:dyDescent="0.25">
      <c r="B39" s="2">
        <v>33</v>
      </c>
      <c r="C39" t="s">
        <v>65</v>
      </c>
      <c r="D39" s="2" t="s">
        <v>66</v>
      </c>
      <c r="E39" s="1">
        <v>4891826</v>
      </c>
      <c r="F39" s="3" t="s">
        <v>12</v>
      </c>
    </row>
    <row r="40" spans="2:9" x14ac:dyDescent="0.25">
      <c r="B40" s="2">
        <v>34</v>
      </c>
      <c r="C40" t="s">
        <v>67</v>
      </c>
      <c r="D40" s="2" t="s">
        <v>66</v>
      </c>
      <c r="E40" s="1">
        <v>1411505</v>
      </c>
      <c r="F40" s="3" t="s">
        <v>12</v>
      </c>
    </row>
    <row r="41" spans="2:9" x14ac:dyDescent="0.25">
      <c r="B41" s="2">
        <v>35</v>
      </c>
      <c r="C41" t="s">
        <v>68</v>
      </c>
      <c r="D41" s="2" t="s">
        <v>66</v>
      </c>
      <c r="E41" s="1">
        <v>5935750</v>
      </c>
      <c r="F41" s="3" t="s">
        <v>12</v>
      </c>
    </row>
    <row r="42" spans="2:9" x14ac:dyDescent="0.25">
      <c r="B42" s="2">
        <v>36</v>
      </c>
      <c r="C42" t="s">
        <v>73</v>
      </c>
      <c r="D42" s="2" t="s">
        <v>69</v>
      </c>
      <c r="E42" s="1">
        <v>79656808</v>
      </c>
      <c r="F42" s="8" t="s">
        <v>42</v>
      </c>
    </row>
    <row r="43" spans="2:9" x14ac:dyDescent="0.25">
      <c r="B43" s="2">
        <v>37</v>
      </c>
      <c r="C43" t="s">
        <v>74</v>
      </c>
      <c r="D43" s="2" t="s">
        <v>70</v>
      </c>
      <c r="E43" s="5">
        <v>1014877742</v>
      </c>
      <c r="F43" s="8" t="s">
        <v>42</v>
      </c>
    </row>
    <row r="44" spans="2:9" x14ac:dyDescent="0.25">
      <c r="B44" s="2">
        <v>38</v>
      </c>
      <c r="C44" t="s">
        <v>71</v>
      </c>
      <c r="D44" s="2" t="s">
        <v>10</v>
      </c>
      <c r="E44" s="5">
        <v>79538678</v>
      </c>
      <c r="F44" s="3" t="s">
        <v>12</v>
      </c>
      <c r="H44" s="13" t="s">
        <v>12</v>
      </c>
      <c r="I44" s="9">
        <f>COUNTIF(F:F,"Apulo")</f>
        <v>33</v>
      </c>
    </row>
    <row r="45" spans="2:9" x14ac:dyDescent="0.25">
      <c r="B45" s="2">
        <v>39</v>
      </c>
      <c r="C45" t="s">
        <v>72</v>
      </c>
      <c r="D45" s="2" t="s">
        <v>10</v>
      </c>
      <c r="E45" s="5">
        <v>1007953320</v>
      </c>
      <c r="F45" s="3" t="s">
        <v>12</v>
      </c>
      <c r="H45" s="12" t="s">
        <v>20</v>
      </c>
      <c r="I45" s="9">
        <f>COUNTIF(F:F,"Anapoima")</f>
        <v>5</v>
      </c>
    </row>
    <row r="46" spans="2:9" x14ac:dyDescent="0.25">
      <c r="B46" s="2">
        <v>40</v>
      </c>
      <c r="C46" t="s">
        <v>75</v>
      </c>
      <c r="D46" s="2" t="s">
        <v>10</v>
      </c>
      <c r="E46" s="1">
        <v>1070588821</v>
      </c>
      <c r="F46" s="3" t="s">
        <v>12</v>
      </c>
      <c r="H46" s="11" t="s">
        <v>81</v>
      </c>
      <c r="I46" s="9">
        <f>COUNTIF(F:F,"Hulandas")</f>
        <v>4</v>
      </c>
    </row>
    <row r="47" spans="2:9" x14ac:dyDescent="0.25">
      <c r="B47" s="2">
        <v>41</v>
      </c>
      <c r="C47" t="s">
        <v>79</v>
      </c>
      <c r="D47" s="2" t="s">
        <v>10</v>
      </c>
      <c r="E47" s="1">
        <v>1073630620</v>
      </c>
      <c r="F47" s="3" t="s">
        <v>12</v>
      </c>
      <c r="H47" s="10" t="s">
        <v>82</v>
      </c>
      <c r="I47" s="9">
        <f>COUNTIF(F:F,"Tocaima ")</f>
        <v>3</v>
      </c>
    </row>
    <row r="48" spans="2:9" x14ac:dyDescent="0.25">
      <c r="B48" s="2">
        <v>42</v>
      </c>
      <c r="C48" t="s">
        <v>80</v>
      </c>
      <c r="D48" s="2" t="s">
        <v>10</v>
      </c>
      <c r="E48" s="1">
        <v>20871766</v>
      </c>
      <c r="F48" s="3" t="s">
        <v>12</v>
      </c>
      <c r="H48" s="9" t="s">
        <v>83</v>
      </c>
      <c r="I48" s="9">
        <f>SUM(I44:I47)</f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Cruz</dc:creator>
  <cp:lastModifiedBy>Valery Natalia Duarte Gomez</cp:lastModifiedBy>
  <dcterms:created xsi:type="dcterms:W3CDTF">2024-12-11T08:26:50Z</dcterms:created>
  <dcterms:modified xsi:type="dcterms:W3CDTF">2024-12-19T16:07:23Z</dcterms:modified>
</cp:coreProperties>
</file>