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RIO CLARO Y SANTORINI\"/>
    </mc:Choice>
  </mc:AlternateContent>
  <xr:revisionPtr revIDLastSave="0" documentId="13_ncr:1_{255B83E3-7747-42F7-8CB6-383013213387}" xr6:coauthVersionLast="47" xr6:coauthVersionMax="47" xr10:uidLastSave="{00000000-0000-0000-0000-000000000000}"/>
  <bookViews>
    <workbookView xWindow="-120" yWindow="-120" windowWidth="20730" windowHeight="11160" xr2:uid="{FBE6BA0D-7E9F-495D-A24F-AA17A8B1CC2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1" l="1"/>
  <c r="N11" i="1"/>
  <c r="N12" i="1"/>
  <c r="N17" i="1"/>
  <c r="N18" i="1" s="1"/>
  <c r="K30" i="1"/>
  <c r="J30" i="1"/>
  <c r="K4" i="1"/>
  <c r="K5" i="1"/>
  <c r="K6" i="1"/>
  <c r="K7" i="1"/>
  <c r="K8" i="1"/>
  <c r="K9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7" i="1"/>
  <c r="K28" i="1"/>
  <c r="K29" i="1"/>
  <c r="O22" i="1"/>
  <c r="O23" i="1"/>
  <c r="O21" i="1"/>
  <c r="O24" i="1" s="1"/>
  <c r="N24" i="1"/>
  <c r="N23" i="1"/>
  <c r="N22" i="1"/>
  <c r="N21" i="1"/>
  <c r="H4" i="2"/>
  <c r="H3" i="2"/>
  <c r="H2" i="2"/>
  <c r="H5" i="2"/>
  <c r="M7" i="1" l="1"/>
  <c r="M6" i="1"/>
  <c r="M5" i="1"/>
  <c r="M4" i="1"/>
</calcChain>
</file>

<file path=xl/sharedStrings.xml><?xml version="1.0" encoding="utf-8"?>
<sst xmlns="http://schemas.openxmlformats.org/spreadsheetml/2006/main" count="226" uniqueCount="63">
  <si>
    <t>N°</t>
  </si>
  <si>
    <t>NOMBRE</t>
  </si>
  <si>
    <t>T.D</t>
  </si>
  <si>
    <t>#.D</t>
  </si>
  <si>
    <t>F.N</t>
  </si>
  <si>
    <t>TELF</t>
  </si>
  <si>
    <t>COMI</t>
  </si>
  <si>
    <t xml:space="preserve">Tania yisela jimenez rodriguez </t>
  </si>
  <si>
    <t>CC</t>
  </si>
  <si>
    <t>07 de abril 1997</t>
  </si>
  <si>
    <t xml:space="preserve">Cristian camilo bernal martinez </t>
  </si>
  <si>
    <t>26 de agosto  1995</t>
  </si>
  <si>
    <t>CELULAR</t>
  </si>
  <si>
    <t>TETE</t>
  </si>
  <si>
    <t>SALIDA</t>
  </si>
  <si>
    <t>APULO</t>
  </si>
  <si>
    <t>ANDREA KATERINE ZABALA</t>
  </si>
  <si>
    <t>TOCAIMA</t>
  </si>
  <si>
    <t>LAD</t>
  </si>
  <si>
    <t>Gustavo Girón</t>
  </si>
  <si>
    <t>ANAPOIMA</t>
  </si>
  <si>
    <t>Jhoanna Garcia Muñoz</t>
  </si>
  <si>
    <t>Francy Romero Sanabria</t>
  </si>
  <si>
    <t>313 891 0789</t>
  </si>
  <si>
    <t>Luisa Villamil</t>
  </si>
  <si>
    <t>311 850 0847</t>
  </si>
  <si>
    <t>Cristina Sierra</t>
  </si>
  <si>
    <t>Claudia Villamil</t>
  </si>
  <si>
    <t>Luis Duarte</t>
  </si>
  <si>
    <t>Valery Natalia Duarte Gomez</t>
  </si>
  <si>
    <t>Paula andrea velasco</t>
  </si>
  <si>
    <t>rc</t>
  </si>
  <si>
    <t>Jhon James Prieto</t>
  </si>
  <si>
    <t>Evolet amara prieto</t>
  </si>
  <si>
    <t>Nelson Herrera Ayala</t>
  </si>
  <si>
    <t xml:space="preserve">María Yaneth Castañeda Calderón </t>
  </si>
  <si>
    <t xml:space="preserve">Leidy Catalina Herrera Castañeda </t>
  </si>
  <si>
    <t xml:space="preserve">Nelson Esteban Herrera Castañeda </t>
  </si>
  <si>
    <t>TI</t>
  </si>
  <si>
    <t>Julio cesar Garaviz Zabala</t>
  </si>
  <si>
    <t xml:space="preserve">Maria Beatriz Fonseca Garzón.   </t>
  </si>
  <si>
    <t>Luis Alfonso Díaz</t>
  </si>
  <si>
    <t>Sergio Mur</t>
  </si>
  <si>
    <t>DAVID GIOVANNY ACOSTA</t>
  </si>
  <si>
    <t>EMPRESA</t>
  </si>
  <si>
    <t>GUSTAVO</t>
  </si>
  <si>
    <t xml:space="preserve">Katerin Penagos Reyes </t>
  </si>
  <si>
    <t>Henry David Torres Lozano</t>
  </si>
  <si>
    <t>Michelle Cuesta Penagos Reyes</t>
  </si>
  <si>
    <t>TOTAL</t>
  </si>
  <si>
    <t>TRANSPORTE</t>
  </si>
  <si>
    <t>ALMUERZO</t>
  </si>
  <si>
    <t>GUÍA SANTORINI</t>
  </si>
  <si>
    <t>SEGURO</t>
  </si>
  <si>
    <t>COSTOS Y GASTOS</t>
  </si>
  <si>
    <t>INGRESO</t>
  </si>
  <si>
    <t>UTILIDAD</t>
  </si>
  <si>
    <t>COMISIONISTA</t>
  </si>
  <si>
    <t>CANT</t>
  </si>
  <si>
    <t>VALOR</t>
  </si>
  <si>
    <t>RAFTING</t>
  </si>
  <si>
    <t>COMISIÓN</t>
  </si>
  <si>
    <t>GATOS DE REPRESENTACIÓN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</si>
</sst>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5" fillId="0" borderId="0" applyFont="0" applyFill="0" applyBorder="0" applyAlignment="0" applyProtection="0"/>
  </cellStyleXfs>
  <cellXfs count="36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3" borderId="2" xfId="0" applyFont="1" applyFill="1" applyBorder="1"/>
    <xf numFmtId="0" fontId="2" fillId="4" borderId="2" xfId="0" applyFont="1" applyFill="1" applyBorder="1"/>
    <xf numFmtId="0" fontId="4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/>
    </xf>
    <xf numFmtId="42" fontId="0" fillId="0" borderId="1" xfId="1" applyFont="1" applyBorder="1" applyAlignment="1">
      <alignment horizontal="center"/>
    </xf>
    <xf numFmtId="42" fontId="0" fillId="0" borderId="1" xfId="1" applyFont="1" applyBorder="1"/>
    <xf numFmtId="42" fontId="0" fillId="0" borderId="3" xfId="1" applyFont="1" applyBorder="1"/>
    <xf numFmtId="42" fontId="0" fillId="0" borderId="4" xfId="1" applyFont="1" applyBorder="1"/>
    <xf numFmtId="42" fontId="0" fillId="0" borderId="0" xfId="1" applyFont="1"/>
    <xf numFmtId="42" fontId="0" fillId="0" borderId="0" xfId="0" applyNumberFormat="1"/>
    <xf numFmtId="0" fontId="0" fillId="2" borderId="4" xfId="0" applyFill="1" applyBorder="1"/>
    <xf numFmtId="0" fontId="0" fillId="4" borderId="3" xfId="0" applyFill="1" applyBorder="1"/>
    <xf numFmtId="0" fontId="0" fillId="0" borderId="4" xfId="0" applyBorder="1" applyAlignment="1">
      <alignment horizontal="center"/>
    </xf>
    <xf numFmtId="42" fontId="0" fillId="0" borderId="4" xfId="1" applyFont="1" applyBorder="1" applyAlignment="1">
      <alignment horizontal="center"/>
    </xf>
    <xf numFmtId="0" fontId="0" fillId="0" borderId="3" xfId="0" applyBorder="1" applyAlignment="1">
      <alignment horizontal="center"/>
    </xf>
    <xf numFmtId="42" fontId="0" fillId="0" borderId="3" xfId="1" applyFont="1" applyBorder="1" applyAlignment="1">
      <alignment horizontal="center"/>
    </xf>
    <xf numFmtId="0" fontId="0" fillId="0" borderId="1" xfId="0" applyFill="1" applyBorder="1"/>
    <xf numFmtId="0" fontId="0" fillId="5" borderId="4" xfId="0" applyFill="1" applyBorder="1"/>
  </cellXfs>
  <cellStyles count="2">
    <cellStyle name="Moneda [0]" xfId="1" builtinId="7"/>
    <cellStyle name="Normal" xfId="0" builtinId="0"/>
  </cellStyles>
  <dxfs count="3">
    <dxf>
      <numFmt numFmtId="32" formatCode="_-&quot;$&quot;\ * #,##0_-;\-&quot;$&quot;\ * #,##0_-;_-&quot;$&quot;\ 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32" formatCode="_-&quot;$&quot;\ * #,##0_-;\-&quot;$&quot;\ * #,##0_-;_-&quot;$&quot;\ 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29A255-3339-4C28-8A98-31115AA06A31}" name="Tabla1" displayName="Tabla1" ref="B3:K30" totalsRowCount="1">
  <autoFilter ref="B3:K29" xr:uid="{0129A255-3339-4C28-8A98-31115AA06A31}"/>
  <tableColumns count="10">
    <tableColumn id="1" xr3:uid="{A8E61A25-E72F-4E8D-B00F-1EDA1D6EE62E}" name="N°"/>
    <tableColumn id="2" xr3:uid="{76743AD9-4546-4E33-932F-CFCE6FA7633B}" name="NOMBRE"/>
    <tableColumn id="3" xr3:uid="{2B29ED0B-507A-4A9B-A0F7-56B48E170A38}" name="T.D"/>
    <tableColumn id="4" xr3:uid="{0B392180-52E9-4554-9C50-D6B0D8855EB7}" name="#.D"/>
    <tableColumn id="5" xr3:uid="{C8DD3BED-92ED-41AF-BC47-088E747D3DA3}" name="F.N"/>
    <tableColumn id="6" xr3:uid="{0CFDE802-97AA-4518-9D0E-E9C58DBA3682}" name="TELF"/>
    <tableColumn id="7" xr3:uid="{FEAF265C-933A-44DE-82EB-0FD43FC535C8}" name="SALIDA"/>
    <tableColumn id="8" xr3:uid="{67611AC7-7319-4C93-A9B8-49D53C760CEE}" name="COMI"/>
    <tableColumn id="9" xr3:uid="{04233540-2DCA-485C-9B8E-CEEDD73CE0BD}" name="VALOR" totalsRowFunction="sum" totalsRowDxfId="1" dataCellStyle="Moneda [0]" totalsRowCellStyle="Moneda [0]"/>
    <tableColumn id="10" xr3:uid="{62689936-0F9B-4E41-885B-86DA766D94C2}" name="COMISIÓN" totalsRowFunction="sum" dataDxfId="2" totalsRowDxfId="0">
      <calculatedColumnFormula>Tabla1[[#This Row],[VALOR]]-15000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0CF67-D4E1-4A5E-8692-A67561C12601}">
  <dimension ref="B3:O30"/>
  <sheetViews>
    <sheetView tabSelected="1" topLeftCell="C7" workbookViewId="0">
      <selection activeCell="M21" sqref="M21"/>
    </sheetView>
  </sheetViews>
  <sheetFormatPr baseColWidth="10" defaultRowHeight="15" x14ac:dyDescent="0.25"/>
  <cols>
    <col min="3" max="3" width="33.85546875" bestFit="1" customWidth="1"/>
    <col min="5" max="5" width="12.7109375" bestFit="1" customWidth="1"/>
    <col min="6" max="6" width="17" bestFit="1" customWidth="1"/>
    <col min="7" max="7" width="11.85546875" bestFit="1" customWidth="1"/>
    <col min="10" max="10" width="12" style="26" bestFit="1" customWidth="1"/>
    <col min="11" max="11" width="12.7109375" bestFit="1" customWidth="1"/>
    <col min="13" max="13" width="26.140625" bestFit="1" customWidth="1"/>
    <col min="14" max="14" width="20.42578125" customWidth="1"/>
  </cols>
  <sheetData>
    <row r="3" spans="2:14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14</v>
      </c>
      <c r="I3" t="s">
        <v>6</v>
      </c>
      <c r="J3" s="26" t="s">
        <v>59</v>
      </c>
      <c r="K3" t="s">
        <v>61</v>
      </c>
    </row>
    <row r="4" spans="2:14" x14ac:dyDescent="0.25">
      <c r="B4">
        <v>1</v>
      </c>
      <c r="C4" t="s">
        <v>7</v>
      </c>
      <c r="D4" t="s">
        <v>8</v>
      </c>
      <c r="E4">
        <v>1072963130</v>
      </c>
      <c r="F4" t="s">
        <v>9</v>
      </c>
      <c r="H4" s="8" t="s">
        <v>15</v>
      </c>
      <c r="I4" t="s">
        <v>13</v>
      </c>
      <c r="J4" s="26">
        <v>192000</v>
      </c>
      <c r="K4" s="27">
        <f>Tabla1[[#This Row],[VALOR]]-15000</f>
        <v>177000</v>
      </c>
      <c r="M4" s="3">
        <f>COUNTIF(H:H,"ANAPOIMA")</f>
        <v>3</v>
      </c>
      <c r="N4" s="4" t="s">
        <v>20</v>
      </c>
    </row>
    <row r="5" spans="2:14" x14ac:dyDescent="0.25">
      <c r="B5">
        <v>2</v>
      </c>
      <c r="C5" t="s">
        <v>10</v>
      </c>
      <c r="D5" t="s">
        <v>8</v>
      </c>
      <c r="E5">
        <v>1073629922</v>
      </c>
      <c r="F5" t="s">
        <v>11</v>
      </c>
      <c r="G5" t="s">
        <v>12</v>
      </c>
      <c r="H5" s="8" t="s">
        <v>15</v>
      </c>
      <c r="I5" t="s">
        <v>13</v>
      </c>
      <c r="J5" s="26">
        <v>192000</v>
      </c>
      <c r="K5" s="27">
        <f>Tabla1[[#This Row],[VALOR]]-15000</f>
        <v>177000</v>
      </c>
      <c r="M5" s="3">
        <f>COUNTIF(H:H,"APULO")</f>
        <v>9</v>
      </c>
      <c r="N5" s="5" t="s">
        <v>15</v>
      </c>
    </row>
    <row r="6" spans="2:14" x14ac:dyDescent="0.25">
      <c r="B6">
        <v>3</v>
      </c>
      <c r="C6" t="s">
        <v>16</v>
      </c>
      <c r="D6" t="s">
        <v>8</v>
      </c>
      <c r="E6" s="1">
        <v>1075626762</v>
      </c>
      <c r="H6" s="7" t="s">
        <v>17</v>
      </c>
      <c r="I6" t="s">
        <v>18</v>
      </c>
      <c r="J6" s="26">
        <v>192000</v>
      </c>
      <c r="K6" s="27">
        <f>Tabla1[[#This Row],[VALOR]]-15000</f>
        <v>177000</v>
      </c>
      <c r="M6" s="3">
        <f>COUNTIF(H:H,"TOCAIMA")</f>
        <v>14</v>
      </c>
      <c r="N6" s="6" t="s">
        <v>17</v>
      </c>
    </row>
    <row r="7" spans="2:14" x14ac:dyDescent="0.25">
      <c r="B7">
        <v>4</v>
      </c>
      <c r="C7" t="s">
        <v>21</v>
      </c>
      <c r="D7" t="s">
        <v>8</v>
      </c>
      <c r="E7" s="1">
        <v>101906869</v>
      </c>
      <c r="H7" s="7" t="s">
        <v>17</v>
      </c>
      <c r="I7" t="s">
        <v>18</v>
      </c>
      <c r="J7" s="26">
        <v>192000</v>
      </c>
      <c r="K7" s="27">
        <f>Tabla1[[#This Row],[VALOR]]-15000</f>
        <v>177000</v>
      </c>
      <c r="M7" s="3">
        <f>SUM(M4:M6)</f>
        <v>26</v>
      </c>
      <c r="N7" s="3" t="s">
        <v>49</v>
      </c>
    </row>
    <row r="8" spans="2:14" x14ac:dyDescent="0.25">
      <c r="B8">
        <v>5</v>
      </c>
      <c r="C8" t="s">
        <v>32</v>
      </c>
      <c r="D8" t="s">
        <v>8</v>
      </c>
      <c r="E8">
        <v>1073629184</v>
      </c>
      <c r="H8" s="8" t="s">
        <v>15</v>
      </c>
      <c r="I8" t="s">
        <v>45</v>
      </c>
      <c r="J8" s="26">
        <v>192000</v>
      </c>
      <c r="K8" s="27">
        <f>Tabla1[[#This Row],[VALOR]]-15000</f>
        <v>177000</v>
      </c>
    </row>
    <row r="9" spans="2:14" x14ac:dyDescent="0.25">
      <c r="B9">
        <v>6</v>
      </c>
      <c r="C9" t="s">
        <v>30</v>
      </c>
      <c r="D9" t="s">
        <v>8</v>
      </c>
      <c r="E9">
        <v>1022415953</v>
      </c>
      <c r="H9" s="8" t="s">
        <v>15</v>
      </c>
      <c r="I9" t="s">
        <v>45</v>
      </c>
      <c r="J9" s="26">
        <v>142000</v>
      </c>
      <c r="K9" s="27">
        <f>Tabla1[[#This Row],[VALOR]]-15000</f>
        <v>127000</v>
      </c>
      <c r="M9" s="19" t="s">
        <v>54</v>
      </c>
      <c r="N9" s="19"/>
    </row>
    <row r="10" spans="2:14" x14ac:dyDescent="0.25">
      <c r="C10" t="s">
        <v>33</v>
      </c>
      <c r="D10" t="s">
        <v>31</v>
      </c>
      <c r="E10">
        <v>1022453337</v>
      </c>
      <c r="H10" s="8" t="s">
        <v>15</v>
      </c>
      <c r="J10" s="26">
        <v>25000</v>
      </c>
      <c r="K10" s="27">
        <v>25000</v>
      </c>
      <c r="M10" s="3" t="s">
        <v>50</v>
      </c>
      <c r="N10" s="23">
        <v>2100000</v>
      </c>
    </row>
    <row r="11" spans="2:14" x14ac:dyDescent="0.25">
      <c r="B11">
        <v>7</v>
      </c>
      <c r="C11" t="s">
        <v>19</v>
      </c>
      <c r="D11" t="s">
        <v>8</v>
      </c>
      <c r="E11" s="1">
        <v>1073630154</v>
      </c>
      <c r="H11" s="8" t="s">
        <v>15</v>
      </c>
      <c r="I11" t="s">
        <v>45</v>
      </c>
      <c r="J11" s="26">
        <v>192000</v>
      </c>
      <c r="K11" s="27">
        <f>Tabla1[[#This Row],[VALOR]]-15000</f>
        <v>177000</v>
      </c>
      <c r="M11" s="3" t="s">
        <v>51</v>
      </c>
      <c r="N11" s="23">
        <f>18000*25</f>
        <v>450000</v>
      </c>
    </row>
    <row r="12" spans="2:14" x14ac:dyDescent="0.25">
      <c r="B12">
        <v>8</v>
      </c>
      <c r="C12" t="s">
        <v>22</v>
      </c>
      <c r="D12" t="s">
        <v>8</v>
      </c>
      <c r="E12" s="1">
        <v>20871590</v>
      </c>
      <c r="G12" t="s">
        <v>23</v>
      </c>
      <c r="H12" s="8" t="s">
        <v>15</v>
      </c>
      <c r="I12" t="s">
        <v>18</v>
      </c>
      <c r="J12" s="26">
        <v>192000</v>
      </c>
      <c r="K12" s="27">
        <f>Tabla1[[#This Row],[VALOR]]-15000</f>
        <v>177000</v>
      </c>
      <c r="M12" s="3" t="s">
        <v>60</v>
      </c>
      <c r="N12" s="23">
        <f>60000*22</f>
        <v>1320000</v>
      </c>
    </row>
    <row r="13" spans="2:14" x14ac:dyDescent="0.25">
      <c r="B13">
        <v>9</v>
      </c>
      <c r="C13" t="s">
        <v>24</v>
      </c>
      <c r="D13" t="s">
        <v>8</v>
      </c>
      <c r="E13" s="1">
        <v>21018993</v>
      </c>
      <c r="G13" t="s">
        <v>25</v>
      </c>
      <c r="H13" s="7" t="s">
        <v>17</v>
      </c>
      <c r="I13" t="s">
        <v>18</v>
      </c>
      <c r="J13" s="26">
        <v>192000</v>
      </c>
      <c r="K13" s="27">
        <f>Tabla1[[#This Row],[VALOR]]-15000</f>
        <v>177000</v>
      </c>
      <c r="M13" s="3" t="s">
        <v>52</v>
      </c>
      <c r="N13" s="23">
        <v>100000</v>
      </c>
    </row>
    <row r="14" spans="2:14" x14ac:dyDescent="0.25">
      <c r="B14">
        <v>10</v>
      </c>
      <c r="C14" t="s">
        <v>26</v>
      </c>
      <c r="D14" t="s">
        <v>8</v>
      </c>
      <c r="E14" s="1">
        <v>21015224</v>
      </c>
      <c r="H14" s="7" t="s">
        <v>17</v>
      </c>
      <c r="I14" t="s">
        <v>18</v>
      </c>
      <c r="J14" s="26">
        <v>192000</v>
      </c>
      <c r="K14" s="27">
        <f>Tabla1[[#This Row],[VALOR]]-15000</f>
        <v>177000</v>
      </c>
      <c r="M14" s="34" t="s">
        <v>62</v>
      </c>
      <c r="N14" s="23">
        <v>40000</v>
      </c>
    </row>
    <row r="15" spans="2:14" ht="15.75" thickBot="1" x14ac:dyDescent="0.3">
      <c r="B15">
        <v>11</v>
      </c>
      <c r="C15" t="s">
        <v>27</v>
      </c>
      <c r="D15" t="s">
        <v>8</v>
      </c>
      <c r="E15" s="1">
        <v>21017918</v>
      </c>
      <c r="H15" s="7" t="s">
        <v>17</v>
      </c>
      <c r="I15" t="s">
        <v>18</v>
      </c>
      <c r="J15" s="26">
        <v>192000</v>
      </c>
      <c r="K15" s="27">
        <f>Tabla1[[#This Row],[VALOR]]-15000</f>
        <v>177000</v>
      </c>
      <c r="M15" s="20" t="s">
        <v>53</v>
      </c>
      <c r="N15" s="24">
        <v>52000</v>
      </c>
    </row>
    <row r="16" spans="2:14" x14ac:dyDescent="0.25">
      <c r="B16">
        <v>12</v>
      </c>
      <c r="C16" t="s">
        <v>34</v>
      </c>
      <c r="D16" t="s">
        <v>8</v>
      </c>
      <c r="E16">
        <v>79340024</v>
      </c>
      <c r="H16" s="7" t="s">
        <v>17</v>
      </c>
      <c r="I16" t="s">
        <v>18</v>
      </c>
      <c r="J16" s="26">
        <v>192000</v>
      </c>
      <c r="K16" s="27">
        <f>Tabla1[[#This Row],[VALOR]]-15000</f>
        <v>177000</v>
      </c>
      <c r="M16" s="28" t="s">
        <v>49</v>
      </c>
      <c r="N16" s="25">
        <f>SUM(N10:N15)</f>
        <v>4062000</v>
      </c>
    </row>
    <row r="17" spans="2:15" ht="15.75" thickBot="1" x14ac:dyDescent="0.3">
      <c r="B17">
        <v>13</v>
      </c>
      <c r="C17" t="s">
        <v>35</v>
      </c>
      <c r="D17" t="s">
        <v>8</v>
      </c>
      <c r="E17">
        <v>21018754</v>
      </c>
      <c r="H17" s="7" t="s">
        <v>17</v>
      </c>
      <c r="I17" t="s">
        <v>18</v>
      </c>
      <c r="J17" s="26">
        <v>192000</v>
      </c>
      <c r="K17" s="27">
        <f>Tabla1[[#This Row],[VALOR]]-15000</f>
        <v>177000</v>
      </c>
      <c r="M17" s="29" t="s">
        <v>55</v>
      </c>
      <c r="N17" s="24">
        <f>Tabla1[[#Totals],[COMISIÓN]]</f>
        <v>4046000</v>
      </c>
    </row>
    <row r="18" spans="2:15" x14ac:dyDescent="0.25">
      <c r="B18">
        <v>14</v>
      </c>
      <c r="C18" t="s">
        <v>36</v>
      </c>
      <c r="D18" t="s">
        <v>8</v>
      </c>
      <c r="E18">
        <v>1075624208</v>
      </c>
      <c r="H18" s="7" t="s">
        <v>17</v>
      </c>
      <c r="I18" t="s">
        <v>18</v>
      </c>
      <c r="J18" s="26">
        <v>192000</v>
      </c>
      <c r="K18" s="27">
        <f>Tabla1[[#This Row],[VALOR]]-15000</f>
        <v>177000</v>
      </c>
      <c r="M18" s="35" t="s">
        <v>56</v>
      </c>
      <c r="N18" s="25">
        <f>N17-N16</f>
        <v>-16000</v>
      </c>
    </row>
    <row r="19" spans="2:15" x14ac:dyDescent="0.25">
      <c r="B19">
        <v>15</v>
      </c>
      <c r="C19" t="s">
        <v>37</v>
      </c>
      <c r="D19" t="s">
        <v>38</v>
      </c>
      <c r="E19">
        <v>1075628090</v>
      </c>
      <c r="H19" s="7" t="s">
        <v>17</v>
      </c>
      <c r="I19" t="s">
        <v>18</v>
      </c>
      <c r="J19" s="26">
        <v>192000</v>
      </c>
      <c r="K19" s="27">
        <f>Tabla1[[#This Row],[VALOR]]-15000</f>
        <v>177000</v>
      </c>
    </row>
    <row r="20" spans="2:15" x14ac:dyDescent="0.25">
      <c r="B20">
        <v>16</v>
      </c>
      <c r="C20" t="s">
        <v>39</v>
      </c>
      <c r="D20" t="s">
        <v>8</v>
      </c>
      <c r="E20">
        <v>80356823</v>
      </c>
      <c r="H20" s="7" t="s">
        <v>17</v>
      </c>
      <c r="I20" t="s">
        <v>18</v>
      </c>
      <c r="J20" s="26">
        <v>192000</v>
      </c>
      <c r="K20" s="27">
        <f>Tabla1[[#This Row],[VALOR]]-15000</f>
        <v>177000</v>
      </c>
      <c r="M20" s="21" t="s">
        <v>57</v>
      </c>
      <c r="N20" s="21" t="s">
        <v>58</v>
      </c>
      <c r="O20" s="21" t="s">
        <v>59</v>
      </c>
    </row>
    <row r="21" spans="2:15" x14ac:dyDescent="0.25">
      <c r="B21">
        <v>17</v>
      </c>
      <c r="C21" t="s">
        <v>40</v>
      </c>
      <c r="D21" t="s">
        <v>8</v>
      </c>
      <c r="E21">
        <v>21016286</v>
      </c>
      <c r="H21" s="7" t="s">
        <v>17</v>
      </c>
      <c r="I21" t="s">
        <v>18</v>
      </c>
      <c r="J21" s="26">
        <v>192000</v>
      </c>
      <c r="K21" s="27">
        <f>Tabla1[[#This Row],[VALOR]]-15000</f>
        <v>177000</v>
      </c>
      <c r="M21" s="21" t="s">
        <v>13</v>
      </c>
      <c r="N21" s="21">
        <f>COUNTIF(I:I,"TETE")</f>
        <v>2</v>
      </c>
      <c r="O21" s="22">
        <f>N21*15000</f>
        <v>30000</v>
      </c>
    </row>
    <row r="22" spans="2:15" x14ac:dyDescent="0.25">
      <c r="B22">
        <v>18</v>
      </c>
      <c r="C22" t="s">
        <v>41</v>
      </c>
      <c r="D22" t="s">
        <v>8</v>
      </c>
      <c r="E22" s="1">
        <v>80355187</v>
      </c>
      <c r="H22" s="7" t="s">
        <v>17</v>
      </c>
      <c r="I22" t="s">
        <v>18</v>
      </c>
      <c r="J22" s="26">
        <v>192000</v>
      </c>
      <c r="K22" s="27">
        <f>Tabla1[[#This Row],[VALOR]]-15000</f>
        <v>177000</v>
      </c>
      <c r="M22" s="21" t="s">
        <v>18</v>
      </c>
      <c r="N22" s="21">
        <f>COUNTIF(I:I,"LAD")</f>
        <v>18</v>
      </c>
      <c r="O22" s="22">
        <f t="shared" ref="O22:O23" si="0">N22*15000</f>
        <v>270000</v>
      </c>
    </row>
    <row r="23" spans="2:15" ht="15.75" thickBot="1" x14ac:dyDescent="0.3">
      <c r="B23">
        <v>19</v>
      </c>
      <c r="C23" t="s">
        <v>42</v>
      </c>
      <c r="D23" t="s">
        <v>8</v>
      </c>
      <c r="E23">
        <v>80357194</v>
      </c>
      <c r="H23" s="7" t="s">
        <v>17</v>
      </c>
      <c r="I23" t="s">
        <v>18</v>
      </c>
      <c r="J23" s="26">
        <v>192000</v>
      </c>
      <c r="K23" s="27">
        <f>Tabla1[[#This Row],[VALOR]]-15000</f>
        <v>177000</v>
      </c>
      <c r="M23" s="32" t="s">
        <v>45</v>
      </c>
      <c r="N23" s="32">
        <f>COUNTIF(I:I,"GUSTAVO")</f>
        <v>3</v>
      </c>
      <c r="O23" s="33">
        <f t="shared" si="0"/>
        <v>45000</v>
      </c>
    </row>
    <row r="24" spans="2:15" x14ac:dyDescent="0.25">
      <c r="B24">
        <v>20</v>
      </c>
      <c r="C24" t="s">
        <v>43</v>
      </c>
      <c r="D24" t="s">
        <v>8</v>
      </c>
      <c r="E24" s="1">
        <v>1003706430</v>
      </c>
      <c r="H24" s="7" t="s">
        <v>17</v>
      </c>
      <c r="I24" t="s">
        <v>18</v>
      </c>
      <c r="J24" s="26">
        <v>192000</v>
      </c>
      <c r="K24" s="27">
        <f>Tabla1[[#This Row],[VALOR]]-15000</f>
        <v>177000</v>
      </c>
      <c r="M24" s="30" t="s">
        <v>49</v>
      </c>
      <c r="N24" s="30">
        <f>SUM(N21:N23)</f>
        <v>23</v>
      </c>
      <c r="O24" s="31">
        <f>SUM(O21:O23)</f>
        <v>345000</v>
      </c>
    </row>
    <row r="25" spans="2:15" x14ac:dyDescent="0.25">
      <c r="B25">
        <v>21</v>
      </c>
      <c r="C25" t="s">
        <v>28</v>
      </c>
      <c r="D25" t="s">
        <v>8</v>
      </c>
      <c r="E25" s="1">
        <v>79538678</v>
      </c>
      <c r="H25" s="8" t="s">
        <v>15</v>
      </c>
      <c r="I25" t="s">
        <v>44</v>
      </c>
      <c r="J25" s="26">
        <v>0</v>
      </c>
      <c r="K25" s="27"/>
    </row>
    <row r="26" spans="2:15" x14ac:dyDescent="0.25">
      <c r="B26">
        <v>22</v>
      </c>
      <c r="C26" t="s">
        <v>29</v>
      </c>
      <c r="D26" t="s">
        <v>8</v>
      </c>
      <c r="E26" s="1">
        <v>1007953320</v>
      </c>
      <c r="H26" s="8" t="s">
        <v>15</v>
      </c>
      <c r="I26" t="s">
        <v>44</v>
      </c>
      <c r="J26" s="26">
        <v>0</v>
      </c>
      <c r="K26" s="27"/>
      <c r="N26" s="27"/>
    </row>
    <row r="27" spans="2:15" x14ac:dyDescent="0.25">
      <c r="B27">
        <v>23</v>
      </c>
      <c r="C27" t="s">
        <v>46</v>
      </c>
      <c r="D27" t="s">
        <v>8</v>
      </c>
      <c r="E27">
        <v>1032416365</v>
      </c>
      <c r="H27" s="2" t="s">
        <v>20</v>
      </c>
      <c r="I27" t="s">
        <v>18</v>
      </c>
      <c r="J27" s="26">
        <v>192000</v>
      </c>
      <c r="K27" s="27">
        <f>Tabla1[[#This Row],[VALOR]]-15000</f>
        <v>177000</v>
      </c>
    </row>
    <row r="28" spans="2:15" x14ac:dyDescent="0.25">
      <c r="B28">
        <v>24</v>
      </c>
      <c r="C28" t="s">
        <v>47</v>
      </c>
      <c r="D28" t="s">
        <v>8</v>
      </c>
      <c r="E28">
        <v>1026277772</v>
      </c>
      <c r="H28" s="2" t="s">
        <v>20</v>
      </c>
      <c r="I28" t="s">
        <v>18</v>
      </c>
      <c r="J28" s="26">
        <v>192000</v>
      </c>
      <c r="K28" s="27">
        <f>Tabla1[[#This Row],[VALOR]]-15000</f>
        <v>177000</v>
      </c>
    </row>
    <row r="29" spans="2:15" x14ac:dyDescent="0.25">
      <c r="B29">
        <v>25</v>
      </c>
      <c r="C29" t="s">
        <v>48</v>
      </c>
      <c r="D29" t="s">
        <v>38</v>
      </c>
      <c r="E29">
        <v>1012372527</v>
      </c>
      <c r="H29" s="2" t="s">
        <v>20</v>
      </c>
      <c r="I29" t="s">
        <v>18</v>
      </c>
      <c r="J29" s="26">
        <v>192000</v>
      </c>
      <c r="K29" s="27">
        <f>Tabla1[[#This Row],[VALOR]]-15000</f>
        <v>177000</v>
      </c>
    </row>
    <row r="30" spans="2:15" x14ac:dyDescent="0.25">
      <c r="J30" s="26">
        <f>SUBTOTAL(109,Tabla1[VALOR])</f>
        <v>4391000</v>
      </c>
      <c r="K30" s="27">
        <f>SUBTOTAL(109,Tabla1[COMISIÓN])</f>
        <v>4046000</v>
      </c>
    </row>
  </sheetData>
  <mergeCells count="1">
    <mergeCell ref="M9:N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E561-F001-4605-88B1-9A102F9F258B}">
  <dimension ref="B2:I28"/>
  <sheetViews>
    <sheetView zoomScale="106" zoomScaleNormal="106" workbookViewId="0">
      <selection activeCell="H2" sqref="H2:I5"/>
    </sheetView>
  </sheetViews>
  <sheetFormatPr baseColWidth="10" defaultRowHeight="15" x14ac:dyDescent="0.25"/>
  <cols>
    <col min="2" max="2" width="11.42578125" style="9"/>
    <col min="3" max="3" width="32.42578125" bestFit="1" customWidth="1"/>
    <col min="4" max="6" width="11.42578125" style="9"/>
  </cols>
  <sheetData>
    <row r="2" spans="2:9" s="9" customFormat="1" x14ac:dyDescent="0.25">
      <c r="B2" s="18" t="s">
        <v>0</v>
      </c>
      <c r="C2" s="18" t="s">
        <v>1</v>
      </c>
      <c r="D2" s="18" t="s">
        <v>2</v>
      </c>
      <c r="E2" s="18" t="s">
        <v>3</v>
      </c>
      <c r="F2" s="18" t="s">
        <v>14</v>
      </c>
      <c r="H2" s="11">
        <f>COUNTIF(F:F,"ANAPOIMA")</f>
        <v>3</v>
      </c>
      <c r="I2" s="15" t="s">
        <v>20</v>
      </c>
    </row>
    <row r="3" spans="2:9" x14ac:dyDescent="0.25">
      <c r="B3" s="10">
        <v>1</v>
      </c>
      <c r="C3" s="11" t="s">
        <v>7</v>
      </c>
      <c r="D3" s="10" t="s">
        <v>8</v>
      </c>
      <c r="E3" s="10">
        <v>1072963130</v>
      </c>
      <c r="F3" s="12" t="s">
        <v>15</v>
      </c>
      <c r="H3" s="11">
        <f>COUNTIF(F:F,"APULO")</f>
        <v>9</v>
      </c>
      <c r="I3" s="16" t="s">
        <v>15</v>
      </c>
    </row>
    <row r="4" spans="2:9" x14ac:dyDescent="0.25">
      <c r="B4" s="10">
        <v>2</v>
      </c>
      <c r="C4" s="11" t="s">
        <v>10</v>
      </c>
      <c r="D4" s="10" t="s">
        <v>8</v>
      </c>
      <c r="E4" s="10">
        <v>1073629922</v>
      </c>
      <c r="F4" s="12" t="s">
        <v>15</v>
      </c>
      <c r="H4" s="11">
        <f>COUNTIF(F:F,"TOCAIMA")</f>
        <v>14</v>
      </c>
      <c r="I4" s="17" t="s">
        <v>17</v>
      </c>
    </row>
    <row r="5" spans="2:9" x14ac:dyDescent="0.25">
      <c r="B5" s="10">
        <v>3</v>
      </c>
      <c r="C5" s="11" t="s">
        <v>16</v>
      </c>
      <c r="D5" s="10" t="s">
        <v>8</v>
      </c>
      <c r="E5" s="10">
        <v>1075626762</v>
      </c>
      <c r="F5" s="13" t="s">
        <v>17</v>
      </c>
      <c r="H5" s="11">
        <f>SUM(H2:H4)</f>
        <v>26</v>
      </c>
      <c r="I5" s="11" t="s">
        <v>49</v>
      </c>
    </row>
    <row r="6" spans="2:9" x14ac:dyDescent="0.25">
      <c r="B6" s="10">
        <v>4</v>
      </c>
      <c r="C6" s="11" t="s">
        <v>21</v>
      </c>
      <c r="D6" s="10" t="s">
        <v>8</v>
      </c>
      <c r="E6" s="10">
        <v>101906869</v>
      </c>
      <c r="F6" s="13" t="s">
        <v>17</v>
      </c>
    </row>
    <row r="7" spans="2:9" x14ac:dyDescent="0.25">
      <c r="B7" s="10">
        <v>5</v>
      </c>
      <c r="C7" s="11" t="s">
        <v>32</v>
      </c>
      <c r="D7" s="10" t="s">
        <v>8</v>
      </c>
      <c r="E7" s="10">
        <v>1073629184</v>
      </c>
      <c r="F7" s="12" t="s">
        <v>15</v>
      </c>
    </row>
    <row r="8" spans="2:9" x14ac:dyDescent="0.25">
      <c r="B8" s="10">
        <v>6</v>
      </c>
      <c r="C8" s="11" t="s">
        <v>30</v>
      </c>
      <c r="D8" s="10" t="s">
        <v>8</v>
      </c>
      <c r="E8" s="10">
        <v>1022415953</v>
      </c>
      <c r="F8" s="12" t="s">
        <v>15</v>
      </c>
    </row>
    <row r="9" spans="2:9" x14ac:dyDescent="0.25">
      <c r="B9" s="10"/>
      <c r="C9" s="11" t="s">
        <v>33</v>
      </c>
      <c r="D9" s="10" t="s">
        <v>31</v>
      </c>
      <c r="E9" s="10">
        <v>1022453337</v>
      </c>
      <c r="F9" s="12" t="s">
        <v>15</v>
      </c>
    </row>
    <row r="10" spans="2:9" x14ac:dyDescent="0.25">
      <c r="B10" s="10">
        <v>7</v>
      </c>
      <c r="C10" s="11" t="s">
        <v>19</v>
      </c>
      <c r="D10" s="10" t="s">
        <v>8</v>
      </c>
      <c r="E10" s="10">
        <v>1073630154</v>
      </c>
      <c r="F10" s="12" t="s">
        <v>15</v>
      </c>
    </row>
    <row r="11" spans="2:9" x14ac:dyDescent="0.25">
      <c r="B11" s="10">
        <v>8</v>
      </c>
      <c r="C11" s="11" t="s">
        <v>22</v>
      </c>
      <c r="D11" s="10" t="s">
        <v>8</v>
      </c>
      <c r="E11" s="10">
        <v>20871590</v>
      </c>
      <c r="F11" s="12" t="s">
        <v>15</v>
      </c>
    </row>
    <row r="12" spans="2:9" x14ac:dyDescent="0.25">
      <c r="B12" s="10">
        <v>9</v>
      </c>
      <c r="C12" s="11" t="s">
        <v>24</v>
      </c>
      <c r="D12" s="10" t="s">
        <v>8</v>
      </c>
      <c r="E12" s="10">
        <v>21018993</v>
      </c>
      <c r="F12" s="13" t="s">
        <v>17</v>
      </c>
    </row>
    <row r="13" spans="2:9" x14ac:dyDescent="0.25">
      <c r="B13" s="10">
        <v>10</v>
      </c>
      <c r="C13" s="11" t="s">
        <v>26</v>
      </c>
      <c r="D13" s="10" t="s">
        <v>8</v>
      </c>
      <c r="E13" s="10">
        <v>21015224</v>
      </c>
      <c r="F13" s="13" t="s">
        <v>17</v>
      </c>
    </row>
    <row r="14" spans="2:9" x14ac:dyDescent="0.25">
      <c r="B14" s="10">
        <v>11</v>
      </c>
      <c r="C14" s="11" t="s">
        <v>27</v>
      </c>
      <c r="D14" s="10" t="s">
        <v>8</v>
      </c>
      <c r="E14" s="10">
        <v>21017918</v>
      </c>
      <c r="F14" s="13" t="s">
        <v>17</v>
      </c>
    </row>
    <row r="15" spans="2:9" x14ac:dyDescent="0.25">
      <c r="B15" s="10">
        <v>12</v>
      </c>
      <c r="C15" s="11" t="s">
        <v>34</v>
      </c>
      <c r="D15" s="10" t="s">
        <v>8</v>
      </c>
      <c r="E15" s="10">
        <v>79340024</v>
      </c>
      <c r="F15" s="13" t="s">
        <v>17</v>
      </c>
    </row>
    <row r="16" spans="2:9" x14ac:dyDescent="0.25">
      <c r="B16" s="10">
        <v>13</v>
      </c>
      <c r="C16" s="11" t="s">
        <v>35</v>
      </c>
      <c r="D16" s="10" t="s">
        <v>8</v>
      </c>
      <c r="E16" s="10">
        <v>21018754</v>
      </c>
      <c r="F16" s="13" t="s">
        <v>17</v>
      </c>
    </row>
    <row r="17" spans="2:6" x14ac:dyDescent="0.25">
      <c r="B17" s="10">
        <v>14</v>
      </c>
      <c r="C17" s="11" t="s">
        <v>36</v>
      </c>
      <c r="D17" s="10" t="s">
        <v>8</v>
      </c>
      <c r="E17" s="10">
        <v>1075624208</v>
      </c>
      <c r="F17" s="13" t="s">
        <v>17</v>
      </c>
    </row>
    <row r="18" spans="2:6" x14ac:dyDescent="0.25">
      <c r="B18" s="10">
        <v>15</v>
      </c>
      <c r="C18" s="11" t="s">
        <v>37</v>
      </c>
      <c r="D18" s="10" t="s">
        <v>38</v>
      </c>
      <c r="E18" s="10">
        <v>1075628090</v>
      </c>
      <c r="F18" s="13" t="s">
        <v>17</v>
      </c>
    </row>
    <row r="19" spans="2:6" x14ac:dyDescent="0.25">
      <c r="B19" s="10">
        <v>16</v>
      </c>
      <c r="C19" s="11" t="s">
        <v>39</v>
      </c>
      <c r="D19" s="10" t="s">
        <v>8</v>
      </c>
      <c r="E19" s="10">
        <v>80356823</v>
      </c>
      <c r="F19" s="13" t="s">
        <v>17</v>
      </c>
    </row>
    <row r="20" spans="2:6" x14ac:dyDescent="0.25">
      <c r="B20" s="10">
        <v>17</v>
      </c>
      <c r="C20" s="11" t="s">
        <v>40</v>
      </c>
      <c r="D20" s="10" t="s">
        <v>8</v>
      </c>
      <c r="E20" s="10">
        <v>21016286</v>
      </c>
      <c r="F20" s="13" t="s">
        <v>17</v>
      </c>
    </row>
    <row r="21" spans="2:6" x14ac:dyDescent="0.25">
      <c r="B21" s="10">
        <v>18</v>
      </c>
      <c r="C21" s="11" t="s">
        <v>41</v>
      </c>
      <c r="D21" s="10" t="s">
        <v>8</v>
      </c>
      <c r="E21" s="10">
        <v>80355187</v>
      </c>
      <c r="F21" s="13" t="s">
        <v>17</v>
      </c>
    </row>
    <row r="22" spans="2:6" x14ac:dyDescent="0.25">
      <c r="B22" s="10">
        <v>19</v>
      </c>
      <c r="C22" s="11" t="s">
        <v>42</v>
      </c>
      <c r="D22" s="10" t="s">
        <v>8</v>
      </c>
      <c r="E22" s="10">
        <v>80357194</v>
      </c>
      <c r="F22" s="13" t="s">
        <v>17</v>
      </c>
    </row>
    <row r="23" spans="2:6" x14ac:dyDescent="0.25">
      <c r="B23" s="10">
        <v>20</v>
      </c>
      <c r="C23" s="11" t="s">
        <v>43</v>
      </c>
      <c r="D23" s="10" t="s">
        <v>8</v>
      </c>
      <c r="E23" s="10">
        <v>1003706430</v>
      </c>
      <c r="F23" s="13" t="s">
        <v>17</v>
      </c>
    </row>
    <row r="24" spans="2:6" x14ac:dyDescent="0.25">
      <c r="B24" s="10">
        <v>21</v>
      </c>
      <c r="C24" s="11" t="s">
        <v>28</v>
      </c>
      <c r="D24" s="10" t="s">
        <v>8</v>
      </c>
      <c r="E24" s="10">
        <v>79538678</v>
      </c>
      <c r="F24" s="12" t="s">
        <v>15</v>
      </c>
    </row>
    <row r="25" spans="2:6" x14ac:dyDescent="0.25">
      <c r="B25" s="10">
        <v>22</v>
      </c>
      <c r="C25" s="11" t="s">
        <v>29</v>
      </c>
      <c r="D25" s="10" t="s">
        <v>8</v>
      </c>
      <c r="E25" s="10">
        <v>1007953320</v>
      </c>
      <c r="F25" s="12" t="s">
        <v>15</v>
      </c>
    </row>
    <row r="26" spans="2:6" x14ac:dyDescent="0.25">
      <c r="B26" s="10">
        <v>23</v>
      </c>
      <c r="C26" s="11" t="s">
        <v>46</v>
      </c>
      <c r="D26" s="10" t="s">
        <v>8</v>
      </c>
      <c r="E26" s="10">
        <v>1032416365</v>
      </c>
      <c r="F26" s="14" t="s">
        <v>20</v>
      </c>
    </row>
    <row r="27" spans="2:6" x14ac:dyDescent="0.25">
      <c r="B27" s="10">
        <v>24</v>
      </c>
      <c r="C27" s="11" t="s">
        <v>47</v>
      </c>
      <c r="D27" s="10" t="s">
        <v>8</v>
      </c>
      <c r="E27" s="10">
        <v>1026277772</v>
      </c>
      <c r="F27" s="14" t="s">
        <v>20</v>
      </c>
    </row>
    <row r="28" spans="2:6" x14ac:dyDescent="0.25">
      <c r="B28" s="10">
        <v>25</v>
      </c>
      <c r="C28" s="11" t="s">
        <v>48</v>
      </c>
      <c r="D28" s="10" t="s">
        <v>38</v>
      </c>
      <c r="E28" s="10">
        <v>1012372527</v>
      </c>
      <c r="F28" s="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Valery Natalia Duarte Gomez</cp:lastModifiedBy>
  <dcterms:created xsi:type="dcterms:W3CDTF">2024-08-06T21:04:07Z</dcterms:created>
  <dcterms:modified xsi:type="dcterms:W3CDTF">2024-12-19T16:53:30Z</dcterms:modified>
</cp:coreProperties>
</file>