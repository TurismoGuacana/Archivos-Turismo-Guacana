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PLAYA HAWAI\2025\"/>
    </mc:Choice>
  </mc:AlternateContent>
  <xr:revisionPtr revIDLastSave="0" documentId="8_{090284E3-D425-402E-A857-72A662B27AC0}" xr6:coauthVersionLast="47" xr6:coauthVersionMax="47" xr10:uidLastSave="{00000000-0000-0000-0000-000000000000}"/>
  <bookViews>
    <workbookView xWindow="-120" yWindow="-120" windowWidth="20730" windowHeight="11160" xr2:uid="{F5080D7D-DED8-4C3D-9131-198D5981A46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9" i="1"/>
  <c r="O11" i="1" s="1"/>
  <c r="L42" i="1"/>
  <c r="K42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20" i="1"/>
  <c r="L18" i="1"/>
  <c r="L19" i="1"/>
  <c r="L17" i="1"/>
  <c r="L16" i="1"/>
  <c r="L5" i="1"/>
  <c r="L6" i="1"/>
  <c r="L7" i="1"/>
  <c r="L8" i="1"/>
  <c r="L9" i="1"/>
  <c r="L10" i="1"/>
  <c r="L11" i="1"/>
  <c r="L12" i="1"/>
  <c r="L13" i="1"/>
  <c r="L14" i="1"/>
  <c r="L15" i="1"/>
  <c r="L4" i="1"/>
  <c r="O20" i="1"/>
  <c r="P20" i="1" s="1"/>
  <c r="O19" i="1"/>
  <c r="P19" i="1" s="1"/>
  <c r="O18" i="1"/>
  <c r="P18" i="1" s="1"/>
  <c r="O17" i="1"/>
  <c r="I43" i="1"/>
  <c r="I46" i="1"/>
  <c r="I45" i="1"/>
  <c r="I44" i="1"/>
  <c r="I47" i="1" s="1"/>
  <c r="O21" i="1" l="1"/>
  <c r="P17" i="1"/>
  <c r="P21" i="1" s="1"/>
  <c r="N28" i="1" s="1"/>
</calcChain>
</file>

<file path=xl/sharedStrings.xml><?xml version="1.0" encoding="utf-8"?>
<sst xmlns="http://schemas.openxmlformats.org/spreadsheetml/2006/main" count="281" uniqueCount="98">
  <si>
    <t>#</t>
  </si>
  <si>
    <t>NOMBRE</t>
  </si>
  <si>
    <t>T.D</t>
  </si>
  <si>
    <t># DOC</t>
  </si>
  <si>
    <t>MUNICIPIO</t>
  </si>
  <si>
    <t>COMISIONISTA</t>
  </si>
  <si>
    <t>VALOR</t>
  </si>
  <si>
    <t>COMISION</t>
  </si>
  <si>
    <t>Carmen Elisa Gonzalez</t>
  </si>
  <si>
    <t>cc</t>
  </si>
  <si>
    <t>CEL</t>
  </si>
  <si>
    <t>317 779 3004</t>
  </si>
  <si>
    <t xml:space="preserve">Patricia Cortes </t>
  </si>
  <si>
    <t>Tocaima</t>
  </si>
  <si>
    <t>310 781 7921</t>
  </si>
  <si>
    <t>Mireya</t>
  </si>
  <si>
    <t>Blanca Nubia Olarte Garzón</t>
  </si>
  <si>
    <t>321 502 3426</t>
  </si>
  <si>
    <t>María Alejandra Velez Gonzalez</t>
  </si>
  <si>
    <t>Ti</t>
  </si>
  <si>
    <t>Apulo</t>
  </si>
  <si>
    <t>LAD</t>
  </si>
  <si>
    <t>María Fernanda Velez Gonzalez</t>
  </si>
  <si>
    <t>Meseta</t>
  </si>
  <si>
    <t>12 años</t>
  </si>
  <si>
    <t>17 años</t>
  </si>
  <si>
    <t>Leidy Johana Gonzalez Gil</t>
  </si>
  <si>
    <t>305 290 7323</t>
  </si>
  <si>
    <t>Carolayn Chivara Paez</t>
  </si>
  <si>
    <t>Cristopher Matías Chivara Paez</t>
  </si>
  <si>
    <t>RC</t>
  </si>
  <si>
    <t>Anyi Natalia Sanchez Gonzalez</t>
  </si>
  <si>
    <t>Genoveva Gonzalez</t>
  </si>
  <si>
    <t>Martina Cañon Sanchez</t>
  </si>
  <si>
    <t>2 años</t>
  </si>
  <si>
    <t>11 meses</t>
  </si>
  <si>
    <t>Steven Andres Ramirez Hernandez</t>
  </si>
  <si>
    <t>Nancy Sosa Soba</t>
  </si>
  <si>
    <t>321 315 574</t>
  </si>
  <si>
    <t>323 809 30</t>
  </si>
  <si>
    <t>319 513 5749</t>
  </si>
  <si>
    <t>María Fernanda Ramirez Sosa</t>
  </si>
  <si>
    <t>14 años</t>
  </si>
  <si>
    <t>Andres Felipe Ramirez Sosa</t>
  </si>
  <si>
    <t>Miguel Angel Ramirez Sanabria</t>
  </si>
  <si>
    <t>314 216 6544</t>
  </si>
  <si>
    <t>Maribel Martinez Sanabria</t>
  </si>
  <si>
    <t>314 390 1697</t>
  </si>
  <si>
    <t>Divier Gabriel Sanchez</t>
  </si>
  <si>
    <t>Yasmin Rodriguez</t>
  </si>
  <si>
    <t>Anapoima</t>
  </si>
  <si>
    <t>316 049 6103</t>
  </si>
  <si>
    <t>Edgar Olarte</t>
  </si>
  <si>
    <t>314 458 4202</t>
  </si>
  <si>
    <t xml:space="preserve">Stella Urrea </t>
  </si>
  <si>
    <t>Martha Isabel Moncaleano</t>
  </si>
  <si>
    <t>320 322 9196</t>
  </si>
  <si>
    <t>Edith</t>
  </si>
  <si>
    <t>Juan Sebastián Ramos Bazurto</t>
  </si>
  <si>
    <t xml:space="preserve">Alfonso Moreno Silva </t>
  </si>
  <si>
    <t>Jhon Sebastián Rodriguez</t>
  </si>
  <si>
    <t>314 763 2407</t>
  </si>
  <si>
    <t>Mirella Reyes</t>
  </si>
  <si>
    <t>Ligia Marbin Diaz Palacios</t>
  </si>
  <si>
    <t>Graciela Diaz Palacios</t>
  </si>
  <si>
    <t>311 871 1852</t>
  </si>
  <si>
    <t xml:space="preserve">Mersedes Rincón Vargas </t>
  </si>
  <si>
    <t>Elisabeth Gomez de Fuertes</t>
  </si>
  <si>
    <t>Martin Rodriguez Garzon</t>
  </si>
  <si>
    <t>Emilia Guevara Morales</t>
  </si>
  <si>
    <t>Alfonso Guevara Martinez</t>
  </si>
  <si>
    <t>Laura Marcela Morales Lesmes</t>
  </si>
  <si>
    <t>10 años</t>
  </si>
  <si>
    <t>Isabel Espinosa de Rodriguez</t>
  </si>
  <si>
    <t>Carlina Padilla Quiroga</t>
  </si>
  <si>
    <t>Isabel</t>
  </si>
  <si>
    <t>Luis Alberto Duarte Molina</t>
  </si>
  <si>
    <t>empresa</t>
  </si>
  <si>
    <t>7953867+D13:F408</t>
  </si>
  <si>
    <t>APULO</t>
  </si>
  <si>
    <t>ANAPOIMA</t>
  </si>
  <si>
    <t>TOCAIMA</t>
  </si>
  <si>
    <t>MESETA</t>
  </si>
  <si>
    <t>TOTAL</t>
  </si>
  <si>
    <t>TRANSPORTE</t>
  </si>
  <si>
    <t>SEGURO</t>
  </si>
  <si>
    <t>PAX</t>
  </si>
  <si>
    <t>COMISIÓN</t>
  </si>
  <si>
    <t>MIREYA</t>
  </si>
  <si>
    <t xml:space="preserve">EDITH </t>
  </si>
  <si>
    <t>ISABEL</t>
  </si>
  <si>
    <t>elsy lopez</t>
  </si>
  <si>
    <t>REFRIGERIO</t>
  </si>
  <si>
    <t>COSTOS Y GASTOS</t>
  </si>
  <si>
    <t>INGRESO+ALMR</t>
  </si>
  <si>
    <t xml:space="preserve">INGRESO </t>
  </si>
  <si>
    <t>UTILIDAD</t>
  </si>
  <si>
    <t>GASTOS DE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</si>
</sst>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42" fontId="0" fillId="0" borderId="1" xfId="1" applyFont="1" applyBorder="1"/>
    <xf numFmtId="42" fontId="0" fillId="0" borderId="0" xfId="1" applyFont="1"/>
    <xf numFmtId="0" fontId="0" fillId="0" borderId="1" xfId="0" applyFill="1" applyBorder="1"/>
    <xf numFmtId="42" fontId="0" fillId="0" borderId="1" xfId="0" applyNumberFormat="1" applyBorder="1"/>
    <xf numFmtId="42" fontId="0" fillId="0" borderId="0" xfId="0" applyNumberFormat="1"/>
    <xf numFmtId="0" fontId="2" fillId="0" borderId="1" xfId="0" applyFont="1" applyBorder="1" applyAlignment="1">
      <alignment horizontal="center"/>
    </xf>
    <xf numFmtId="42" fontId="2" fillId="0" borderId="1" xfId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2" xfId="0" applyBorder="1"/>
    <xf numFmtId="42" fontId="0" fillId="0" borderId="2" xfId="1" applyFont="1" applyBorder="1"/>
    <xf numFmtId="42" fontId="0" fillId="0" borderId="3" xfId="0" applyNumberFormat="1" applyBorder="1"/>
    <xf numFmtId="42" fontId="0" fillId="0" borderId="4" xfId="1" applyFont="1" applyBorder="1"/>
    <xf numFmtId="42" fontId="0" fillId="0" borderId="2" xfId="0" applyNumberFormat="1" applyBorder="1"/>
    <xf numFmtId="0" fontId="0" fillId="2" borderId="4" xfId="0" applyFill="1" applyBorder="1"/>
    <xf numFmtId="0" fontId="0" fillId="3" borderId="2" xfId="0" applyFill="1" applyBorder="1"/>
    <xf numFmtId="0" fontId="0" fillId="4" borderId="3" xfId="0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BE01-E42A-4208-90D7-47C4E370ED31}">
  <dimension ref="C3:P47"/>
  <sheetViews>
    <sheetView tabSelected="1" topLeftCell="C7" workbookViewId="0">
      <selection activeCell="Q11" sqref="Q11"/>
    </sheetView>
  </sheetViews>
  <sheetFormatPr baseColWidth="10" defaultRowHeight="15" x14ac:dyDescent="0.25"/>
  <cols>
    <col min="3" max="3" width="3" bestFit="1" customWidth="1"/>
    <col min="4" max="4" width="31" bestFit="1" customWidth="1"/>
    <col min="9" max="9" width="13.85546875" bestFit="1" customWidth="1"/>
    <col min="11" max="11" width="12" style="7" bestFit="1" customWidth="1"/>
    <col min="12" max="12" width="12" bestFit="1" customWidth="1"/>
    <col min="14" max="14" width="14.42578125" bestFit="1" customWidth="1"/>
    <col min="15" max="15" width="12" bestFit="1" customWidth="1"/>
    <col min="16" max="16" width="11.42578125" style="7"/>
  </cols>
  <sheetData>
    <row r="3" spans="3:16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10</v>
      </c>
      <c r="I3" s="1" t="s">
        <v>5</v>
      </c>
      <c r="J3" s="1" t="s">
        <v>6</v>
      </c>
      <c r="K3" s="6" t="s">
        <v>6</v>
      </c>
      <c r="L3" s="1" t="s">
        <v>7</v>
      </c>
      <c r="N3" s="13" t="s">
        <v>93</v>
      </c>
      <c r="O3" s="13"/>
    </row>
    <row r="4" spans="3:16" x14ac:dyDescent="0.25">
      <c r="C4" s="1">
        <v>1</v>
      </c>
      <c r="D4" s="1" t="s">
        <v>8</v>
      </c>
      <c r="E4" s="1" t="s">
        <v>9</v>
      </c>
      <c r="F4" s="1">
        <v>35504848</v>
      </c>
      <c r="G4" s="3" t="s">
        <v>13</v>
      </c>
      <c r="H4" s="1" t="s">
        <v>11</v>
      </c>
      <c r="I4" s="1" t="s">
        <v>21</v>
      </c>
      <c r="J4" s="1"/>
      <c r="K4" s="6">
        <v>158000</v>
      </c>
      <c r="L4" s="9">
        <f>K4-15000</f>
        <v>143000</v>
      </c>
      <c r="N4" s="1" t="s">
        <v>84</v>
      </c>
      <c r="O4" s="6">
        <v>1300000</v>
      </c>
    </row>
    <row r="5" spans="3:16" x14ac:dyDescent="0.25">
      <c r="C5" s="1">
        <v>2</v>
      </c>
      <c r="D5" s="1" t="s">
        <v>12</v>
      </c>
      <c r="E5" s="1" t="s">
        <v>9</v>
      </c>
      <c r="F5" s="1">
        <v>51147869</v>
      </c>
      <c r="G5" s="3" t="s">
        <v>13</v>
      </c>
      <c r="H5" s="1"/>
      <c r="I5" s="1" t="s">
        <v>21</v>
      </c>
      <c r="J5" s="1"/>
      <c r="K5" s="6">
        <v>158000</v>
      </c>
      <c r="L5" s="9">
        <f t="shared" ref="L5:L15" si="0">K5-15000</f>
        <v>143000</v>
      </c>
      <c r="N5" s="1" t="s">
        <v>94</v>
      </c>
      <c r="O5" s="6">
        <v>1967000</v>
      </c>
    </row>
    <row r="6" spans="3:16" x14ac:dyDescent="0.25">
      <c r="C6" s="1">
        <v>3</v>
      </c>
      <c r="D6" s="1" t="s">
        <v>62</v>
      </c>
      <c r="E6" s="1" t="s">
        <v>9</v>
      </c>
      <c r="F6" s="1">
        <v>21012620</v>
      </c>
      <c r="G6" s="3" t="s">
        <v>13</v>
      </c>
      <c r="H6" s="1" t="s">
        <v>14</v>
      </c>
      <c r="I6" s="1" t="s">
        <v>15</v>
      </c>
      <c r="J6" s="1">
        <v>60</v>
      </c>
      <c r="K6" s="6">
        <v>148000</v>
      </c>
      <c r="L6" s="9">
        <f t="shared" si="0"/>
        <v>133000</v>
      </c>
      <c r="N6" s="1" t="s">
        <v>85</v>
      </c>
      <c r="O6" s="6">
        <v>39000</v>
      </c>
    </row>
    <row r="7" spans="3:16" x14ac:dyDescent="0.25">
      <c r="C7" s="1">
        <v>4</v>
      </c>
      <c r="D7" s="1" t="s">
        <v>63</v>
      </c>
      <c r="E7" s="1" t="s">
        <v>9</v>
      </c>
      <c r="F7" s="1">
        <v>21015380</v>
      </c>
      <c r="G7" s="3" t="s">
        <v>13</v>
      </c>
      <c r="H7" s="1"/>
      <c r="I7" s="1" t="s">
        <v>15</v>
      </c>
      <c r="J7" s="1">
        <v>60</v>
      </c>
      <c r="K7" s="6">
        <v>148000</v>
      </c>
      <c r="L7" s="9">
        <f t="shared" si="0"/>
        <v>133000</v>
      </c>
      <c r="N7" s="1" t="s">
        <v>92</v>
      </c>
      <c r="O7" s="6">
        <v>140000</v>
      </c>
    </row>
    <row r="8" spans="3:16" ht="15.75" thickBot="1" x14ac:dyDescent="0.3">
      <c r="C8" s="1">
        <v>5</v>
      </c>
      <c r="D8" s="1" t="s">
        <v>64</v>
      </c>
      <c r="E8" s="1" t="s">
        <v>9</v>
      </c>
      <c r="F8" s="1">
        <v>21014236</v>
      </c>
      <c r="G8" s="3" t="s">
        <v>13</v>
      </c>
      <c r="H8" s="1" t="s">
        <v>65</v>
      </c>
      <c r="I8" s="1" t="s">
        <v>15</v>
      </c>
      <c r="J8" s="1">
        <v>67</v>
      </c>
      <c r="K8" s="6">
        <v>148000</v>
      </c>
      <c r="L8" s="9">
        <f t="shared" si="0"/>
        <v>133000</v>
      </c>
      <c r="N8" s="14" t="s">
        <v>97</v>
      </c>
      <c r="O8" s="15">
        <v>60000</v>
      </c>
    </row>
    <row r="9" spans="3:16" x14ac:dyDescent="0.25">
      <c r="C9" s="1">
        <v>6</v>
      </c>
      <c r="D9" s="1" t="s">
        <v>66</v>
      </c>
      <c r="E9" s="1" t="s">
        <v>9</v>
      </c>
      <c r="F9" s="1">
        <v>21056217</v>
      </c>
      <c r="G9" s="3" t="s">
        <v>13</v>
      </c>
      <c r="H9" s="1"/>
      <c r="I9" s="1" t="s">
        <v>15</v>
      </c>
      <c r="J9" s="1">
        <v>66</v>
      </c>
      <c r="K9" s="6">
        <v>148000</v>
      </c>
      <c r="L9" s="9">
        <f t="shared" si="0"/>
        <v>133000</v>
      </c>
      <c r="N9" s="19" t="s">
        <v>83</v>
      </c>
      <c r="O9" s="17">
        <f>SUM(O4:O8)</f>
        <v>3506000</v>
      </c>
    </row>
    <row r="10" spans="3:16" ht="15.75" thickBot="1" x14ac:dyDescent="0.3">
      <c r="C10" s="1">
        <v>7</v>
      </c>
      <c r="D10" s="1" t="s">
        <v>67</v>
      </c>
      <c r="E10" s="1" t="s">
        <v>9</v>
      </c>
      <c r="F10" s="1">
        <v>21012699</v>
      </c>
      <c r="G10" s="3" t="s">
        <v>13</v>
      </c>
      <c r="H10" s="1"/>
      <c r="I10" s="1" t="s">
        <v>15</v>
      </c>
      <c r="J10" s="1">
        <v>73</v>
      </c>
      <c r="K10" s="6">
        <v>148000</v>
      </c>
      <c r="L10" s="9">
        <f t="shared" si="0"/>
        <v>133000</v>
      </c>
      <c r="N10" s="20" t="s">
        <v>95</v>
      </c>
      <c r="O10" s="18">
        <f>L42</f>
        <v>4812000</v>
      </c>
    </row>
    <row r="11" spans="3:16" x14ac:dyDescent="0.25">
      <c r="C11" s="1">
        <v>8</v>
      </c>
      <c r="D11" s="1" t="s">
        <v>16</v>
      </c>
      <c r="E11" s="1" t="s">
        <v>9</v>
      </c>
      <c r="F11" s="1">
        <v>20871935</v>
      </c>
      <c r="G11" s="5" t="s">
        <v>20</v>
      </c>
      <c r="H11" s="1" t="s">
        <v>17</v>
      </c>
      <c r="I11" s="1" t="s">
        <v>21</v>
      </c>
      <c r="J11" s="1"/>
      <c r="K11" s="6">
        <v>158000</v>
      </c>
      <c r="L11" s="9">
        <f t="shared" si="0"/>
        <v>143000</v>
      </c>
      <c r="N11" s="21" t="s">
        <v>96</v>
      </c>
      <c r="O11" s="16">
        <f>O10-O9</f>
        <v>1306000</v>
      </c>
    </row>
    <row r="12" spans="3:16" x14ac:dyDescent="0.25">
      <c r="C12" s="1">
        <v>9</v>
      </c>
      <c r="D12" s="1" t="s">
        <v>18</v>
      </c>
      <c r="E12" s="1" t="s">
        <v>19</v>
      </c>
      <c r="F12" s="1">
        <v>1073629791</v>
      </c>
      <c r="G12" s="4" t="s">
        <v>23</v>
      </c>
      <c r="H12" s="1"/>
      <c r="I12" s="1" t="s">
        <v>21</v>
      </c>
      <c r="J12" s="1" t="s">
        <v>24</v>
      </c>
      <c r="K12" s="6">
        <v>158000</v>
      </c>
      <c r="L12" s="9">
        <f t="shared" si="0"/>
        <v>143000</v>
      </c>
    </row>
    <row r="13" spans="3:16" x14ac:dyDescent="0.25">
      <c r="C13" s="1">
        <v>10</v>
      </c>
      <c r="D13" s="1" t="s">
        <v>22</v>
      </c>
      <c r="E13" s="1" t="s">
        <v>19</v>
      </c>
      <c r="F13" s="1">
        <v>1073628658</v>
      </c>
      <c r="G13" s="4" t="s">
        <v>23</v>
      </c>
      <c r="H13" s="1"/>
      <c r="I13" s="1" t="s">
        <v>21</v>
      </c>
      <c r="J13" s="1" t="s">
        <v>25</v>
      </c>
      <c r="K13" s="6">
        <v>158000</v>
      </c>
      <c r="L13" s="9">
        <f t="shared" si="0"/>
        <v>143000</v>
      </c>
    </row>
    <row r="14" spans="3:16" x14ac:dyDescent="0.25">
      <c r="C14" s="1">
        <v>11</v>
      </c>
      <c r="D14" s="1" t="s">
        <v>26</v>
      </c>
      <c r="E14" s="1" t="s">
        <v>9</v>
      </c>
      <c r="F14" s="1">
        <v>1073628347</v>
      </c>
      <c r="G14" s="4" t="s">
        <v>23</v>
      </c>
      <c r="H14" s="1" t="s">
        <v>27</v>
      </c>
      <c r="I14" s="1" t="s">
        <v>21</v>
      </c>
      <c r="J14" s="1"/>
      <c r="K14" s="6">
        <v>158000</v>
      </c>
      <c r="L14" s="9">
        <f t="shared" si="0"/>
        <v>143000</v>
      </c>
    </row>
    <row r="15" spans="3:16" x14ac:dyDescent="0.25">
      <c r="C15" s="1">
        <v>12</v>
      </c>
      <c r="D15" s="1" t="s">
        <v>28</v>
      </c>
      <c r="E15" s="1" t="s">
        <v>9</v>
      </c>
      <c r="F15" s="1">
        <v>1004842463</v>
      </c>
      <c r="G15" s="5" t="s">
        <v>20</v>
      </c>
      <c r="H15" s="1"/>
      <c r="I15" s="1" t="s">
        <v>21</v>
      </c>
      <c r="J15" s="1"/>
      <c r="K15" s="6">
        <v>158000</v>
      </c>
      <c r="L15" s="9">
        <f t="shared" si="0"/>
        <v>143000</v>
      </c>
    </row>
    <row r="16" spans="3:16" x14ac:dyDescent="0.25">
      <c r="C16" s="2"/>
      <c r="D16" s="1" t="s">
        <v>29</v>
      </c>
      <c r="E16" s="1" t="s">
        <v>30</v>
      </c>
      <c r="F16" s="1">
        <v>1072200253</v>
      </c>
      <c r="G16" s="5" t="s">
        <v>20</v>
      </c>
      <c r="H16" s="1"/>
      <c r="I16" s="1"/>
      <c r="J16" s="1" t="s">
        <v>34</v>
      </c>
      <c r="K16" s="6">
        <v>25000</v>
      </c>
      <c r="L16" s="9">
        <f>K16</f>
        <v>25000</v>
      </c>
      <c r="N16" s="11" t="s">
        <v>5</v>
      </c>
      <c r="O16" s="11" t="s">
        <v>86</v>
      </c>
      <c r="P16" s="12" t="s">
        <v>87</v>
      </c>
    </row>
    <row r="17" spans="3:16" x14ac:dyDescent="0.25">
      <c r="C17" s="1">
        <v>13</v>
      </c>
      <c r="D17" s="1" t="s">
        <v>31</v>
      </c>
      <c r="E17" s="1" t="s">
        <v>9</v>
      </c>
      <c r="F17" s="1">
        <v>1073629709</v>
      </c>
      <c r="G17" s="5" t="s">
        <v>20</v>
      </c>
      <c r="H17" s="1"/>
      <c r="I17" s="1" t="s">
        <v>21</v>
      </c>
      <c r="J17" s="1"/>
      <c r="K17" s="6">
        <v>158000</v>
      </c>
      <c r="L17" s="9">
        <f>K17-15000</f>
        <v>143000</v>
      </c>
      <c r="N17" s="1" t="s">
        <v>88</v>
      </c>
      <c r="O17" s="1">
        <f>COUNTIF(I:I,"Mireya")</f>
        <v>5</v>
      </c>
      <c r="P17" s="6">
        <f>O17*15000</f>
        <v>75000</v>
      </c>
    </row>
    <row r="18" spans="3:16" x14ac:dyDescent="0.25">
      <c r="C18" s="1">
        <v>14</v>
      </c>
      <c r="D18" s="1" t="s">
        <v>32</v>
      </c>
      <c r="E18" s="1" t="s">
        <v>9</v>
      </c>
      <c r="F18" s="1">
        <v>51954742</v>
      </c>
      <c r="G18" s="5" t="s">
        <v>20</v>
      </c>
      <c r="H18" s="1" t="s">
        <v>38</v>
      </c>
      <c r="I18" s="1" t="s">
        <v>21</v>
      </c>
      <c r="J18" s="1"/>
      <c r="K18" s="6">
        <v>158000</v>
      </c>
      <c r="L18" s="9">
        <f>K18-15000</f>
        <v>143000</v>
      </c>
      <c r="N18" s="1" t="s">
        <v>21</v>
      </c>
      <c r="O18" s="1">
        <f>COUNTIF(I:I,"LAD")</f>
        <v>20</v>
      </c>
      <c r="P18" s="6">
        <f t="shared" ref="P18:P20" si="1">O18*15000</f>
        <v>300000</v>
      </c>
    </row>
    <row r="19" spans="3:16" x14ac:dyDescent="0.25">
      <c r="C19" s="2"/>
      <c r="D19" s="1" t="s">
        <v>33</v>
      </c>
      <c r="E19" s="1" t="s">
        <v>30</v>
      </c>
      <c r="F19" s="1">
        <v>1019165185</v>
      </c>
      <c r="G19" s="5" t="s">
        <v>20</v>
      </c>
      <c r="H19" s="1"/>
      <c r="I19" s="1"/>
      <c r="J19" s="1" t="s">
        <v>35</v>
      </c>
      <c r="K19" s="6">
        <v>25000</v>
      </c>
      <c r="L19" s="9">
        <f>K19</f>
        <v>25000</v>
      </c>
      <c r="N19" s="1" t="s">
        <v>89</v>
      </c>
      <c r="O19" s="1">
        <f>COUNTIF(I:I,"Edith")</f>
        <v>3</v>
      </c>
      <c r="P19" s="6">
        <f t="shared" si="1"/>
        <v>45000</v>
      </c>
    </row>
    <row r="20" spans="3:16" x14ac:dyDescent="0.25">
      <c r="C20" s="1">
        <v>15</v>
      </c>
      <c r="D20" s="1" t="s">
        <v>36</v>
      </c>
      <c r="E20" s="1" t="s">
        <v>9</v>
      </c>
      <c r="F20" s="1">
        <v>1073629344</v>
      </c>
      <c r="G20" s="5" t="s">
        <v>20</v>
      </c>
      <c r="H20" s="1" t="s">
        <v>39</v>
      </c>
      <c r="I20" s="1" t="s">
        <v>21</v>
      </c>
      <c r="J20" s="1"/>
      <c r="K20" s="6">
        <v>158000</v>
      </c>
      <c r="L20" s="9">
        <f>K20-15000</f>
        <v>143000</v>
      </c>
      <c r="N20" s="1" t="s">
        <v>90</v>
      </c>
      <c r="O20" s="1">
        <f>COUNTIF(I:I,"Isabel")</f>
        <v>6</v>
      </c>
      <c r="P20" s="6">
        <f t="shared" si="1"/>
        <v>90000</v>
      </c>
    </row>
    <row r="21" spans="3:16" x14ac:dyDescent="0.25">
      <c r="C21" s="1">
        <v>16</v>
      </c>
      <c r="D21" s="1" t="s">
        <v>37</v>
      </c>
      <c r="E21" s="1" t="s">
        <v>9</v>
      </c>
      <c r="F21" s="1">
        <v>1073629722</v>
      </c>
      <c r="G21" s="5" t="s">
        <v>20</v>
      </c>
      <c r="H21" s="1" t="s">
        <v>40</v>
      </c>
      <c r="I21" s="1" t="s">
        <v>21</v>
      </c>
      <c r="J21" s="1"/>
      <c r="K21" s="6">
        <v>158000</v>
      </c>
      <c r="L21" s="9">
        <f t="shared" ref="L21:L39" si="2">K21-15000</f>
        <v>143000</v>
      </c>
      <c r="N21" s="1" t="s">
        <v>83</v>
      </c>
      <c r="O21" s="1">
        <f>SUM(O17:O20)</f>
        <v>34</v>
      </c>
      <c r="P21" s="6">
        <f>SUM(P17:P20)</f>
        <v>510000</v>
      </c>
    </row>
    <row r="22" spans="3:16" x14ac:dyDescent="0.25">
      <c r="C22" s="1">
        <v>17</v>
      </c>
      <c r="D22" s="1" t="s">
        <v>41</v>
      </c>
      <c r="E22" s="1" t="s">
        <v>19</v>
      </c>
      <c r="F22" s="1">
        <v>1073629384</v>
      </c>
      <c r="G22" s="5" t="s">
        <v>20</v>
      </c>
      <c r="H22" s="1"/>
      <c r="I22" s="1" t="s">
        <v>21</v>
      </c>
      <c r="J22" s="1" t="s">
        <v>42</v>
      </c>
      <c r="K22" s="6">
        <v>158000</v>
      </c>
      <c r="L22" s="9">
        <f t="shared" si="2"/>
        <v>143000</v>
      </c>
    </row>
    <row r="23" spans="3:16" x14ac:dyDescent="0.25">
      <c r="C23" s="1">
        <v>18</v>
      </c>
      <c r="D23" s="1" t="s">
        <v>43</v>
      </c>
      <c r="E23" s="1" t="s">
        <v>19</v>
      </c>
      <c r="F23" s="1">
        <v>1073630192</v>
      </c>
      <c r="G23" s="5" t="s">
        <v>20</v>
      </c>
      <c r="H23" s="1"/>
      <c r="I23" s="1" t="s">
        <v>21</v>
      </c>
      <c r="J23" s="1" t="s">
        <v>72</v>
      </c>
      <c r="K23" s="6">
        <v>148000</v>
      </c>
      <c r="L23" s="9">
        <f t="shared" si="2"/>
        <v>133000</v>
      </c>
    </row>
    <row r="24" spans="3:16" x14ac:dyDescent="0.25">
      <c r="C24" s="1">
        <v>19</v>
      </c>
      <c r="D24" s="1" t="s">
        <v>44</v>
      </c>
      <c r="E24" s="1" t="s">
        <v>9</v>
      </c>
      <c r="F24" s="1">
        <v>80827464</v>
      </c>
      <c r="G24" s="5" t="s">
        <v>20</v>
      </c>
      <c r="H24" s="1" t="s">
        <v>45</v>
      </c>
      <c r="I24" s="1" t="s">
        <v>21</v>
      </c>
      <c r="J24" s="1"/>
      <c r="K24" s="6">
        <v>158000</v>
      </c>
      <c r="L24" s="9">
        <f t="shared" si="2"/>
        <v>143000</v>
      </c>
    </row>
    <row r="25" spans="3:16" x14ac:dyDescent="0.25">
      <c r="C25" s="1">
        <v>20</v>
      </c>
      <c r="D25" s="1" t="s">
        <v>46</v>
      </c>
      <c r="E25" s="1" t="s">
        <v>9</v>
      </c>
      <c r="F25" s="1">
        <v>52491347</v>
      </c>
      <c r="G25" s="5" t="s">
        <v>20</v>
      </c>
      <c r="H25" s="1" t="s">
        <v>47</v>
      </c>
      <c r="I25" s="1" t="s">
        <v>21</v>
      </c>
      <c r="J25" s="1"/>
      <c r="K25" s="6">
        <v>158000</v>
      </c>
      <c r="L25" s="9">
        <f t="shared" si="2"/>
        <v>143000</v>
      </c>
    </row>
    <row r="26" spans="3:16" x14ac:dyDescent="0.25">
      <c r="C26" s="1">
        <v>21</v>
      </c>
      <c r="D26" s="1" t="s">
        <v>48</v>
      </c>
      <c r="E26" s="1" t="s">
        <v>9</v>
      </c>
      <c r="F26" s="1">
        <v>1193136382</v>
      </c>
      <c r="G26" s="5" t="s">
        <v>20</v>
      </c>
      <c r="H26" s="1"/>
      <c r="I26" s="1" t="s">
        <v>21</v>
      </c>
      <c r="J26" s="1"/>
      <c r="K26" s="6">
        <v>158000</v>
      </c>
      <c r="L26" s="9">
        <f t="shared" si="2"/>
        <v>143000</v>
      </c>
    </row>
    <row r="27" spans="3:16" x14ac:dyDescent="0.25">
      <c r="C27" s="1">
        <v>22</v>
      </c>
      <c r="D27" s="1" t="s">
        <v>49</v>
      </c>
      <c r="E27" s="1" t="s">
        <v>9</v>
      </c>
      <c r="F27" s="1">
        <v>20358840</v>
      </c>
      <c r="G27" s="2" t="s">
        <v>50</v>
      </c>
      <c r="H27" s="1" t="s">
        <v>51</v>
      </c>
      <c r="I27" s="1" t="s">
        <v>21</v>
      </c>
      <c r="J27" s="1"/>
      <c r="K27" s="6">
        <v>158000</v>
      </c>
      <c r="L27" s="9">
        <f t="shared" si="2"/>
        <v>143000</v>
      </c>
    </row>
    <row r="28" spans="3:16" x14ac:dyDescent="0.25">
      <c r="C28" s="1">
        <v>23</v>
      </c>
      <c r="D28" s="1" t="s">
        <v>52</v>
      </c>
      <c r="E28" s="1" t="s">
        <v>9</v>
      </c>
      <c r="F28" s="1">
        <v>79355140</v>
      </c>
      <c r="G28" s="2" t="s">
        <v>50</v>
      </c>
      <c r="H28" s="1" t="s">
        <v>53</v>
      </c>
      <c r="I28" s="1" t="s">
        <v>21</v>
      </c>
      <c r="J28" s="1"/>
      <c r="K28" s="6">
        <v>158000</v>
      </c>
      <c r="L28" s="9">
        <f t="shared" si="2"/>
        <v>143000</v>
      </c>
      <c r="N28" s="10">
        <f>L42+P21</f>
        <v>5322000</v>
      </c>
    </row>
    <row r="29" spans="3:16" x14ac:dyDescent="0.25">
      <c r="C29" s="1">
        <v>24</v>
      </c>
      <c r="D29" s="1" t="s">
        <v>54</v>
      </c>
      <c r="E29" s="1" t="s">
        <v>9</v>
      </c>
      <c r="F29" s="1">
        <v>20358207</v>
      </c>
      <c r="G29" s="2" t="s">
        <v>50</v>
      </c>
      <c r="H29" s="1"/>
      <c r="I29" s="1" t="s">
        <v>21</v>
      </c>
      <c r="J29" s="1"/>
      <c r="K29" s="6">
        <v>158000</v>
      </c>
      <c r="L29" s="9">
        <f t="shared" si="2"/>
        <v>143000</v>
      </c>
    </row>
    <row r="30" spans="3:16" x14ac:dyDescent="0.25">
      <c r="C30" s="1">
        <v>25</v>
      </c>
      <c r="D30" s="1" t="s">
        <v>55</v>
      </c>
      <c r="E30" s="1" t="s">
        <v>9</v>
      </c>
      <c r="F30" s="1">
        <v>52167704</v>
      </c>
      <c r="G30" s="5" t="s">
        <v>20</v>
      </c>
      <c r="H30" s="1" t="s">
        <v>56</v>
      </c>
      <c r="I30" s="1" t="s">
        <v>57</v>
      </c>
      <c r="J30" s="1"/>
      <c r="K30" s="6">
        <v>158000</v>
      </c>
      <c r="L30" s="9">
        <f t="shared" si="2"/>
        <v>143000</v>
      </c>
    </row>
    <row r="31" spans="3:16" x14ac:dyDescent="0.25">
      <c r="C31" s="2"/>
      <c r="D31" s="1" t="s">
        <v>58</v>
      </c>
      <c r="E31" s="1" t="s">
        <v>30</v>
      </c>
      <c r="F31" s="1">
        <v>107243305</v>
      </c>
      <c r="G31" s="5" t="s">
        <v>20</v>
      </c>
      <c r="H31" s="1"/>
      <c r="I31" s="1" t="s">
        <v>57</v>
      </c>
      <c r="J31" s="1"/>
      <c r="K31" s="6">
        <v>158000</v>
      </c>
      <c r="L31" s="9">
        <f t="shared" si="2"/>
        <v>143000</v>
      </c>
    </row>
    <row r="32" spans="3:16" x14ac:dyDescent="0.25">
      <c r="C32" s="1">
        <v>26</v>
      </c>
      <c r="D32" s="1" t="s">
        <v>59</v>
      </c>
      <c r="E32" s="1" t="s">
        <v>9</v>
      </c>
      <c r="F32" s="1">
        <v>11450604</v>
      </c>
      <c r="G32" s="5" t="s">
        <v>20</v>
      </c>
      <c r="H32" s="1"/>
      <c r="I32" s="1" t="s">
        <v>57</v>
      </c>
      <c r="J32" s="1"/>
      <c r="K32" s="6">
        <v>158000</v>
      </c>
      <c r="L32" s="9">
        <f t="shared" si="2"/>
        <v>143000</v>
      </c>
    </row>
    <row r="33" spans="3:12" x14ac:dyDescent="0.25">
      <c r="C33" s="1">
        <v>27</v>
      </c>
      <c r="D33" s="1" t="s">
        <v>73</v>
      </c>
      <c r="E33" s="1" t="s">
        <v>9</v>
      </c>
      <c r="F33" s="1">
        <v>20357324</v>
      </c>
      <c r="G33" s="2" t="s">
        <v>50</v>
      </c>
      <c r="H33" s="1"/>
      <c r="I33" s="1" t="s">
        <v>75</v>
      </c>
      <c r="J33" s="1">
        <v>60</v>
      </c>
      <c r="K33" s="6">
        <v>148000</v>
      </c>
      <c r="L33" s="9">
        <f t="shared" si="2"/>
        <v>133000</v>
      </c>
    </row>
    <row r="34" spans="3:12" x14ac:dyDescent="0.25">
      <c r="C34" s="1">
        <v>28</v>
      </c>
      <c r="D34" s="1" t="s">
        <v>68</v>
      </c>
      <c r="E34" s="1" t="s">
        <v>19</v>
      </c>
      <c r="F34" s="1">
        <v>1072962695</v>
      </c>
      <c r="G34" s="2" t="s">
        <v>50</v>
      </c>
      <c r="H34" s="1"/>
      <c r="I34" s="1" t="s">
        <v>75</v>
      </c>
      <c r="J34" s="1" t="s">
        <v>72</v>
      </c>
      <c r="K34" s="6">
        <v>148000</v>
      </c>
      <c r="L34" s="9">
        <f t="shared" si="2"/>
        <v>133000</v>
      </c>
    </row>
    <row r="35" spans="3:12" x14ac:dyDescent="0.25">
      <c r="C35" s="1">
        <v>29</v>
      </c>
      <c r="D35" s="1" t="s">
        <v>69</v>
      </c>
      <c r="E35" s="1" t="s">
        <v>19</v>
      </c>
      <c r="F35" s="1">
        <v>1072693037</v>
      </c>
      <c r="G35" s="2" t="s">
        <v>50</v>
      </c>
      <c r="H35" s="1"/>
      <c r="I35" s="1" t="s">
        <v>75</v>
      </c>
      <c r="J35" s="1" t="s">
        <v>72</v>
      </c>
      <c r="K35" s="6">
        <v>148000</v>
      </c>
      <c r="L35" s="9">
        <f t="shared" si="2"/>
        <v>133000</v>
      </c>
    </row>
    <row r="36" spans="3:12" x14ac:dyDescent="0.25">
      <c r="C36" s="1">
        <v>30</v>
      </c>
      <c r="D36" s="1" t="s">
        <v>70</v>
      </c>
      <c r="E36" s="1" t="s">
        <v>9</v>
      </c>
      <c r="F36" s="1">
        <v>80398474</v>
      </c>
      <c r="G36" s="2" t="s">
        <v>50</v>
      </c>
      <c r="H36" s="1"/>
      <c r="I36" s="1" t="s">
        <v>75</v>
      </c>
      <c r="J36" s="1"/>
      <c r="K36" s="6">
        <v>158000</v>
      </c>
      <c r="L36" s="9">
        <f t="shared" si="2"/>
        <v>143000</v>
      </c>
    </row>
    <row r="37" spans="3:12" x14ac:dyDescent="0.25">
      <c r="C37" s="1">
        <v>31</v>
      </c>
      <c r="D37" s="1" t="s">
        <v>74</v>
      </c>
      <c r="E37" s="1" t="s">
        <v>9</v>
      </c>
      <c r="F37" s="1">
        <v>35374645</v>
      </c>
      <c r="G37" s="2" t="s">
        <v>50</v>
      </c>
      <c r="H37" s="1"/>
      <c r="I37" s="1" t="s">
        <v>75</v>
      </c>
      <c r="J37" s="1">
        <v>62</v>
      </c>
      <c r="K37" s="6">
        <v>148000</v>
      </c>
      <c r="L37" s="9">
        <f t="shared" si="2"/>
        <v>133000</v>
      </c>
    </row>
    <row r="38" spans="3:12" x14ac:dyDescent="0.25">
      <c r="C38" s="1">
        <v>32</v>
      </c>
      <c r="D38" s="1" t="s">
        <v>71</v>
      </c>
      <c r="E38" s="1" t="s">
        <v>9</v>
      </c>
      <c r="F38" s="1">
        <v>1072691283</v>
      </c>
      <c r="G38" s="2" t="s">
        <v>50</v>
      </c>
      <c r="H38" s="1"/>
      <c r="I38" s="1" t="s">
        <v>75</v>
      </c>
      <c r="J38" s="1"/>
      <c r="K38" s="6">
        <v>158000</v>
      </c>
      <c r="L38" s="9">
        <f t="shared" si="2"/>
        <v>143000</v>
      </c>
    </row>
    <row r="39" spans="3:12" x14ac:dyDescent="0.25">
      <c r="C39" s="1">
        <v>33</v>
      </c>
      <c r="D39" s="1" t="s">
        <v>60</v>
      </c>
      <c r="E39" s="1" t="s">
        <v>9</v>
      </c>
      <c r="F39" s="1">
        <v>1073628404</v>
      </c>
      <c r="G39" s="4" t="s">
        <v>23</v>
      </c>
      <c r="H39" s="1" t="s">
        <v>61</v>
      </c>
      <c r="I39" s="1" t="s">
        <v>21</v>
      </c>
      <c r="J39" s="1"/>
      <c r="K39" s="6">
        <v>158000</v>
      </c>
      <c r="L39" s="9">
        <f t="shared" si="2"/>
        <v>143000</v>
      </c>
    </row>
    <row r="40" spans="3:12" x14ac:dyDescent="0.25">
      <c r="C40" s="1">
        <v>34</v>
      </c>
      <c r="D40" s="1" t="s">
        <v>76</v>
      </c>
      <c r="E40" s="1" t="s">
        <v>9</v>
      </c>
      <c r="F40" s="1">
        <v>79538678</v>
      </c>
      <c r="G40" s="5" t="s">
        <v>20</v>
      </c>
      <c r="H40" s="1"/>
      <c r="I40" s="1" t="s">
        <v>77</v>
      </c>
      <c r="J40" s="1"/>
      <c r="K40" s="6">
        <v>0</v>
      </c>
      <c r="L40" s="1">
        <v>0</v>
      </c>
    </row>
    <row r="41" spans="3:12" x14ac:dyDescent="0.25">
      <c r="C41" s="1"/>
      <c r="D41" s="8" t="s">
        <v>91</v>
      </c>
      <c r="E41" s="1"/>
      <c r="F41" s="1"/>
      <c r="G41" s="1"/>
      <c r="H41" s="1"/>
      <c r="I41" s="8" t="s">
        <v>77</v>
      </c>
      <c r="J41" s="1"/>
      <c r="K41" s="6">
        <v>0</v>
      </c>
      <c r="L41" s="1">
        <v>0</v>
      </c>
    </row>
    <row r="42" spans="3:12" x14ac:dyDescent="0.25">
      <c r="K42" s="7">
        <f>SUM(K4:K41)</f>
        <v>5322000</v>
      </c>
      <c r="L42" s="10">
        <f>SUM(L4:L41)</f>
        <v>4812000</v>
      </c>
    </row>
    <row r="43" spans="3:12" x14ac:dyDescent="0.25">
      <c r="H43" s="2" t="s">
        <v>79</v>
      </c>
      <c r="I43" s="1">
        <f>COUNTIF(G:G,"APULO")</f>
        <v>17</v>
      </c>
    </row>
    <row r="44" spans="3:12" x14ac:dyDescent="0.25">
      <c r="H44" s="5" t="s">
        <v>80</v>
      </c>
      <c r="I44" s="1">
        <f>COUNTIF(G:G,"ANAPOIMA")</f>
        <v>9</v>
      </c>
    </row>
    <row r="45" spans="3:12" x14ac:dyDescent="0.25">
      <c r="H45" s="3" t="s">
        <v>81</v>
      </c>
      <c r="I45" s="1">
        <f>COUNTIF(G:G,"TOCAIMA")</f>
        <v>7</v>
      </c>
    </row>
    <row r="46" spans="3:12" x14ac:dyDescent="0.25">
      <c r="H46" s="4" t="s">
        <v>82</v>
      </c>
      <c r="I46" s="1">
        <f>COUNTIF(G:G,"MESETA")</f>
        <v>4</v>
      </c>
    </row>
    <row r="47" spans="3:12" x14ac:dyDescent="0.25">
      <c r="H47" s="1" t="s">
        <v>83</v>
      </c>
      <c r="I47" s="1">
        <f>SUM(I43:I46)</f>
        <v>37</v>
      </c>
    </row>
  </sheetData>
  <mergeCells count="1">
    <mergeCell ref="N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7674-821F-4197-AECE-1E1AC09A596D}">
  <dimension ref="B3:E40"/>
  <sheetViews>
    <sheetView topLeftCell="A22" workbookViewId="0">
      <selection activeCell="B3" sqref="B3:E42"/>
    </sheetView>
  </sheetViews>
  <sheetFormatPr baseColWidth="10" defaultRowHeight="15" x14ac:dyDescent="0.25"/>
  <cols>
    <col min="2" max="2" width="3" bestFit="1" customWidth="1"/>
    <col min="3" max="3" width="31" bestFit="1" customWidth="1"/>
  </cols>
  <sheetData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5">
      <c r="B4" s="1">
        <v>1</v>
      </c>
      <c r="C4" s="1" t="s">
        <v>8</v>
      </c>
      <c r="D4" s="1" t="s">
        <v>9</v>
      </c>
      <c r="E4" s="1">
        <v>35504848</v>
      </c>
    </row>
    <row r="5" spans="2:5" x14ac:dyDescent="0.25">
      <c r="B5" s="1">
        <v>2</v>
      </c>
      <c r="C5" s="1" t="s">
        <v>12</v>
      </c>
      <c r="D5" s="1" t="s">
        <v>9</v>
      </c>
      <c r="E5" s="1">
        <v>51147869</v>
      </c>
    </row>
    <row r="6" spans="2:5" x14ac:dyDescent="0.25">
      <c r="B6" s="1">
        <v>3</v>
      </c>
      <c r="C6" s="1" t="s">
        <v>62</v>
      </c>
      <c r="D6" s="1" t="s">
        <v>9</v>
      </c>
      <c r="E6" s="1">
        <v>21012620</v>
      </c>
    </row>
    <row r="7" spans="2:5" x14ac:dyDescent="0.25">
      <c r="B7" s="1">
        <v>4</v>
      </c>
      <c r="C7" s="1" t="s">
        <v>63</v>
      </c>
      <c r="D7" s="1" t="s">
        <v>9</v>
      </c>
      <c r="E7" s="1">
        <v>21015380</v>
      </c>
    </row>
    <row r="8" spans="2:5" x14ac:dyDescent="0.25">
      <c r="B8" s="1">
        <v>5</v>
      </c>
      <c r="C8" s="1" t="s">
        <v>64</v>
      </c>
      <c r="D8" s="1" t="s">
        <v>9</v>
      </c>
      <c r="E8" s="1">
        <v>21014236</v>
      </c>
    </row>
    <row r="9" spans="2:5" x14ac:dyDescent="0.25">
      <c r="B9" s="1">
        <v>6</v>
      </c>
      <c r="C9" s="1" t="s">
        <v>66</v>
      </c>
      <c r="D9" s="1" t="s">
        <v>9</v>
      </c>
      <c r="E9" s="1">
        <v>21056217</v>
      </c>
    </row>
    <row r="10" spans="2:5" x14ac:dyDescent="0.25">
      <c r="B10" s="1">
        <v>7</v>
      </c>
      <c r="C10" s="1" t="s">
        <v>67</v>
      </c>
      <c r="D10" s="1" t="s">
        <v>9</v>
      </c>
      <c r="E10" s="1">
        <v>21012699</v>
      </c>
    </row>
    <row r="11" spans="2:5" x14ac:dyDescent="0.25">
      <c r="B11" s="1">
        <v>8</v>
      </c>
      <c r="C11" s="1" t="s">
        <v>16</v>
      </c>
      <c r="D11" s="1" t="s">
        <v>9</v>
      </c>
      <c r="E11" s="1">
        <v>20871935</v>
      </c>
    </row>
    <row r="12" spans="2:5" x14ac:dyDescent="0.25">
      <c r="B12" s="1">
        <v>9</v>
      </c>
      <c r="C12" s="1" t="s">
        <v>18</v>
      </c>
      <c r="D12" s="1" t="s">
        <v>19</v>
      </c>
      <c r="E12" s="1">
        <v>1073629791</v>
      </c>
    </row>
    <row r="13" spans="2:5" x14ac:dyDescent="0.25">
      <c r="B13" s="1">
        <v>10</v>
      </c>
      <c r="C13" s="1" t="s">
        <v>22</v>
      </c>
      <c r="D13" s="1" t="s">
        <v>19</v>
      </c>
      <c r="E13" s="1">
        <v>1073628658</v>
      </c>
    </row>
    <row r="14" spans="2:5" x14ac:dyDescent="0.25">
      <c r="B14" s="1">
        <v>11</v>
      </c>
      <c r="C14" s="1" t="s">
        <v>26</v>
      </c>
      <c r="D14" s="1" t="s">
        <v>9</v>
      </c>
      <c r="E14" s="1">
        <v>1073628347</v>
      </c>
    </row>
    <row r="15" spans="2:5" x14ac:dyDescent="0.25">
      <c r="B15" s="1">
        <v>12</v>
      </c>
      <c r="C15" s="1" t="s">
        <v>28</v>
      </c>
      <c r="D15" s="1" t="s">
        <v>9</v>
      </c>
      <c r="E15" s="1">
        <v>1004842463</v>
      </c>
    </row>
    <row r="16" spans="2:5" x14ac:dyDescent="0.25">
      <c r="B16" s="1">
        <v>13</v>
      </c>
      <c r="C16" s="1" t="s">
        <v>29</v>
      </c>
      <c r="D16" s="1" t="s">
        <v>30</v>
      </c>
      <c r="E16" s="1">
        <v>1072200253</v>
      </c>
    </row>
    <row r="17" spans="2:5" x14ac:dyDescent="0.25">
      <c r="B17" s="1">
        <v>14</v>
      </c>
      <c r="C17" s="1" t="s">
        <v>31</v>
      </c>
      <c r="D17" s="1" t="s">
        <v>9</v>
      </c>
      <c r="E17" s="1">
        <v>1073629709</v>
      </c>
    </row>
    <row r="18" spans="2:5" x14ac:dyDescent="0.25">
      <c r="B18" s="1">
        <v>15</v>
      </c>
      <c r="C18" s="1" t="s">
        <v>32</v>
      </c>
      <c r="D18" s="1" t="s">
        <v>9</v>
      </c>
      <c r="E18" s="1">
        <v>51954742</v>
      </c>
    </row>
    <row r="19" spans="2:5" x14ac:dyDescent="0.25">
      <c r="B19" s="1">
        <v>16</v>
      </c>
      <c r="C19" s="1" t="s">
        <v>33</v>
      </c>
      <c r="D19" s="1" t="s">
        <v>30</v>
      </c>
      <c r="E19" s="1">
        <v>1019165185</v>
      </c>
    </row>
    <row r="20" spans="2:5" x14ac:dyDescent="0.25">
      <c r="B20" s="1">
        <v>17</v>
      </c>
      <c r="C20" s="1" t="s">
        <v>36</v>
      </c>
      <c r="D20" s="1" t="s">
        <v>9</v>
      </c>
      <c r="E20" s="1">
        <v>1073629344</v>
      </c>
    </row>
    <row r="21" spans="2:5" x14ac:dyDescent="0.25">
      <c r="B21" s="1">
        <v>18</v>
      </c>
      <c r="C21" s="1" t="s">
        <v>37</v>
      </c>
      <c r="D21" s="1" t="s">
        <v>9</v>
      </c>
      <c r="E21" s="1">
        <v>1073629722</v>
      </c>
    </row>
    <row r="22" spans="2:5" x14ac:dyDescent="0.25">
      <c r="B22" s="1">
        <v>19</v>
      </c>
      <c r="C22" s="1" t="s">
        <v>41</v>
      </c>
      <c r="D22" s="1" t="s">
        <v>19</v>
      </c>
      <c r="E22" s="1">
        <v>1073629384</v>
      </c>
    </row>
    <row r="23" spans="2:5" x14ac:dyDescent="0.25">
      <c r="B23" s="1">
        <v>20</v>
      </c>
      <c r="C23" s="1" t="s">
        <v>43</v>
      </c>
      <c r="D23" s="1" t="s">
        <v>19</v>
      </c>
      <c r="E23" s="1">
        <v>1073630192</v>
      </c>
    </row>
    <row r="24" spans="2:5" x14ac:dyDescent="0.25">
      <c r="B24" s="1">
        <v>21</v>
      </c>
      <c r="C24" s="1" t="s">
        <v>44</v>
      </c>
      <c r="D24" s="1" t="s">
        <v>9</v>
      </c>
      <c r="E24" s="1">
        <v>80827464</v>
      </c>
    </row>
    <row r="25" spans="2:5" x14ac:dyDescent="0.25">
      <c r="B25" s="1">
        <v>22</v>
      </c>
      <c r="C25" s="1" t="s">
        <v>46</v>
      </c>
      <c r="D25" s="1" t="s">
        <v>9</v>
      </c>
      <c r="E25" s="1">
        <v>52491347</v>
      </c>
    </row>
    <row r="26" spans="2:5" x14ac:dyDescent="0.25">
      <c r="B26" s="1">
        <v>23</v>
      </c>
      <c r="C26" s="1" t="s">
        <v>48</v>
      </c>
      <c r="D26" s="1" t="s">
        <v>9</v>
      </c>
      <c r="E26" s="1">
        <v>1193136382</v>
      </c>
    </row>
    <row r="27" spans="2:5" x14ac:dyDescent="0.25">
      <c r="B27" s="1">
        <v>24</v>
      </c>
      <c r="C27" s="1" t="s">
        <v>49</v>
      </c>
      <c r="D27" s="1" t="s">
        <v>9</v>
      </c>
      <c r="E27" s="1">
        <v>20358840</v>
      </c>
    </row>
    <row r="28" spans="2:5" x14ac:dyDescent="0.25">
      <c r="B28" s="1">
        <v>25</v>
      </c>
      <c r="C28" s="1" t="s">
        <v>52</v>
      </c>
      <c r="D28" s="1" t="s">
        <v>9</v>
      </c>
      <c r="E28" s="1">
        <v>79355140</v>
      </c>
    </row>
    <row r="29" spans="2:5" x14ac:dyDescent="0.25">
      <c r="B29" s="1">
        <v>26</v>
      </c>
      <c r="C29" s="1" t="s">
        <v>54</v>
      </c>
      <c r="D29" s="1" t="s">
        <v>9</v>
      </c>
      <c r="E29" s="1">
        <v>20358207</v>
      </c>
    </row>
    <row r="30" spans="2:5" x14ac:dyDescent="0.25">
      <c r="B30" s="1">
        <v>27</v>
      </c>
      <c r="C30" s="1" t="s">
        <v>55</v>
      </c>
      <c r="D30" s="1" t="s">
        <v>9</v>
      </c>
      <c r="E30" s="1">
        <v>52167704</v>
      </c>
    </row>
    <row r="31" spans="2:5" x14ac:dyDescent="0.25">
      <c r="B31" s="1">
        <v>28</v>
      </c>
      <c r="C31" s="1" t="s">
        <v>58</v>
      </c>
      <c r="D31" s="1" t="s">
        <v>30</v>
      </c>
      <c r="E31" s="1">
        <v>107243305</v>
      </c>
    </row>
    <row r="32" spans="2:5" x14ac:dyDescent="0.25">
      <c r="B32" s="1">
        <v>29</v>
      </c>
      <c r="C32" s="1" t="s">
        <v>59</v>
      </c>
      <c r="D32" s="1" t="s">
        <v>9</v>
      </c>
      <c r="E32" s="1">
        <v>11450604</v>
      </c>
    </row>
    <row r="33" spans="2:5" x14ac:dyDescent="0.25">
      <c r="B33" s="1">
        <v>30</v>
      </c>
      <c r="C33" s="1" t="s">
        <v>73</v>
      </c>
      <c r="D33" s="1" t="s">
        <v>9</v>
      </c>
      <c r="E33" s="1">
        <v>20357324</v>
      </c>
    </row>
    <row r="34" spans="2:5" x14ac:dyDescent="0.25">
      <c r="B34" s="1">
        <v>31</v>
      </c>
      <c r="C34" s="1" t="s">
        <v>68</v>
      </c>
      <c r="D34" s="1" t="s">
        <v>19</v>
      </c>
      <c r="E34" s="1">
        <v>1072962695</v>
      </c>
    </row>
    <row r="35" spans="2:5" x14ac:dyDescent="0.25">
      <c r="B35" s="1">
        <v>32</v>
      </c>
      <c r="C35" s="1" t="s">
        <v>69</v>
      </c>
      <c r="D35" s="1" t="s">
        <v>19</v>
      </c>
      <c r="E35" s="1">
        <v>1072693037</v>
      </c>
    </row>
    <row r="36" spans="2:5" x14ac:dyDescent="0.25">
      <c r="B36" s="1">
        <v>33</v>
      </c>
      <c r="C36" s="1" t="s">
        <v>70</v>
      </c>
      <c r="D36" s="1" t="s">
        <v>9</v>
      </c>
      <c r="E36" s="1">
        <v>80398474</v>
      </c>
    </row>
    <row r="37" spans="2:5" x14ac:dyDescent="0.25">
      <c r="B37" s="1">
        <v>34</v>
      </c>
      <c r="C37" s="1" t="s">
        <v>74</v>
      </c>
      <c r="D37" s="1" t="s">
        <v>9</v>
      </c>
      <c r="E37" s="1">
        <v>35374645</v>
      </c>
    </row>
    <row r="38" spans="2:5" x14ac:dyDescent="0.25">
      <c r="B38" s="1">
        <v>35</v>
      </c>
      <c r="C38" s="1" t="s">
        <v>71</v>
      </c>
      <c r="D38" s="1" t="s">
        <v>9</v>
      </c>
      <c r="E38" s="1">
        <v>1072691283</v>
      </c>
    </row>
    <row r="39" spans="2:5" x14ac:dyDescent="0.25">
      <c r="B39" s="1">
        <v>36</v>
      </c>
      <c r="C39" s="1" t="s">
        <v>60</v>
      </c>
      <c r="D39" s="1" t="s">
        <v>9</v>
      </c>
      <c r="E39" s="1">
        <v>1073628404</v>
      </c>
    </row>
    <row r="40" spans="2:5" x14ac:dyDescent="0.25">
      <c r="B40" s="1">
        <v>37</v>
      </c>
      <c r="C40" s="1" t="s">
        <v>76</v>
      </c>
      <c r="D40" s="1" t="s">
        <v>9</v>
      </c>
      <c r="E40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2025-02-28T13:15:01Z</dcterms:created>
  <dcterms:modified xsi:type="dcterms:W3CDTF">2025-04-03T21:49:03Z</dcterms:modified>
</cp:coreProperties>
</file>