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ela\Documents\Turismo Guacana\EJE CAFETERO\"/>
    </mc:Choice>
  </mc:AlternateContent>
  <xr:revisionPtr revIDLastSave="0" documentId="13_ncr:1_{319C0928-1F33-4845-97FD-DB1ED1E3F87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3" sheetId="4" r:id="rId1"/>
    <sheet name="DOCUMEN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3" l="1"/>
  <c r="K17" i="3" s="1"/>
  <c r="K18" i="3" s="1"/>
  <c r="L17" i="3"/>
  <c r="C49" i="4" l="1"/>
</calcChain>
</file>

<file path=xl/sharedStrings.xml><?xml version="1.0" encoding="utf-8"?>
<sst xmlns="http://schemas.openxmlformats.org/spreadsheetml/2006/main" count="170" uniqueCount="97">
  <si>
    <t>GLADYS BARRAGAN</t>
  </si>
  <si>
    <t>EDWIN NIÑO</t>
  </si>
  <si>
    <t>SOFIA NIÑO</t>
  </si>
  <si>
    <t>NUBIA BARRAGAN</t>
  </si>
  <si>
    <t>VIRGINIA ROMERO</t>
  </si>
  <si>
    <t>LUIS ALFONSO PINZON</t>
  </si>
  <si>
    <t>DORIS ROMERO</t>
  </si>
  <si>
    <t>HUGO ROMERO</t>
  </si>
  <si>
    <t>MARIA ANTONIA GOMEZ</t>
  </si>
  <si>
    <t>ANGELA CHAPARRO</t>
  </si>
  <si>
    <t>C.C. 20.687.133</t>
  </si>
  <si>
    <t>C.C. 1.073.519.855</t>
  </si>
  <si>
    <t>R.C.1.072.432.754</t>
  </si>
  <si>
    <t>LINA PAOLA MOLINA LOPEZ</t>
  </si>
  <si>
    <t>C.C. 1.073.629.063</t>
  </si>
  <si>
    <t>JUAN DAVID SALCEDO CARRANZA</t>
  </si>
  <si>
    <t>C.C. 1.073.628.415</t>
  </si>
  <si>
    <t xml:space="preserve">ERICK JULIAN SALCEDO MOLINA </t>
  </si>
  <si>
    <t>T.I. 1.073.629.570</t>
  </si>
  <si>
    <t>JUAN  SNEIDER SALCEDO MOLINA</t>
  </si>
  <si>
    <t>T.I. 1.073.629.355</t>
  </si>
  <si>
    <t>OLGA AVILA</t>
  </si>
  <si>
    <t>FERNANDO GOMEZ</t>
  </si>
  <si>
    <t>ADRIANA MORENO</t>
  </si>
  <si>
    <t>CARMEN  MARTINEZ</t>
  </si>
  <si>
    <t>C.C. 20.357.960</t>
  </si>
  <si>
    <t>NANCY CARRANZA CELYS</t>
  </si>
  <si>
    <t>C.C. 20.871.585</t>
  </si>
  <si>
    <t>LUCENA LOPEZ SANTOYA</t>
  </si>
  <si>
    <t>C.C. 20.871.456</t>
  </si>
  <si>
    <t>DUBAN DE MORENO</t>
  </si>
  <si>
    <t>MARIA CAMILA PINZON</t>
  </si>
  <si>
    <t>SANDRA ROMERO</t>
  </si>
  <si>
    <t>KADIR PEDREROS</t>
  </si>
  <si>
    <t>ANTONIA PEDREROS</t>
  </si>
  <si>
    <t>MAURICIO CASAS</t>
  </si>
  <si>
    <t>YULI LOPERA</t>
  </si>
  <si>
    <t>ACOMODACIÓN</t>
  </si>
  <si>
    <t xml:space="preserve">UNA CAMA DOBLE </t>
  </si>
  <si>
    <t>DOS CAMAS SENCILLAS</t>
  </si>
  <si>
    <t>UNA CAMA DOBLE + UNA SENCILLA</t>
  </si>
  <si>
    <t>UNA CAMA DOBLE</t>
  </si>
  <si>
    <t>UNA CAMA DOBLE  + 1 CAMA SENCILLA</t>
  </si>
  <si>
    <t>UNA DOBLE</t>
  </si>
  <si>
    <t>UNA DE 4 CAMAS SENCILLAS</t>
  </si>
  <si>
    <t xml:space="preserve">ROSA </t>
  </si>
  <si>
    <t>1 DE DOS CAMAS SENCILLAS</t>
  </si>
  <si>
    <t>UNA CAMA DOBLE  + 2 CAMAS SENCILLA</t>
  </si>
  <si>
    <t>AMIGOS OLGA</t>
  </si>
  <si>
    <t>PAULA ANDRADE</t>
  </si>
  <si>
    <t xml:space="preserve">UNA CAMA DOBLE  </t>
  </si>
  <si>
    <t xml:space="preserve">UNA CAMA DOBLE+1 SENCILLA </t>
  </si>
  <si>
    <t>NOMBRES</t>
  </si>
  <si>
    <t>CAMAS DOBLES</t>
  </si>
  <si>
    <t>CAMA DOBLE + 1 SENCILLA</t>
  </si>
  <si>
    <t>CAMAS SENCILLAS 4 PAX</t>
  </si>
  <si>
    <t>2 CAMAS SENCILLAS</t>
  </si>
  <si>
    <t>CAMA DOBLE CON 2 SENCILLAS</t>
  </si>
  <si>
    <t>MARIA TERESA RIOS</t>
  </si>
  <si>
    <t>CARMEN MARTINEZ</t>
  </si>
  <si>
    <t>NATALIA RODRIGUEZ</t>
  </si>
  <si>
    <t>LUIS ALEJANDRO GONZALEZ</t>
  </si>
  <si>
    <t>ALEXANDER GONZALEZ</t>
  </si>
  <si>
    <t>1.015.993.111</t>
  </si>
  <si>
    <t>SANDRA MILENA MORENO SUAEZ</t>
  </si>
  <si>
    <t>JELEN YULIED DIAZ PARRA</t>
  </si>
  <si>
    <t>ROSA ELENA RIAÑO BARRAGAN</t>
  </si>
  <si>
    <t>ANGEL SAMIR CASAS RIAÑO</t>
  </si>
  <si>
    <t>NUBIA TORRES</t>
  </si>
  <si>
    <t>DUBAN BUITRAGO</t>
  </si>
  <si>
    <t>TOTAL</t>
  </si>
  <si>
    <t>CELULAR</t>
  </si>
  <si>
    <t>N°</t>
  </si>
  <si>
    <t># DE DOCUMENTO</t>
  </si>
  <si>
    <t>TIPO DE DOCUMENTO</t>
  </si>
  <si>
    <t>C.C</t>
  </si>
  <si>
    <t>R.C</t>
  </si>
  <si>
    <t>T.I</t>
  </si>
  <si>
    <t>LUIS DUARTE</t>
  </si>
  <si>
    <t>SEGURO</t>
  </si>
  <si>
    <t>INGRESO AL PARQUE</t>
  </si>
  <si>
    <t>TERMALES</t>
  </si>
  <si>
    <t>TRANSPORTE</t>
  </si>
  <si>
    <t>COSTOS Y GASTOS EJE CAFETERO</t>
  </si>
  <si>
    <t>ALMUERZO 1MER DÍA</t>
  </si>
  <si>
    <t>ALMUERZO 2DO DÍA</t>
  </si>
  <si>
    <t>1 CENA</t>
  </si>
  <si>
    <t>HOSPEDAJE+ DESAYUNO</t>
  </si>
  <si>
    <t>GASTOS DE REPRESENTACIÓN</t>
  </si>
  <si>
    <t>OBJETO</t>
  </si>
  <si>
    <t>PAGO LA EMPRESA</t>
  </si>
  <si>
    <t>INGRESO</t>
  </si>
  <si>
    <t>UTILIDAD</t>
  </si>
  <si>
    <t>GUIA TURÍSTICO</t>
  </si>
  <si>
    <t>TOTAL UTILIDAD</t>
  </si>
  <si>
    <t>PAGO EL CLIENTE</t>
  </si>
  <si>
    <t>utilidad transp.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</si>
</sst>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1" xfId="0" applyFill="1" applyBorder="1"/>
    <xf numFmtId="0" fontId="2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9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2" fillId="4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0" borderId="3" xfId="0" applyBorder="1"/>
    <xf numFmtId="0" fontId="0" fillId="5" borderId="6" xfId="0" applyFill="1" applyBorder="1"/>
    <xf numFmtId="0" fontId="0" fillId="5" borderId="9" xfId="0" applyFill="1" applyBorder="1"/>
    <xf numFmtId="0" fontId="1" fillId="2" borderId="6" xfId="0" applyFon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8" borderId="1" xfId="0" applyFill="1" applyBorder="1"/>
    <xf numFmtId="0" fontId="0" fillId="3" borderId="9" xfId="0" applyFill="1" applyBorder="1"/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9" borderId="6" xfId="0" applyFill="1" applyBorder="1"/>
    <xf numFmtId="0" fontId="0" fillId="9" borderId="9" xfId="0" applyFill="1" applyBorder="1"/>
    <xf numFmtId="0" fontId="0" fillId="8" borderId="6" xfId="0" applyFill="1" applyBorder="1"/>
    <xf numFmtId="0" fontId="0" fillId="8" borderId="9" xfId="0" applyFill="1" applyBorder="1"/>
    <xf numFmtId="0" fontId="0" fillId="7" borderId="6" xfId="0" applyFill="1" applyBorder="1"/>
    <xf numFmtId="0" fontId="0" fillId="7" borderId="9" xfId="0" applyFill="1" applyBorder="1"/>
    <xf numFmtId="0" fontId="0" fillId="0" borderId="1" xfId="0" applyBorder="1" applyAlignment="1">
      <alignment horizontal="center"/>
    </xf>
    <xf numFmtId="0" fontId="0" fillId="3" borderId="16" xfId="0" applyFill="1" applyBorder="1"/>
    <xf numFmtId="0" fontId="1" fillId="8" borderId="17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0" fillId="3" borderId="19" xfId="0" applyFill="1" applyBorder="1"/>
    <xf numFmtId="0" fontId="0" fillId="3" borderId="0" xfId="0" applyFill="1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44" fontId="0" fillId="0" borderId="1" xfId="1" applyFont="1" applyBorder="1"/>
    <xf numFmtId="44" fontId="0" fillId="10" borderId="1" xfId="1" applyFont="1" applyFill="1" applyBorder="1"/>
    <xf numFmtId="0" fontId="0" fillId="10" borderId="1" xfId="0" applyFill="1" applyBorder="1"/>
    <xf numFmtId="44" fontId="0" fillId="0" borderId="3" xfId="1" applyFont="1" applyBorder="1"/>
    <xf numFmtId="44" fontId="0" fillId="10" borderId="3" xfId="1" applyFont="1" applyFill="1" applyBorder="1"/>
    <xf numFmtId="0" fontId="0" fillId="10" borderId="3" xfId="0" applyFill="1" applyBorder="1"/>
    <xf numFmtId="0" fontId="0" fillId="10" borderId="9" xfId="0" applyFill="1" applyBorder="1"/>
    <xf numFmtId="44" fontId="0" fillId="0" borderId="9" xfId="1" applyFont="1" applyBorder="1"/>
    <xf numFmtId="44" fontId="0" fillId="0" borderId="3" xfId="0" applyNumberFormat="1" applyBorder="1"/>
    <xf numFmtId="44" fontId="0" fillId="0" borderId="9" xfId="0" applyNumberFormat="1" applyBorder="1"/>
    <xf numFmtId="44" fontId="0" fillId="0" borderId="20" xfId="0" applyNumberFormat="1" applyBorder="1"/>
    <xf numFmtId="44" fontId="0" fillId="11" borderId="3" xfId="0" applyNumberFormat="1" applyFill="1" applyBorder="1"/>
    <xf numFmtId="0" fontId="0" fillId="12" borderId="9" xfId="0" applyFill="1" applyBorder="1"/>
    <xf numFmtId="0" fontId="0" fillId="13" borderId="20" xfId="0" applyFill="1" applyBorder="1"/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466E7-C167-479F-A4D1-8EBF23802377}" name="Tabla1" displayName="Tabla1" ref="B1:F39" totalsRowShown="0">
  <autoFilter ref="B1:F39" xr:uid="{89D466E7-C167-479F-A4D1-8EBF23802377}"/>
  <tableColumns count="5">
    <tableColumn id="1" xr3:uid="{A76DF67C-F31F-4F23-B6A7-20430C1F734E}" name="N°" dataDxfId="4"/>
    <tableColumn id="2" xr3:uid="{5C65F222-1F46-46C0-9290-F3C981F92D5D}" name="NOMBRES" dataDxfId="3"/>
    <tableColumn id="5" xr3:uid="{11F5EDF8-F9BE-4796-A87D-9CACE133A56C}" name="TIPO DE DOCUMENTO" dataDxfId="2"/>
    <tableColumn id="3" xr3:uid="{C4FACD81-B948-41E6-93A3-E182A16BE764}" name="# DE DOCUMENTO" dataDxfId="1"/>
    <tableColumn id="4" xr3:uid="{A1931C33-F3B0-4A6D-A109-4D86A6A47336}" name="CELUL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opLeftCell="A33" workbookViewId="0">
      <selection activeCell="G6" sqref="G6"/>
    </sheetView>
  </sheetViews>
  <sheetFormatPr baseColWidth="10" defaultRowHeight="15" x14ac:dyDescent="0.25"/>
  <cols>
    <col min="1" max="1" width="4" bestFit="1" customWidth="1"/>
    <col min="2" max="2" width="30.140625" customWidth="1"/>
    <col min="3" max="3" width="15.5703125" bestFit="1" customWidth="1"/>
    <col min="4" max="4" width="24.7109375" customWidth="1"/>
  </cols>
  <sheetData>
    <row r="1" spans="1:4" ht="28.15" customHeight="1" thickBot="1" x14ac:dyDescent="0.3">
      <c r="A1" s="68" t="s">
        <v>52</v>
      </c>
      <c r="B1" s="68"/>
      <c r="C1" s="22"/>
      <c r="D1" s="46" t="s">
        <v>37</v>
      </c>
    </row>
    <row r="2" spans="1:4" ht="14.45" customHeight="1" x14ac:dyDescent="0.25">
      <c r="A2" s="8">
        <v>1</v>
      </c>
      <c r="B2" s="9" t="s">
        <v>4</v>
      </c>
      <c r="C2" s="10"/>
      <c r="D2" s="69" t="s">
        <v>50</v>
      </c>
    </row>
    <row r="3" spans="1:4" x14ac:dyDescent="0.25">
      <c r="A3" s="11">
        <v>2</v>
      </c>
      <c r="B3" s="4" t="s">
        <v>5</v>
      </c>
      <c r="C3" s="1"/>
      <c r="D3" s="70"/>
    </row>
    <row r="4" spans="1:4" x14ac:dyDescent="0.25">
      <c r="A4" s="11">
        <v>3</v>
      </c>
      <c r="B4" s="4" t="s">
        <v>31</v>
      </c>
      <c r="C4" s="1">
        <v>1000214070</v>
      </c>
      <c r="D4" s="72" t="s">
        <v>39</v>
      </c>
    </row>
    <row r="5" spans="1:4" x14ac:dyDescent="0.25">
      <c r="A5" s="11">
        <v>4</v>
      </c>
      <c r="B5" s="4" t="s">
        <v>49</v>
      </c>
      <c r="C5" s="1"/>
      <c r="D5" s="73"/>
    </row>
    <row r="6" spans="1:4" ht="15" customHeight="1" x14ac:dyDescent="0.25">
      <c r="A6" s="11">
        <v>5</v>
      </c>
      <c r="B6" s="4" t="s">
        <v>6</v>
      </c>
      <c r="C6" s="1"/>
      <c r="D6" s="63" t="s">
        <v>42</v>
      </c>
    </row>
    <row r="7" spans="1:4" x14ac:dyDescent="0.25">
      <c r="A7" s="11">
        <v>6</v>
      </c>
      <c r="B7" s="4" t="s">
        <v>7</v>
      </c>
      <c r="C7" s="1"/>
      <c r="D7" s="63"/>
    </row>
    <row r="8" spans="1:4" ht="15.75" thickBot="1" x14ac:dyDescent="0.3">
      <c r="A8" s="12">
        <v>7</v>
      </c>
      <c r="B8" s="26" t="s">
        <v>8</v>
      </c>
      <c r="C8" s="13"/>
      <c r="D8" s="64"/>
    </row>
    <row r="9" spans="1:4" x14ac:dyDescent="0.25">
      <c r="A9" s="8">
        <v>8</v>
      </c>
      <c r="B9" s="14" t="s">
        <v>13</v>
      </c>
      <c r="C9" s="15" t="s">
        <v>14</v>
      </c>
      <c r="D9" s="65" t="s">
        <v>43</v>
      </c>
    </row>
    <row r="10" spans="1:4" x14ac:dyDescent="0.25">
      <c r="A10" s="11">
        <v>9</v>
      </c>
      <c r="B10" s="5" t="s">
        <v>15</v>
      </c>
      <c r="C10" s="3" t="s">
        <v>16</v>
      </c>
      <c r="D10" s="66"/>
    </row>
    <row r="11" spans="1:4" x14ac:dyDescent="0.25">
      <c r="A11" s="11">
        <v>10</v>
      </c>
      <c r="B11" s="5" t="s">
        <v>17</v>
      </c>
      <c r="C11" s="3" t="s">
        <v>18</v>
      </c>
      <c r="D11" s="66" t="s">
        <v>44</v>
      </c>
    </row>
    <row r="12" spans="1:4" x14ac:dyDescent="0.25">
      <c r="A12" s="11">
        <v>11</v>
      </c>
      <c r="B12" s="5" t="s">
        <v>19</v>
      </c>
      <c r="C12" s="3" t="s">
        <v>20</v>
      </c>
      <c r="D12" s="66"/>
    </row>
    <row r="13" spans="1:4" x14ac:dyDescent="0.25">
      <c r="A13" s="11">
        <v>12</v>
      </c>
      <c r="B13" s="5" t="s">
        <v>26</v>
      </c>
      <c r="C13" s="3" t="s">
        <v>27</v>
      </c>
      <c r="D13" s="66"/>
    </row>
    <row r="14" spans="1:4" ht="15.75" thickBot="1" x14ac:dyDescent="0.3">
      <c r="A14" s="12">
        <v>13</v>
      </c>
      <c r="B14" s="16" t="s">
        <v>28</v>
      </c>
      <c r="C14" s="17" t="s">
        <v>29</v>
      </c>
      <c r="D14" s="67"/>
    </row>
    <row r="15" spans="1:4" x14ac:dyDescent="0.25">
      <c r="A15" s="8">
        <v>14</v>
      </c>
      <c r="B15" s="19" t="s">
        <v>0</v>
      </c>
      <c r="C15" s="15" t="s">
        <v>10</v>
      </c>
      <c r="D15" s="62" t="s">
        <v>47</v>
      </c>
    </row>
    <row r="16" spans="1:4" x14ac:dyDescent="0.25">
      <c r="A16" s="11">
        <v>15</v>
      </c>
      <c r="B16" s="6" t="s">
        <v>1</v>
      </c>
      <c r="C16" s="3" t="s">
        <v>11</v>
      </c>
      <c r="D16" s="63"/>
    </row>
    <row r="17" spans="1:4" x14ac:dyDescent="0.25">
      <c r="A17" s="11">
        <v>16</v>
      </c>
      <c r="B17" s="6" t="s">
        <v>2</v>
      </c>
      <c r="C17" s="3" t="s">
        <v>12</v>
      </c>
      <c r="D17" s="63"/>
    </row>
    <row r="18" spans="1:4" ht="15.75" thickBot="1" x14ac:dyDescent="0.3">
      <c r="A18" s="12">
        <v>17</v>
      </c>
      <c r="B18" s="20" t="s">
        <v>3</v>
      </c>
      <c r="C18" s="13"/>
      <c r="D18" s="64"/>
    </row>
    <row r="19" spans="1:4" x14ac:dyDescent="0.25">
      <c r="A19" s="8">
        <v>18</v>
      </c>
      <c r="B19" s="19" t="s">
        <v>35</v>
      </c>
      <c r="C19" s="10"/>
      <c r="D19" s="27" t="s">
        <v>41</v>
      </c>
    </row>
    <row r="20" spans="1:4" ht="15.75" thickBot="1" x14ac:dyDescent="0.3">
      <c r="A20" s="12">
        <v>19</v>
      </c>
      <c r="B20" s="20" t="s">
        <v>35</v>
      </c>
      <c r="C20" s="13"/>
      <c r="D20" s="28" t="s">
        <v>41</v>
      </c>
    </row>
    <row r="21" spans="1:4" x14ac:dyDescent="0.25">
      <c r="A21" s="8">
        <v>20</v>
      </c>
      <c r="B21" s="29" t="s">
        <v>21</v>
      </c>
      <c r="C21" s="10"/>
      <c r="D21" s="65" t="s">
        <v>38</v>
      </c>
    </row>
    <row r="22" spans="1:4" x14ac:dyDescent="0.25">
      <c r="A22" s="11">
        <v>21</v>
      </c>
      <c r="B22" s="7" t="s">
        <v>22</v>
      </c>
      <c r="C22" s="1"/>
      <c r="D22" s="66"/>
    </row>
    <row r="23" spans="1:4" x14ac:dyDescent="0.25">
      <c r="A23" s="11">
        <v>22</v>
      </c>
      <c r="B23" s="7" t="s">
        <v>48</v>
      </c>
      <c r="C23" s="1"/>
      <c r="D23" s="70" t="s">
        <v>51</v>
      </c>
    </row>
    <row r="24" spans="1:4" ht="15.75" thickBot="1" x14ac:dyDescent="0.3">
      <c r="A24" s="12">
        <v>23</v>
      </c>
      <c r="B24" s="30" t="s">
        <v>48</v>
      </c>
      <c r="C24" s="13"/>
      <c r="D24" s="71"/>
    </row>
    <row r="25" spans="1:4" x14ac:dyDescent="0.25">
      <c r="A25" s="8">
        <v>24</v>
      </c>
      <c r="B25" s="31" t="s">
        <v>45</v>
      </c>
      <c r="C25" s="10"/>
      <c r="D25" s="65" t="s">
        <v>46</v>
      </c>
    </row>
    <row r="26" spans="1:4" x14ac:dyDescent="0.25">
      <c r="A26" s="11">
        <v>25</v>
      </c>
      <c r="B26" s="25" t="s">
        <v>45</v>
      </c>
      <c r="C26" s="1"/>
      <c r="D26" s="66"/>
    </row>
    <row r="27" spans="1:4" x14ac:dyDescent="0.25">
      <c r="A27" s="11">
        <v>26</v>
      </c>
      <c r="B27" s="25" t="s">
        <v>45</v>
      </c>
      <c r="C27" s="1"/>
      <c r="D27" s="66" t="s">
        <v>46</v>
      </c>
    </row>
    <row r="28" spans="1:4" ht="15.75" thickBot="1" x14ac:dyDescent="0.3">
      <c r="A28" s="12">
        <v>27</v>
      </c>
      <c r="B28" s="32" t="s">
        <v>45</v>
      </c>
      <c r="C28" s="13"/>
      <c r="D28" s="67"/>
    </row>
    <row r="29" spans="1:4" x14ac:dyDescent="0.25">
      <c r="A29" s="8">
        <v>28</v>
      </c>
      <c r="B29" s="33" t="s">
        <v>23</v>
      </c>
      <c r="C29" s="10"/>
      <c r="D29" s="74" t="s">
        <v>38</v>
      </c>
    </row>
    <row r="30" spans="1:4" ht="15.75" thickBot="1" x14ac:dyDescent="0.3">
      <c r="A30" s="12">
        <v>29</v>
      </c>
      <c r="B30" s="34" t="s">
        <v>30</v>
      </c>
      <c r="C30" s="13"/>
      <c r="D30" s="75"/>
    </row>
    <row r="31" spans="1:4" ht="15.75" thickBot="1" x14ac:dyDescent="0.3">
      <c r="A31" s="36">
        <v>30</v>
      </c>
      <c r="B31" s="37" t="s">
        <v>24</v>
      </c>
      <c r="C31" s="38" t="s">
        <v>25</v>
      </c>
      <c r="D31" s="39" t="s">
        <v>39</v>
      </c>
    </row>
    <row r="32" spans="1:4" x14ac:dyDescent="0.25">
      <c r="A32" s="8">
        <v>32</v>
      </c>
      <c r="B32" s="40" t="s">
        <v>32</v>
      </c>
      <c r="C32" s="21"/>
      <c r="D32" s="62" t="s">
        <v>40</v>
      </c>
    </row>
    <row r="33" spans="1:4" x14ac:dyDescent="0.25">
      <c r="A33" s="11">
        <v>33</v>
      </c>
      <c r="B33" s="24" t="s">
        <v>33</v>
      </c>
      <c r="C33" s="2"/>
      <c r="D33" s="63"/>
    </row>
    <row r="34" spans="1:4" ht="15.75" thickBot="1" x14ac:dyDescent="0.3">
      <c r="A34" s="12">
        <v>34</v>
      </c>
      <c r="B34" s="41" t="s">
        <v>34</v>
      </c>
      <c r="C34" s="42"/>
      <c r="D34" s="64"/>
    </row>
    <row r="35" spans="1:4" x14ac:dyDescent="0.25">
      <c r="A35" s="8">
        <v>35</v>
      </c>
      <c r="B35" s="43" t="s">
        <v>36</v>
      </c>
      <c r="C35" s="21"/>
      <c r="D35" s="65" t="s">
        <v>39</v>
      </c>
    </row>
    <row r="36" spans="1:4" ht="15.75" thickBot="1" x14ac:dyDescent="0.3">
      <c r="A36" s="12">
        <v>36</v>
      </c>
      <c r="B36" s="41" t="s">
        <v>9</v>
      </c>
      <c r="C36" s="13"/>
      <c r="D36" s="67"/>
    </row>
    <row r="37" spans="1:4" x14ac:dyDescent="0.25">
      <c r="A37" s="44">
        <v>37</v>
      </c>
    </row>
    <row r="38" spans="1:4" x14ac:dyDescent="0.25">
      <c r="A38" s="45">
        <v>38</v>
      </c>
    </row>
    <row r="39" spans="1:4" x14ac:dyDescent="0.25">
      <c r="A39" s="45">
        <v>39</v>
      </c>
    </row>
    <row r="41" spans="1:4" ht="18.75" x14ac:dyDescent="0.3">
      <c r="B41" s="61" t="s">
        <v>37</v>
      </c>
      <c r="C41" s="61"/>
      <c r="D41" s="61"/>
    </row>
    <row r="42" spans="1:4" x14ac:dyDescent="0.25">
      <c r="B42" s="1" t="s">
        <v>53</v>
      </c>
      <c r="C42" s="35">
        <v>6</v>
      </c>
    </row>
    <row r="43" spans="1:4" x14ac:dyDescent="0.25">
      <c r="B43" s="1" t="s">
        <v>54</v>
      </c>
      <c r="C43" s="35">
        <v>3</v>
      </c>
    </row>
    <row r="44" spans="1:4" x14ac:dyDescent="0.25">
      <c r="B44" s="1" t="s">
        <v>55</v>
      </c>
      <c r="C44" s="35">
        <v>1</v>
      </c>
    </row>
    <row r="45" spans="1:4" x14ac:dyDescent="0.25">
      <c r="B45" s="1" t="s">
        <v>56</v>
      </c>
      <c r="C45" s="35">
        <v>5</v>
      </c>
    </row>
    <row r="46" spans="1:4" x14ac:dyDescent="0.25">
      <c r="B46" s="1" t="s">
        <v>57</v>
      </c>
      <c r="C46" s="35">
        <v>1</v>
      </c>
    </row>
    <row r="47" spans="1:4" x14ac:dyDescent="0.25">
      <c r="B47" s="1"/>
      <c r="C47" s="1"/>
    </row>
    <row r="49" spans="3:3" x14ac:dyDescent="0.25">
      <c r="C49" s="23">
        <f>SUM(C42:C46)</f>
        <v>16</v>
      </c>
    </row>
  </sheetData>
  <mergeCells count="15">
    <mergeCell ref="B41:D41"/>
    <mergeCell ref="D32:D34"/>
    <mergeCell ref="D25:D26"/>
    <mergeCell ref="D27:D28"/>
    <mergeCell ref="A1:B1"/>
    <mergeCell ref="D2:D3"/>
    <mergeCell ref="D23:D24"/>
    <mergeCell ref="D4:D5"/>
    <mergeCell ref="D29:D30"/>
    <mergeCell ref="D21:D22"/>
    <mergeCell ref="D6:D8"/>
    <mergeCell ref="D9:D10"/>
    <mergeCell ref="D11:D14"/>
    <mergeCell ref="D15:D18"/>
    <mergeCell ref="D35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9"/>
  <sheetViews>
    <sheetView tabSelected="1" zoomScale="85" workbookViewId="0">
      <selection activeCell="I19" sqref="I19"/>
    </sheetView>
  </sheetViews>
  <sheetFormatPr baseColWidth="10" defaultRowHeight="15" x14ac:dyDescent="0.25"/>
  <cols>
    <col min="2" max="2" width="7.7109375" style="47" bestFit="1" customWidth="1"/>
    <col min="3" max="3" width="30.140625" customWidth="1"/>
    <col min="4" max="4" width="25" style="47" bestFit="1" customWidth="1"/>
    <col min="5" max="5" width="19.28515625" style="56" customWidth="1"/>
    <col min="6" max="6" width="15.5703125" style="56" bestFit="1" customWidth="1"/>
    <col min="7" max="8" width="15.5703125" style="56" customWidth="1"/>
    <col min="10" max="10" width="27.28515625" bestFit="1" customWidth="1"/>
    <col min="11" max="12" width="17.5703125" bestFit="1" customWidth="1"/>
    <col min="13" max="13" width="15.85546875" bestFit="1" customWidth="1"/>
  </cols>
  <sheetData>
    <row r="1" spans="2:13" ht="17.25" customHeight="1" x14ac:dyDescent="0.25">
      <c r="B1" s="53" t="s">
        <v>72</v>
      </c>
      <c r="C1" s="50" t="s">
        <v>52</v>
      </c>
      <c r="D1" s="50" t="s">
        <v>74</v>
      </c>
      <c r="E1" s="49" t="s">
        <v>73</v>
      </c>
      <c r="F1" s="54" t="s">
        <v>71</v>
      </c>
      <c r="G1" s="54"/>
      <c r="H1" s="54"/>
    </row>
    <row r="2" spans="2:13" ht="14.45" customHeight="1" x14ac:dyDescent="0.25">
      <c r="B2" s="53">
        <v>1</v>
      </c>
      <c r="C2" s="48" t="s">
        <v>4</v>
      </c>
      <c r="D2" s="53" t="s">
        <v>75</v>
      </c>
      <c r="E2" s="60">
        <v>20871274</v>
      </c>
      <c r="F2" s="54">
        <v>3108838965</v>
      </c>
      <c r="G2" s="54"/>
      <c r="H2" s="54"/>
      <c r="J2" s="90" t="s">
        <v>83</v>
      </c>
      <c r="K2" s="90"/>
      <c r="L2" s="90"/>
      <c r="M2" s="90"/>
    </row>
    <row r="3" spans="2:13" ht="15.75" customHeight="1" x14ac:dyDescent="0.25">
      <c r="B3" s="53">
        <v>2</v>
      </c>
      <c r="C3" s="48" t="s">
        <v>5</v>
      </c>
      <c r="D3" s="53" t="s">
        <v>75</v>
      </c>
      <c r="E3" s="60">
        <v>178969</v>
      </c>
      <c r="F3" s="54"/>
      <c r="G3" s="54"/>
      <c r="H3" s="54"/>
      <c r="J3" s="1" t="s">
        <v>89</v>
      </c>
      <c r="K3" s="1"/>
      <c r="L3" s="1" t="s">
        <v>90</v>
      </c>
      <c r="M3" s="1" t="s">
        <v>95</v>
      </c>
    </row>
    <row r="4" spans="2:13" ht="15" customHeight="1" thickBot="1" x14ac:dyDescent="0.3">
      <c r="B4" s="53">
        <v>3</v>
      </c>
      <c r="C4" s="48" t="s">
        <v>7</v>
      </c>
      <c r="D4" s="53" t="s">
        <v>75</v>
      </c>
      <c r="E4" s="60">
        <v>3149471</v>
      </c>
      <c r="F4" s="54"/>
      <c r="G4" s="54"/>
      <c r="H4" s="54"/>
      <c r="J4" s="13" t="s">
        <v>82</v>
      </c>
      <c r="K4" s="82"/>
      <c r="L4" s="83">
        <v>3000000</v>
      </c>
      <c r="M4" s="83">
        <v>3200000</v>
      </c>
    </row>
    <row r="5" spans="2:13" ht="15.75" customHeight="1" x14ac:dyDescent="0.25">
      <c r="B5" s="53">
        <v>4</v>
      </c>
      <c r="C5" s="48" t="s">
        <v>8</v>
      </c>
      <c r="D5" s="53" t="s">
        <v>75</v>
      </c>
      <c r="E5" s="60">
        <v>41704391</v>
      </c>
      <c r="F5" s="54"/>
      <c r="G5" s="54"/>
      <c r="H5" s="54"/>
      <c r="J5" s="18" t="s">
        <v>87</v>
      </c>
      <c r="K5" s="79">
        <v>2280000</v>
      </c>
      <c r="L5" s="80"/>
      <c r="M5" s="81"/>
    </row>
    <row r="6" spans="2:13" ht="15" customHeight="1" x14ac:dyDescent="0.25">
      <c r="B6" s="53">
        <v>5</v>
      </c>
      <c r="C6" s="51" t="s">
        <v>13</v>
      </c>
      <c r="D6" s="57" t="s">
        <v>75</v>
      </c>
      <c r="E6" s="60">
        <v>1073629063</v>
      </c>
      <c r="F6" s="54">
        <v>3212224173</v>
      </c>
      <c r="G6" s="54"/>
      <c r="H6" s="54"/>
      <c r="J6" s="1" t="s">
        <v>79</v>
      </c>
      <c r="K6" s="76">
        <v>117000</v>
      </c>
      <c r="L6" s="77"/>
      <c r="M6" s="78"/>
    </row>
    <row r="7" spans="2:13" ht="15.75" customHeight="1" x14ac:dyDescent="0.25">
      <c r="B7" s="53">
        <v>6</v>
      </c>
      <c r="C7" s="51" t="s">
        <v>15</v>
      </c>
      <c r="D7" s="57" t="s">
        <v>75</v>
      </c>
      <c r="E7" s="60">
        <v>1073628415</v>
      </c>
      <c r="F7" s="54"/>
      <c r="G7" s="54"/>
      <c r="H7" s="54"/>
      <c r="J7" s="1" t="s">
        <v>84</v>
      </c>
      <c r="K7" s="76">
        <v>684000</v>
      </c>
      <c r="L7" s="77"/>
      <c r="M7" s="78"/>
    </row>
    <row r="8" spans="2:13" ht="15.75" customHeight="1" x14ac:dyDescent="0.25">
      <c r="B8" s="53">
        <v>7</v>
      </c>
      <c r="C8" s="48" t="s">
        <v>35</v>
      </c>
      <c r="D8" s="53" t="s">
        <v>75</v>
      </c>
      <c r="E8" s="60">
        <v>80114865</v>
      </c>
      <c r="F8" s="54">
        <v>3176595268</v>
      </c>
      <c r="G8" s="54"/>
      <c r="H8" s="54"/>
      <c r="J8" s="1" t="s">
        <v>85</v>
      </c>
      <c r="K8" s="76">
        <v>779000</v>
      </c>
      <c r="L8" s="77"/>
      <c r="M8" s="78"/>
    </row>
    <row r="9" spans="2:13" ht="15.75" customHeight="1" x14ac:dyDescent="0.25">
      <c r="B9" s="53">
        <v>8</v>
      </c>
      <c r="C9" s="48" t="s">
        <v>58</v>
      </c>
      <c r="D9" s="53" t="s">
        <v>75</v>
      </c>
      <c r="E9" s="60">
        <v>35459331</v>
      </c>
      <c r="F9" s="54"/>
      <c r="G9" s="54"/>
      <c r="H9" s="54"/>
      <c r="J9" s="1" t="s">
        <v>86</v>
      </c>
      <c r="K9" s="76">
        <v>532000</v>
      </c>
      <c r="L9" s="77"/>
      <c r="M9" s="78"/>
    </row>
    <row r="10" spans="2:13" ht="15" customHeight="1" x14ac:dyDescent="0.25">
      <c r="B10" s="53">
        <v>9</v>
      </c>
      <c r="C10" s="48" t="s">
        <v>6</v>
      </c>
      <c r="D10" s="53" t="s">
        <v>75</v>
      </c>
      <c r="E10" s="60">
        <v>20871839</v>
      </c>
      <c r="F10" s="54">
        <v>3108838965</v>
      </c>
      <c r="G10" s="54"/>
      <c r="H10" s="54"/>
      <c r="J10" s="1" t="s">
        <v>88</v>
      </c>
      <c r="K10" s="76">
        <v>60000</v>
      </c>
      <c r="L10" s="78"/>
      <c r="M10" s="78"/>
    </row>
    <row r="11" spans="2:13" ht="15.75" customHeight="1" x14ac:dyDescent="0.25">
      <c r="B11" s="53">
        <v>10</v>
      </c>
      <c r="C11" s="51" t="s">
        <v>68</v>
      </c>
      <c r="D11" s="57" t="s">
        <v>75</v>
      </c>
      <c r="E11" s="60">
        <v>20871418</v>
      </c>
      <c r="F11" s="54">
        <v>3204024137</v>
      </c>
      <c r="G11" s="54"/>
      <c r="H11" s="54"/>
      <c r="J11" s="1" t="s">
        <v>80</v>
      </c>
      <c r="K11" s="76">
        <v>2926000</v>
      </c>
      <c r="L11" s="78"/>
      <c r="M11" s="78"/>
    </row>
    <row r="12" spans="2:13" ht="15.75" customHeight="1" x14ac:dyDescent="0.25">
      <c r="B12" s="53">
        <v>11</v>
      </c>
      <c r="C12" s="48" t="s">
        <v>21</v>
      </c>
      <c r="D12" s="53" t="s">
        <v>75</v>
      </c>
      <c r="E12" s="60">
        <v>39805678</v>
      </c>
      <c r="F12" s="54">
        <v>3114999118</v>
      </c>
      <c r="G12" s="54"/>
      <c r="H12" s="54"/>
      <c r="J12" s="1" t="s">
        <v>81</v>
      </c>
      <c r="K12" s="76">
        <v>1406000</v>
      </c>
      <c r="L12" s="78"/>
      <c r="M12" s="78"/>
    </row>
    <row r="13" spans="2:13" ht="15.75" customHeight="1" thickBot="1" x14ac:dyDescent="0.3">
      <c r="B13" s="53">
        <v>12</v>
      </c>
      <c r="C13" s="48" t="s">
        <v>22</v>
      </c>
      <c r="D13" s="53" t="s">
        <v>75</v>
      </c>
      <c r="E13" s="60">
        <v>1072960522</v>
      </c>
      <c r="F13" s="54"/>
      <c r="G13" s="54"/>
      <c r="H13" s="54"/>
      <c r="J13" s="13" t="s">
        <v>93</v>
      </c>
      <c r="K13" s="83">
        <v>300000</v>
      </c>
      <c r="L13" s="78"/>
      <c r="M13" s="78"/>
    </row>
    <row r="14" spans="2:13" x14ac:dyDescent="0.25">
      <c r="B14" s="53">
        <v>13</v>
      </c>
      <c r="C14" s="48" t="s">
        <v>23</v>
      </c>
      <c r="D14" s="53" t="s">
        <v>75</v>
      </c>
      <c r="E14" s="60">
        <v>1073629513</v>
      </c>
      <c r="F14" s="54">
        <v>3003301307</v>
      </c>
      <c r="G14" s="54"/>
      <c r="H14" s="54"/>
      <c r="J14" s="18" t="s">
        <v>70</v>
      </c>
      <c r="K14" s="84">
        <f>SUM(K4:K13)</f>
        <v>9084000</v>
      </c>
      <c r="L14" s="78"/>
      <c r="M14" s="78"/>
    </row>
    <row r="15" spans="2:13" ht="15.75" customHeight="1" x14ac:dyDescent="0.25">
      <c r="B15" s="53">
        <v>14</v>
      </c>
      <c r="C15" s="48" t="s">
        <v>69</v>
      </c>
      <c r="D15" s="53" t="s">
        <v>75</v>
      </c>
      <c r="E15" s="60">
        <v>1072963128</v>
      </c>
      <c r="F15" s="54"/>
      <c r="G15" s="54"/>
      <c r="H15" s="54"/>
      <c r="J15" s="1"/>
      <c r="K15" s="1"/>
      <c r="L15" s="78"/>
      <c r="M15" s="78"/>
    </row>
    <row r="16" spans="2:13" ht="15.75" thickBot="1" x14ac:dyDescent="0.3">
      <c r="B16" s="53">
        <v>15</v>
      </c>
      <c r="C16" s="48" t="s">
        <v>0</v>
      </c>
      <c r="D16" s="53" t="s">
        <v>75</v>
      </c>
      <c r="E16" s="60">
        <v>20687133</v>
      </c>
      <c r="F16" s="54">
        <v>3145852930</v>
      </c>
      <c r="G16" s="54"/>
      <c r="H16" s="54"/>
      <c r="J16" s="88" t="s">
        <v>91</v>
      </c>
      <c r="K16" s="85">
        <v>9834000</v>
      </c>
      <c r="L16" s="78"/>
      <c r="M16" s="78"/>
    </row>
    <row r="17" spans="2:13" ht="15.75" thickBot="1" x14ac:dyDescent="0.3">
      <c r="B17" s="53">
        <v>16</v>
      </c>
      <c r="C17" s="48" t="s">
        <v>1</v>
      </c>
      <c r="D17" s="53" t="s">
        <v>75</v>
      </c>
      <c r="E17" s="60">
        <v>1073519855</v>
      </c>
      <c r="F17" s="54"/>
      <c r="G17" s="54"/>
      <c r="H17" s="54"/>
      <c r="J17" s="89" t="s">
        <v>92</v>
      </c>
      <c r="K17" s="86">
        <f>K16-K14</f>
        <v>750000</v>
      </c>
      <c r="L17" s="85">
        <f>M4-L4</f>
        <v>200000</v>
      </c>
      <c r="M17" s="1" t="s">
        <v>96</v>
      </c>
    </row>
    <row r="18" spans="2:13" x14ac:dyDescent="0.25">
      <c r="B18" s="53">
        <v>17</v>
      </c>
      <c r="C18" s="48" t="s">
        <v>2</v>
      </c>
      <c r="D18" s="53" t="s">
        <v>76</v>
      </c>
      <c r="E18" s="60">
        <v>1072432754</v>
      </c>
      <c r="F18" s="54"/>
      <c r="G18" s="54"/>
      <c r="H18" s="54"/>
      <c r="J18" s="18" t="s">
        <v>94</v>
      </c>
      <c r="K18" s="87">
        <f>K17+L17</f>
        <v>950000</v>
      </c>
      <c r="L18" s="18"/>
      <c r="M18" s="1"/>
    </row>
    <row r="19" spans="2:13" x14ac:dyDescent="0.25">
      <c r="B19" s="53">
        <v>18</v>
      </c>
      <c r="C19" s="48" t="s">
        <v>3</v>
      </c>
      <c r="D19" s="53" t="s">
        <v>75</v>
      </c>
      <c r="E19" s="60">
        <v>52625036</v>
      </c>
      <c r="F19" s="54"/>
      <c r="G19" s="54"/>
      <c r="H19" s="54"/>
    </row>
    <row r="20" spans="2:13" x14ac:dyDescent="0.25">
      <c r="B20" s="53">
        <v>19</v>
      </c>
      <c r="C20" s="52" t="s">
        <v>32</v>
      </c>
      <c r="D20" s="58" t="s">
        <v>75</v>
      </c>
      <c r="E20" s="60">
        <v>20871865</v>
      </c>
      <c r="F20" s="54">
        <v>3143983641</v>
      </c>
      <c r="G20" s="54"/>
      <c r="H20" s="54"/>
    </row>
    <row r="21" spans="2:13" x14ac:dyDescent="0.25">
      <c r="B21" s="53">
        <v>20</v>
      </c>
      <c r="C21" s="52" t="s">
        <v>33</v>
      </c>
      <c r="D21" s="58" t="s">
        <v>75</v>
      </c>
      <c r="E21" s="60">
        <v>11450825</v>
      </c>
      <c r="F21" s="54"/>
      <c r="G21" s="54"/>
      <c r="H21" s="54"/>
    </row>
    <row r="22" spans="2:13" x14ac:dyDescent="0.25">
      <c r="B22" s="53">
        <v>21</v>
      </c>
      <c r="C22" s="52" t="s">
        <v>34</v>
      </c>
      <c r="D22" s="58" t="s">
        <v>77</v>
      </c>
      <c r="E22" s="60">
        <v>1020004197</v>
      </c>
      <c r="F22" s="54"/>
      <c r="G22" s="54"/>
      <c r="H22" s="54"/>
    </row>
    <row r="23" spans="2:13" x14ac:dyDescent="0.25">
      <c r="B23" s="53">
        <v>22</v>
      </c>
      <c r="C23" s="48" t="s">
        <v>31</v>
      </c>
      <c r="D23" s="53" t="s">
        <v>75</v>
      </c>
      <c r="E23" s="60">
        <v>1000214070</v>
      </c>
      <c r="F23" s="55">
        <v>3108838965</v>
      </c>
      <c r="G23" s="55"/>
      <c r="H23" s="55"/>
    </row>
    <row r="24" spans="2:13" x14ac:dyDescent="0.25">
      <c r="B24" s="53">
        <v>23</v>
      </c>
      <c r="C24" s="48" t="s">
        <v>49</v>
      </c>
      <c r="D24" s="53" t="s">
        <v>75</v>
      </c>
      <c r="E24" s="60">
        <v>1007159083</v>
      </c>
      <c r="F24" s="55"/>
      <c r="G24" s="55"/>
      <c r="H24" s="55"/>
    </row>
    <row r="25" spans="2:13" ht="15" customHeight="1" x14ac:dyDescent="0.25">
      <c r="B25" s="53">
        <v>24</v>
      </c>
      <c r="C25" s="48" t="s">
        <v>66</v>
      </c>
      <c r="D25" s="53" t="s">
        <v>75</v>
      </c>
      <c r="E25" s="60">
        <v>1007644574</v>
      </c>
      <c r="F25" s="54">
        <v>3057766470</v>
      </c>
      <c r="G25" s="54"/>
      <c r="H25" s="54"/>
    </row>
    <row r="26" spans="2:13" x14ac:dyDescent="0.25">
      <c r="B26" s="53">
        <v>25</v>
      </c>
      <c r="C26" s="48" t="s">
        <v>67</v>
      </c>
      <c r="D26" s="53" t="s">
        <v>77</v>
      </c>
      <c r="E26" s="60">
        <v>1012468373</v>
      </c>
      <c r="F26" s="54"/>
      <c r="G26" s="54"/>
      <c r="H26" s="54"/>
    </row>
    <row r="27" spans="2:13" x14ac:dyDescent="0.25">
      <c r="B27" s="53">
        <v>26</v>
      </c>
      <c r="C27" s="48" t="s">
        <v>64</v>
      </c>
      <c r="D27" s="53" t="s">
        <v>75</v>
      </c>
      <c r="E27" s="60">
        <v>1072963796</v>
      </c>
      <c r="F27" s="54"/>
      <c r="G27" s="54"/>
      <c r="H27" s="54"/>
    </row>
    <row r="28" spans="2:13" x14ac:dyDescent="0.25">
      <c r="B28" s="53">
        <v>27</v>
      </c>
      <c r="C28" s="48" t="s">
        <v>65</v>
      </c>
      <c r="D28" s="53" t="s">
        <v>75</v>
      </c>
      <c r="E28" s="60">
        <v>1007155755</v>
      </c>
      <c r="F28" s="54"/>
      <c r="G28" s="54"/>
      <c r="H28" s="54"/>
    </row>
    <row r="29" spans="2:13" x14ac:dyDescent="0.25">
      <c r="B29" s="53">
        <v>28</v>
      </c>
      <c r="C29" s="52" t="s">
        <v>36</v>
      </c>
      <c r="D29" s="58" t="s">
        <v>75</v>
      </c>
      <c r="E29" s="60">
        <v>21153453</v>
      </c>
      <c r="F29" s="54">
        <v>3046640269</v>
      </c>
      <c r="G29" s="54"/>
      <c r="H29" s="54"/>
    </row>
    <row r="30" spans="2:13" x14ac:dyDescent="0.25">
      <c r="B30" s="53">
        <v>29</v>
      </c>
      <c r="C30" s="52" t="s">
        <v>9</v>
      </c>
      <c r="D30" s="58" t="s">
        <v>75</v>
      </c>
      <c r="E30" s="60">
        <v>20689182</v>
      </c>
      <c r="F30" s="54">
        <v>3118347707</v>
      </c>
      <c r="G30" s="54"/>
      <c r="H30" s="54"/>
    </row>
    <row r="31" spans="2:13" x14ac:dyDescent="0.25">
      <c r="B31" s="53">
        <v>30</v>
      </c>
      <c r="C31" s="51" t="s">
        <v>17</v>
      </c>
      <c r="D31" s="57" t="s">
        <v>77</v>
      </c>
      <c r="E31" s="60">
        <v>1073629570</v>
      </c>
      <c r="F31" s="54">
        <v>3212224173</v>
      </c>
      <c r="G31" s="54"/>
      <c r="H31" s="54"/>
    </row>
    <row r="32" spans="2:13" x14ac:dyDescent="0.25">
      <c r="B32" s="53">
        <v>31</v>
      </c>
      <c r="C32" s="51" t="s">
        <v>19</v>
      </c>
      <c r="D32" s="57" t="s">
        <v>77</v>
      </c>
      <c r="E32" s="60">
        <v>1073629355</v>
      </c>
      <c r="F32" s="54"/>
      <c r="G32" s="54"/>
      <c r="H32" s="54"/>
    </row>
    <row r="33" spans="2:8" x14ac:dyDescent="0.25">
      <c r="B33" s="53">
        <v>32</v>
      </c>
      <c r="C33" s="51" t="s">
        <v>26</v>
      </c>
      <c r="D33" s="57" t="s">
        <v>75</v>
      </c>
      <c r="E33" s="60">
        <v>20871585</v>
      </c>
      <c r="F33" s="54"/>
      <c r="G33" s="54"/>
      <c r="H33" s="54"/>
    </row>
    <row r="34" spans="2:8" x14ac:dyDescent="0.25">
      <c r="B34" s="53">
        <v>33</v>
      </c>
      <c r="C34" s="51" t="s">
        <v>28</v>
      </c>
      <c r="D34" s="57" t="s">
        <v>75</v>
      </c>
      <c r="E34" s="60">
        <v>20871456</v>
      </c>
      <c r="F34" s="54"/>
      <c r="G34" s="54"/>
      <c r="H34" s="54"/>
    </row>
    <row r="35" spans="2:8" x14ac:dyDescent="0.25">
      <c r="B35" s="53">
        <v>34</v>
      </c>
      <c r="C35" s="51" t="s">
        <v>59</v>
      </c>
      <c r="D35" s="57" t="s">
        <v>75</v>
      </c>
      <c r="E35" s="60">
        <v>20357960</v>
      </c>
      <c r="F35" s="54">
        <v>3125831579</v>
      </c>
      <c r="G35" s="54"/>
      <c r="H35" s="54"/>
    </row>
    <row r="36" spans="2:8" x14ac:dyDescent="0.25">
      <c r="B36" s="53">
        <v>35</v>
      </c>
      <c r="C36" s="51" t="s">
        <v>60</v>
      </c>
      <c r="D36" s="57" t="s">
        <v>75</v>
      </c>
      <c r="E36" s="55" t="s">
        <v>63</v>
      </c>
      <c r="F36" s="54">
        <v>3053820026</v>
      </c>
      <c r="G36" s="54"/>
      <c r="H36" s="54"/>
    </row>
    <row r="37" spans="2:8" x14ac:dyDescent="0.25">
      <c r="B37" s="53">
        <v>36</v>
      </c>
      <c r="C37" s="51" t="s">
        <v>61</v>
      </c>
      <c r="D37" s="57" t="s">
        <v>75</v>
      </c>
      <c r="E37" s="55">
        <v>79895794</v>
      </c>
      <c r="F37" s="54"/>
      <c r="G37" s="54"/>
      <c r="H37" s="54"/>
    </row>
    <row r="38" spans="2:8" x14ac:dyDescent="0.25">
      <c r="B38" s="53">
        <v>37</v>
      </c>
      <c r="C38" s="51" t="s">
        <v>62</v>
      </c>
      <c r="D38" s="57" t="s">
        <v>77</v>
      </c>
      <c r="E38" s="60">
        <v>1019994678</v>
      </c>
      <c r="F38" s="54"/>
      <c r="G38" s="54"/>
      <c r="H38" s="54"/>
    </row>
    <row r="39" spans="2:8" x14ac:dyDescent="0.25">
      <c r="B39" s="53">
        <v>38</v>
      </c>
      <c r="C39" s="48" t="s">
        <v>78</v>
      </c>
      <c r="D39" s="53" t="s">
        <v>75</v>
      </c>
      <c r="E39" s="59">
        <v>79538678</v>
      </c>
      <c r="F39" s="55"/>
      <c r="G39" s="55"/>
      <c r="H39" s="55"/>
    </row>
  </sheetData>
  <mergeCells count="1">
    <mergeCell ref="J2:M2"/>
  </mergeCells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CASACLUB</dc:creator>
  <cp:lastModifiedBy>DANIELA STEFANI  CRUZ MORENO</cp:lastModifiedBy>
  <cp:lastPrinted>2023-11-10T20:37:38Z</cp:lastPrinted>
  <dcterms:created xsi:type="dcterms:W3CDTF">2023-05-29T13:29:57Z</dcterms:created>
  <dcterms:modified xsi:type="dcterms:W3CDTF">2023-11-27T16:51:56Z</dcterms:modified>
</cp:coreProperties>
</file>