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ARQUE DEL CAFÉ\"/>
    </mc:Choice>
  </mc:AlternateContent>
  <xr:revisionPtr revIDLastSave="0" documentId="13_ncr:1_{185BB618-89D5-4BDC-A079-87FEC4260600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N8" i="1" s="1"/>
  <c r="N9" i="1" s="1"/>
  <c r="O18" i="1"/>
  <c r="O15" i="1"/>
  <c r="O16" i="1"/>
  <c r="O17" i="1"/>
  <c r="N18" i="1"/>
  <c r="O14" i="1"/>
  <c r="I38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0" i="1"/>
  <c r="I31" i="1"/>
  <c r="I32" i="1"/>
  <c r="I33" i="1"/>
  <c r="I34" i="1"/>
  <c r="I35" i="1"/>
  <c r="I36" i="1"/>
  <c r="I37" i="1"/>
  <c r="I39" i="1"/>
  <c r="I40" i="1"/>
  <c r="I41" i="1"/>
  <c r="I42" i="1"/>
  <c r="H43" i="1"/>
  <c r="N5" i="1"/>
  <c r="N7" i="1" s="1"/>
</calcChain>
</file>

<file path=xl/sharedStrings.xml><?xml version="1.0" encoding="utf-8"?>
<sst xmlns="http://schemas.openxmlformats.org/spreadsheetml/2006/main" count="166" uniqueCount="93">
  <si>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</si>
  <si>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</si>
  <si>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</si>
  <si>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</si>
  <si>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</si>
  <si>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</si>
  <si>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</si>
  <si>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</si>
  <si>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 xml:space="preserve">Alexandra Rodríguez Guzmán </t>
  </si>
  <si>
    <t xml:space="preserve">Sofia Hallmann Rodríguez </t>
  </si>
  <si>
    <t>T.I</t>
  </si>
  <si>
    <t>Maria Salomón Carrillo Villamil</t>
  </si>
  <si>
    <t>R.C</t>
  </si>
  <si>
    <t>Nini Johanna Villamil Gomez</t>
  </si>
  <si>
    <t>Juan Sebastián Hernández</t>
  </si>
  <si>
    <t xml:space="preserve">Nayeli parra luna </t>
  </si>
  <si>
    <t>Eveling julietha castellon parra</t>
  </si>
  <si>
    <t>Cristian camilo bernal</t>
  </si>
  <si>
    <t xml:space="preserve">Marcos Antonio Bocanegra Patiño </t>
  </si>
  <si>
    <t>1 073.558.646</t>
  </si>
  <si>
    <t>Jackeline Herrera Diaz</t>
  </si>
  <si>
    <t>20 .872 .307</t>
  </si>
  <si>
    <t>(-) 1 año</t>
  </si>
  <si>
    <t>Santiago Garcia</t>
  </si>
  <si>
    <t>Dayana Pastrana</t>
  </si>
  <si>
    <t>Karen Pastrana</t>
  </si>
  <si>
    <t>Sofia Castellanos</t>
  </si>
  <si>
    <t xml:space="preserve">Gabriela Pastrana </t>
  </si>
  <si>
    <t>Luz Marina Pachon Liberato</t>
  </si>
  <si>
    <t>Nicole Valentina Peñarete Blanco</t>
  </si>
  <si>
    <t>María José Alfaro villamil</t>
  </si>
  <si>
    <t>Yury Fenella Poveda Torres</t>
  </si>
  <si>
    <t>Marie Anne López Poveda</t>
  </si>
  <si>
    <t>Gabriela Romero Romero</t>
  </si>
  <si>
    <t>Erika Vanesa Garcia Romero</t>
  </si>
  <si>
    <t>Luis Duarte</t>
  </si>
  <si>
    <t>María Fenanda Benavides</t>
  </si>
  <si>
    <t>Gabriel Cabrera</t>
  </si>
  <si>
    <t>tete</t>
  </si>
  <si>
    <t>mafe</t>
  </si>
  <si>
    <t>Luz Estella Cano Daza</t>
  </si>
  <si>
    <t>302 764 5690</t>
  </si>
  <si>
    <t>322 352 9755</t>
  </si>
  <si>
    <t>312 403 4585</t>
  </si>
  <si>
    <t>pago</t>
  </si>
  <si>
    <t>Columna1</t>
  </si>
  <si>
    <t>BURKHARD HALLMANN</t>
  </si>
  <si>
    <t>C.E</t>
  </si>
  <si>
    <t>Magaly lapso narvaez</t>
  </si>
  <si>
    <t>55 216929</t>
  </si>
  <si>
    <t>Didier Garcia</t>
  </si>
  <si>
    <t>Valerie Garcia Lasso</t>
  </si>
  <si>
    <t>Deyanira ortiz carreño</t>
  </si>
  <si>
    <t>52 305912</t>
  </si>
  <si>
    <t>LAD</t>
  </si>
  <si>
    <t>Nicolas Silvestre Marin</t>
  </si>
  <si>
    <t xml:space="preserve">Leidy juliana montenegro herrera </t>
  </si>
  <si>
    <t>c.c</t>
  </si>
  <si>
    <t xml:space="preserve">15 de marzo del 2002 </t>
  </si>
  <si>
    <t>Jose Eusebio escobar muñóz</t>
  </si>
  <si>
    <t xml:space="preserve">Nathaly alexandra escobar montenegro </t>
  </si>
  <si>
    <t>22 de noviembre 2021</t>
  </si>
  <si>
    <t>2 años</t>
  </si>
  <si>
    <t>Saray Valentina Rodriguez Jaramillo</t>
  </si>
  <si>
    <t>25 de Diciembre de 2009</t>
  </si>
  <si>
    <t>Yohandry De jesús Quintero Hernández</t>
  </si>
  <si>
    <t>Beccy Giccell Sánchez Rodríguez</t>
  </si>
  <si>
    <t>Josué Santiago Barrios Sánchez</t>
  </si>
  <si>
    <t>empresa</t>
  </si>
  <si>
    <t>Edith</t>
  </si>
  <si>
    <t>322 7256970</t>
  </si>
  <si>
    <t>320 222 6715</t>
  </si>
  <si>
    <t>311 582 3856</t>
  </si>
  <si>
    <t>311 467 7594</t>
  </si>
  <si>
    <t>304 602 3909</t>
  </si>
  <si>
    <t>314 252 8585</t>
  </si>
  <si>
    <t>350 824 4634</t>
  </si>
  <si>
    <t>Transporte</t>
  </si>
  <si>
    <t>Ingreso al parque</t>
  </si>
  <si>
    <t>Almuerzo</t>
  </si>
  <si>
    <t>Seguro</t>
  </si>
  <si>
    <t xml:space="preserve">Costo y Gastos </t>
  </si>
  <si>
    <t>Columna2</t>
  </si>
  <si>
    <t>VALOR</t>
  </si>
  <si>
    <t>Columna3</t>
  </si>
  <si>
    <t>PAX</t>
  </si>
  <si>
    <t>TETE</t>
  </si>
  <si>
    <t>EDITH</t>
  </si>
  <si>
    <t>MAFE</t>
  </si>
  <si>
    <t>TOTAL</t>
  </si>
  <si>
    <t>Ingresos</t>
  </si>
  <si>
    <t>Total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</si>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</sst>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44" fontId="0" fillId="0" borderId="0" xfId="1" applyFont="1" applyAlignment="1">
      <alignment horizontal="center"/>
    </xf>
    <xf numFmtId="44" fontId="0" fillId="0" borderId="0" xfId="1" applyFont="1"/>
    <xf numFmtId="44" fontId="1" fillId="0" borderId="0" xfId="0" applyNumberFormat="1" applyFont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 applyAlignment="1">
      <alignment horizontal="left"/>
    </xf>
    <xf numFmtId="44" fontId="0" fillId="2" borderId="0" xfId="1" applyFont="1" applyFill="1"/>
    <xf numFmtId="4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1" applyNumberFormat="1" applyFont="1" applyBorder="1" applyAlignment="1">
      <alignment horizontal="center"/>
    </xf>
    <xf numFmtId="44" fontId="0" fillId="0" borderId="3" xfId="1" applyFont="1" applyBorder="1"/>
    <xf numFmtId="0" fontId="0" fillId="3" borderId="3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4" xfId="0" applyBorder="1" applyAlignment="1">
      <alignment horizontal="left"/>
    </xf>
    <xf numFmtId="44" fontId="0" fillId="0" borderId="4" xfId="1" applyFont="1" applyBorder="1"/>
    <xf numFmtId="0" fontId="0" fillId="0" borderId="5" xfId="0" applyFill="1" applyBorder="1" applyAlignment="1">
      <alignment horizontal="left"/>
    </xf>
    <xf numFmtId="0" fontId="0" fillId="0" borderId="7" xfId="0" applyBorder="1" applyAlignment="1">
      <alignment horizontal="left"/>
    </xf>
    <xf numFmtId="44" fontId="0" fillId="2" borderId="6" xfId="1" applyFont="1" applyFill="1" applyBorder="1"/>
    <xf numFmtId="44" fontId="0" fillId="4" borderId="7" xfId="1" applyFont="1" applyFill="1" applyBorder="1"/>
    <xf numFmtId="44" fontId="0" fillId="5" borderId="5" xfId="1" applyFont="1" applyFill="1" applyBorder="1"/>
  </cellXfs>
  <cellStyles count="2">
    <cellStyle name="Moneda" xfId="1" builtinId="4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K43" totalsRowCount="1" headerRowDxfId="18">
  <autoFilter ref="B3:K42" xr:uid="{B40F2451-142B-4BE1-AF43-4017DC8317E3}"/>
  <tableColumns count="10">
    <tableColumn id="1" xr3:uid="{8A6B238F-F0BF-4D08-9BB6-47ABECF4CD01}" name="N°" dataDxfId="17" totalsRowDxfId="8"/>
    <tableColumn id="2" xr3:uid="{BDD5278F-E53E-4B31-809F-A8B0C1319E98}" name="NOMBRE"/>
    <tableColumn id="3" xr3:uid="{8FE049D1-E600-4B12-B7D6-AC04388B0E7C}" name="T.D" dataDxfId="16" totalsRowDxfId="7"/>
    <tableColumn id="4" xr3:uid="{ABAB9460-7835-4D09-BDA4-9B8B8FAD6132}" name="N.D" dataDxfId="15" totalsRowDxfId="6"/>
    <tableColumn id="5" xr3:uid="{10B9FA97-E146-4F72-A383-3C9AEC2876CB}" name="FECHA DE NACIMIENTO" dataDxfId="14" totalsRowDxfId="5"/>
    <tableColumn id="6" xr3:uid="{5033357B-5D72-4B25-A62D-1CE58245E18B}" name="TELEFONO" dataDxfId="13" totalsRowDxfId="4"/>
    <tableColumn id="10" xr3:uid="{7854D559-E527-46BC-BD5A-41A2646CB828}" name="Columna2" totalsRowFunction="sum" dataDxfId="10" totalsRowDxfId="3" dataCellStyle="Moneda" totalsRowCellStyle="Moneda"/>
    <tableColumn id="11" xr3:uid="{1C168DEE-EDB4-4A22-8CC2-E7AFEF7D5F7C}" name="Columna3" totalsRowFunction="sum" dataDxfId="9" totalsRowDxfId="2" dataCellStyle="Moneda">
      <calculatedColumnFormula>Tabla1[[#This Row],[Columna2]]-15000</calculatedColumnFormula>
    </tableColumn>
    <tableColumn id="7" xr3:uid="{5B03DDDA-A180-4F69-B9C6-EE57AE3B2847}" name="COMISIONISTA" dataDxfId="12" totalsRowDxfId="1"/>
    <tableColumn id="8" xr3:uid="{B525EBEF-8C72-4F33-96CA-7B7FF2823083}" name="Columna1" dataDxfId="1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2:O44"/>
  <sheetViews>
    <sheetView tabSelected="1" topLeftCell="F5" workbookViewId="0">
      <selection activeCell="M12" sqref="M12"/>
    </sheetView>
  </sheetViews>
  <sheetFormatPr baseColWidth="10" defaultRowHeight="15" x14ac:dyDescent="0.25"/>
  <cols>
    <col min="2" max="2" width="7.7109375" style="1" bestFit="1" customWidth="1"/>
    <col min="3" max="3" width="36.85546875" bestFit="1" customWidth="1"/>
    <col min="4" max="4" width="11.42578125" style="1"/>
    <col min="5" max="5" width="12.7109375" style="1" bestFit="1" customWidth="1"/>
    <col min="6" max="6" width="26.42578125" style="1" bestFit="1" customWidth="1"/>
    <col min="7" max="7" width="14.7109375" style="1" bestFit="1" customWidth="1"/>
    <col min="8" max="9" width="14.7109375" style="1" customWidth="1"/>
    <col min="10" max="10" width="16.42578125" style="1" customWidth="1"/>
    <col min="13" max="13" width="16.42578125" style="12" bestFit="1" customWidth="1"/>
    <col min="14" max="14" width="14.5703125" style="14" bestFit="1" customWidth="1"/>
    <col min="15" max="15" width="13" bestFit="1" customWidth="1"/>
  </cols>
  <sheetData>
    <row r="2" spans="2:15" x14ac:dyDescent="0.25">
      <c r="M2" s="28" t="s">
        <v>81</v>
      </c>
      <c r="N2" s="28"/>
    </row>
    <row r="3" spans="2:15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82</v>
      </c>
      <c r="I3" s="1" t="s">
        <v>84</v>
      </c>
      <c r="J3" s="1" t="s">
        <v>5</v>
      </c>
      <c r="K3" s="1" t="s">
        <v>45</v>
      </c>
      <c r="M3" s="25" t="s">
        <v>77</v>
      </c>
      <c r="N3" s="24">
        <v>1900000</v>
      </c>
    </row>
    <row r="4" spans="2:15" x14ac:dyDescent="0.25">
      <c r="B4" s="1">
        <v>1</v>
      </c>
      <c r="C4" t="s">
        <v>8</v>
      </c>
      <c r="D4" s="1" t="s">
        <v>7</v>
      </c>
      <c r="E4" s="2">
        <v>52323528</v>
      </c>
      <c r="F4" s="3"/>
      <c r="H4" s="13">
        <v>188000</v>
      </c>
      <c r="I4" s="13">
        <f>Tabla1[[#This Row],[Columna2]]-15000</f>
        <v>173000</v>
      </c>
      <c r="J4" s="1" t="s">
        <v>54</v>
      </c>
      <c r="K4" s="1"/>
      <c r="M4" s="25" t="s">
        <v>80</v>
      </c>
      <c r="N4" s="27">
        <v>78000</v>
      </c>
    </row>
    <row r="5" spans="2:15" x14ac:dyDescent="0.25">
      <c r="B5" s="1">
        <v>2</v>
      </c>
      <c r="C5" t="s">
        <v>9</v>
      </c>
      <c r="D5" s="1" t="s">
        <v>10</v>
      </c>
      <c r="E5" s="2">
        <v>1032800380</v>
      </c>
      <c r="F5" s="3"/>
      <c r="H5" s="13">
        <v>188000</v>
      </c>
      <c r="I5" s="13">
        <f>Tabla1[[#This Row],[Columna2]]-15000</f>
        <v>173000</v>
      </c>
      <c r="J5" s="1" t="s">
        <v>54</v>
      </c>
      <c r="K5" s="1"/>
      <c r="M5" s="25" t="s">
        <v>78</v>
      </c>
      <c r="N5" s="27">
        <f>77000*37</f>
        <v>2849000</v>
      </c>
    </row>
    <row r="6" spans="2:15" ht="15.75" thickBot="1" x14ac:dyDescent="0.3">
      <c r="B6" s="1">
        <v>3</v>
      </c>
      <c r="C6" t="s">
        <v>11</v>
      </c>
      <c r="D6" s="4" t="s">
        <v>12</v>
      </c>
      <c r="E6" s="2">
        <v>1075630345</v>
      </c>
      <c r="F6" s="3">
        <v>43246</v>
      </c>
      <c r="H6" s="13">
        <v>188000</v>
      </c>
      <c r="I6" s="13">
        <f>Tabla1[[#This Row],[Columna2]]-15000</f>
        <v>173000</v>
      </c>
      <c r="J6" s="1" t="s">
        <v>38</v>
      </c>
      <c r="K6" s="1"/>
      <c r="M6" s="30" t="s">
        <v>79</v>
      </c>
      <c r="N6" s="31">
        <v>740000</v>
      </c>
    </row>
    <row r="7" spans="2:15" s="11" customFormat="1" ht="15.75" thickBot="1" x14ac:dyDescent="0.3">
      <c r="B7" s="5">
        <v>4</v>
      </c>
      <c r="C7" s="6" t="s">
        <v>30</v>
      </c>
      <c r="D7" s="7" t="s">
        <v>10</v>
      </c>
      <c r="E7" s="8">
        <v>1075625555</v>
      </c>
      <c r="F7" s="9"/>
      <c r="G7" s="7"/>
      <c r="H7" s="13">
        <v>188000</v>
      </c>
      <c r="I7" s="13">
        <f>Tabla1[[#This Row],[Columna2]]-15000</f>
        <v>173000</v>
      </c>
      <c r="J7" s="10" t="s">
        <v>38</v>
      </c>
      <c r="K7" s="5" t="s">
        <v>44</v>
      </c>
      <c r="M7" s="29" t="s">
        <v>91</v>
      </c>
      <c r="N7" s="34">
        <f>SUM(N3:N6)</f>
        <v>5567000</v>
      </c>
    </row>
    <row r="8" spans="2:15" ht="15.75" thickBot="1" x14ac:dyDescent="0.3">
      <c r="B8" s="5">
        <v>5</v>
      </c>
      <c r="C8" t="s">
        <v>13</v>
      </c>
      <c r="D8" s="1" t="s">
        <v>7</v>
      </c>
      <c r="E8" s="2">
        <v>1075625313</v>
      </c>
      <c r="F8" s="3">
        <v>33007</v>
      </c>
      <c r="H8" s="13">
        <v>188000</v>
      </c>
      <c r="I8" s="13">
        <f>Tabla1[[#This Row],[Columna2]]-15000</f>
        <v>173000</v>
      </c>
      <c r="J8" s="1" t="s">
        <v>38</v>
      </c>
      <c r="K8" s="1"/>
      <c r="M8" s="33" t="s">
        <v>90</v>
      </c>
      <c r="N8" s="35">
        <f>Tabla1[[#Totals],[Columna3]]</f>
        <v>5912000</v>
      </c>
    </row>
    <row r="9" spans="2:15" x14ac:dyDescent="0.25">
      <c r="B9" s="5">
        <v>6</v>
      </c>
      <c r="C9" t="s">
        <v>14</v>
      </c>
      <c r="D9" s="1" t="s">
        <v>7</v>
      </c>
      <c r="E9" s="2">
        <v>1007159320</v>
      </c>
      <c r="F9" s="3"/>
      <c r="G9" s="1" t="s">
        <v>42</v>
      </c>
      <c r="H9" s="13">
        <v>188000</v>
      </c>
      <c r="I9" s="13">
        <f>Tabla1[[#This Row],[Columna2]]-15000</f>
        <v>173000</v>
      </c>
      <c r="J9" s="1" t="s">
        <v>38</v>
      </c>
      <c r="K9" s="1">
        <v>150</v>
      </c>
      <c r="M9" s="32" t="s">
        <v>92</v>
      </c>
      <c r="N9" s="36">
        <f>N8-N7</f>
        <v>345000</v>
      </c>
    </row>
    <row r="10" spans="2:15" x14ac:dyDescent="0.25">
      <c r="B10" s="5">
        <v>7</v>
      </c>
      <c r="C10" t="s">
        <v>15</v>
      </c>
      <c r="D10" s="1" t="s">
        <v>7</v>
      </c>
      <c r="E10" s="2">
        <v>1007159153</v>
      </c>
      <c r="F10" s="3">
        <v>37732</v>
      </c>
      <c r="G10" s="1" t="s">
        <v>41</v>
      </c>
      <c r="H10" s="13">
        <v>188000</v>
      </c>
      <c r="I10" s="13">
        <f>Tabla1[[#This Row],[Columna2]]-15000</f>
        <v>173000</v>
      </c>
      <c r="J10" s="1" t="s">
        <v>38</v>
      </c>
      <c r="K10" s="1" t="s">
        <v>44</v>
      </c>
    </row>
    <row r="11" spans="2:15" x14ac:dyDescent="0.25">
      <c r="B11" s="5">
        <v>8</v>
      </c>
      <c r="C11" t="s">
        <v>40</v>
      </c>
      <c r="D11" s="1" t="s">
        <v>7</v>
      </c>
      <c r="E11" s="2">
        <v>1010051972</v>
      </c>
      <c r="F11" s="3"/>
      <c r="H11" s="13">
        <v>188000</v>
      </c>
      <c r="I11" s="13">
        <f>Tabla1[[#This Row],[Columna2]]-15000</f>
        <v>173000</v>
      </c>
      <c r="J11" s="1" t="s">
        <v>38</v>
      </c>
      <c r="K11" s="1" t="s">
        <v>44</v>
      </c>
    </row>
    <row r="12" spans="2:15" s="16" customFormat="1" x14ac:dyDescent="0.25">
      <c r="B12" s="4" t="s">
        <v>22</v>
      </c>
      <c r="C12" s="16" t="s">
        <v>16</v>
      </c>
      <c r="D12" s="4" t="s">
        <v>12</v>
      </c>
      <c r="E12" s="17">
        <v>1072433770</v>
      </c>
      <c r="F12" s="18">
        <v>45101</v>
      </c>
      <c r="G12" s="17">
        <v>15000</v>
      </c>
      <c r="H12" s="19">
        <v>15000</v>
      </c>
      <c r="I12" s="19">
        <v>15000</v>
      </c>
      <c r="J12" s="4" t="s">
        <v>38</v>
      </c>
      <c r="K12" s="4" t="s">
        <v>44</v>
      </c>
      <c r="M12" s="20"/>
      <c r="N12" s="21"/>
    </row>
    <row r="13" spans="2:15" x14ac:dyDescent="0.25">
      <c r="B13" s="1">
        <v>9</v>
      </c>
      <c r="C13" t="s">
        <v>17</v>
      </c>
      <c r="D13" s="1" t="s">
        <v>7</v>
      </c>
      <c r="E13" s="2">
        <v>1073629922</v>
      </c>
      <c r="F13" s="3">
        <v>34937</v>
      </c>
      <c r="G13" s="1" t="s">
        <v>43</v>
      </c>
      <c r="H13" s="13">
        <v>188000</v>
      </c>
      <c r="I13" s="13">
        <f>Tabla1[[#This Row],[Columna2]]-15000</f>
        <v>173000</v>
      </c>
      <c r="J13" s="1" t="s">
        <v>38</v>
      </c>
      <c r="K13" s="1"/>
      <c r="M13" s="23" t="s">
        <v>5</v>
      </c>
      <c r="N13" s="24" t="s">
        <v>85</v>
      </c>
      <c r="O13" s="23" t="s">
        <v>83</v>
      </c>
    </row>
    <row r="14" spans="2:15" x14ac:dyDescent="0.25">
      <c r="B14" s="1">
        <v>10</v>
      </c>
      <c r="C14" t="s">
        <v>18</v>
      </c>
      <c r="D14" s="1" t="s">
        <v>7</v>
      </c>
      <c r="E14" s="2" t="s">
        <v>19</v>
      </c>
      <c r="F14" s="3">
        <v>35839</v>
      </c>
      <c r="H14" s="13">
        <v>188000</v>
      </c>
      <c r="I14" s="13">
        <f>Tabla1[[#This Row],[Columna2]]-15000</f>
        <v>173000</v>
      </c>
      <c r="J14" s="1" t="s">
        <v>69</v>
      </c>
      <c r="K14" s="1"/>
      <c r="M14" s="25" t="s">
        <v>54</v>
      </c>
      <c r="N14" s="26">
        <v>19</v>
      </c>
      <c r="O14" s="27">
        <f>N14*15000</f>
        <v>285000</v>
      </c>
    </row>
    <row r="15" spans="2:15" x14ac:dyDescent="0.25">
      <c r="B15" s="1">
        <v>11</v>
      </c>
      <c r="C15" t="s">
        <v>20</v>
      </c>
      <c r="D15" s="1" t="s">
        <v>7</v>
      </c>
      <c r="E15" s="2" t="s">
        <v>21</v>
      </c>
      <c r="F15" s="3">
        <v>30835</v>
      </c>
      <c r="G15" s="1" t="s">
        <v>71</v>
      </c>
      <c r="H15" s="13">
        <v>188000</v>
      </c>
      <c r="I15" s="13">
        <f>Tabla1[[#This Row],[Columna2]]-15000</f>
        <v>173000</v>
      </c>
      <c r="J15" s="1" t="s">
        <v>69</v>
      </c>
      <c r="K15" s="1"/>
      <c r="M15" s="25" t="s">
        <v>86</v>
      </c>
      <c r="N15" s="26">
        <v>11</v>
      </c>
      <c r="O15" s="27">
        <f t="shared" ref="O15:O17" si="0">N15*15000</f>
        <v>165000</v>
      </c>
    </row>
    <row r="16" spans="2:15" x14ac:dyDescent="0.25">
      <c r="B16" s="1">
        <v>12</v>
      </c>
      <c r="C16" t="s">
        <v>23</v>
      </c>
      <c r="D16" s="1" t="s">
        <v>7</v>
      </c>
      <c r="E16" s="2">
        <v>1000620727</v>
      </c>
      <c r="F16" s="3"/>
      <c r="H16" s="13">
        <v>188000</v>
      </c>
      <c r="I16" s="13">
        <f>Tabla1[[#This Row],[Columna2]]-15000</f>
        <v>173000</v>
      </c>
      <c r="J16" s="1" t="s">
        <v>54</v>
      </c>
      <c r="K16" s="1"/>
      <c r="M16" s="25" t="s">
        <v>87</v>
      </c>
      <c r="N16" s="26">
        <v>2</v>
      </c>
      <c r="O16" s="27">
        <f t="shared" si="0"/>
        <v>30000</v>
      </c>
    </row>
    <row r="17" spans="2:15" x14ac:dyDescent="0.25">
      <c r="B17" s="1">
        <v>13</v>
      </c>
      <c r="C17" t="s">
        <v>24</v>
      </c>
      <c r="D17" s="1" t="s">
        <v>7</v>
      </c>
      <c r="E17" s="2">
        <v>1001048582</v>
      </c>
      <c r="F17" s="3"/>
      <c r="H17" s="13">
        <v>188000</v>
      </c>
      <c r="I17" s="13">
        <f>Tabla1[[#This Row],[Columna2]]-15000</f>
        <v>173000</v>
      </c>
      <c r="J17" s="1" t="s">
        <v>54</v>
      </c>
      <c r="K17" s="1"/>
      <c r="M17" s="25" t="s">
        <v>88</v>
      </c>
      <c r="N17" s="26">
        <v>2</v>
      </c>
      <c r="O17" s="27">
        <f t="shared" si="0"/>
        <v>30000</v>
      </c>
    </row>
    <row r="18" spans="2:15" x14ac:dyDescent="0.25">
      <c r="B18" s="1">
        <v>14</v>
      </c>
      <c r="C18" t="s">
        <v>25</v>
      </c>
      <c r="D18" s="1" t="s">
        <v>7</v>
      </c>
      <c r="E18" s="2">
        <v>1022441660</v>
      </c>
      <c r="F18" s="3"/>
      <c r="H18" s="13">
        <v>188000</v>
      </c>
      <c r="I18" s="13">
        <f>Tabla1[[#This Row],[Columna2]]-15000</f>
        <v>173000</v>
      </c>
      <c r="J18" s="1" t="s">
        <v>54</v>
      </c>
      <c r="K18" s="1"/>
      <c r="M18" s="25" t="s">
        <v>89</v>
      </c>
      <c r="N18" s="26">
        <f>SUM(N14:N17)</f>
        <v>34</v>
      </c>
      <c r="O18" s="27">
        <f>SUM(O14:O17)</f>
        <v>510000</v>
      </c>
    </row>
    <row r="19" spans="2:15" x14ac:dyDescent="0.25">
      <c r="B19" s="1">
        <v>15</v>
      </c>
      <c r="C19" t="s">
        <v>26</v>
      </c>
      <c r="D19" s="4" t="s">
        <v>12</v>
      </c>
      <c r="E19" s="2">
        <v>1031186085</v>
      </c>
      <c r="F19" s="3"/>
      <c r="H19" s="13">
        <v>188000</v>
      </c>
      <c r="I19" s="13">
        <f>Tabla1[[#This Row],[Columna2]]-15000</f>
        <v>173000</v>
      </c>
      <c r="J19" s="1" t="s">
        <v>54</v>
      </c>
      <c r="K19" s="1"/>
    </row>
    <row r="20" spans="2:15" x14ac:dyDescent="0.25">
      <c r="B20" s="1">
        <v>16</v>
      </c>
      <c r="C20" t="s">
        <v>27</v>
      </c>
      <c r="D20" s="4" t="s">
        <v>12</v>
      </c>
      <c r="E20" s="2">
        <v>1025561015</v>
      </c>
      <c r="F20" s="3"/>
      <c r="H20" s="13">
        <v>188000</v>
      </c>
      <c r="I20" s="13">
        <f>Tabla1[[#This Row],[Columna2]]-15000</f>
        <v>173000</v>
      </c>
      <c r="J20" s="1" t="s">
        <v>54</v>
      </c>
      <c r="K20" s="1"/>
    </row>
    <row r="21" spans="2:15" x14ac:dyDescent="0.25">
      <c r="B21" s="1">
        <v>17</v>
      </c>
      <c r="C21" t="s">
        <v>28</v>
      </c>
      <c r="D21" s="1" t="s">
        <v>7</v>
      </c>
      <c r="E21" s="2">
        <v>52502797</v>
      </c>
      <c r="F21" s="3">
        <v>28542</v>
      </c>
      <c r="G21" s="1">
        <v>3214854061</v>
      </c>
      <c r="H21" s="13">
        <v>188000</v>
      </c>
      <c r="I21" s="13">
        <f>Tabla1[[#This Row],[Columna2]]-15000</f>
        <v>173000</v>
      </c>
      <c r="J21" s="1" t="s">
        <v>54</v>
      </c>
      <c r="K21" s="1"/>
    </row>
    <row r="22" spans="2:15" x14ac:dyDescent="0.25">
      <c r="B22" s="1">
        <v>18</v>
      </c>
      <c r="C22" t="s">
        <v>29</v>
      </c>
      <c r="D22" s="1" t="s">
        <v>7</v>
      </c>
      <c r="E22" s="2">
        <v>1003672821</v>
      </c>
      <c r="F22" s="3"/>
      <c r="G22" s="1">
        <v>3202178792</v>
      </c>
      <c r="H22" s="13">
        <v>188000</v>
      </c>
      <c r="I22" s="13">
        <f>Tabla1[[#This Row],[Columna2]]-15000</f>
        <v>173000</v>
      </c>
      <c r="J22" s="1" t="s">
        <v>54</v>
      </c>
      <c r="K22" s="1"/>
    </row>
    <row r="23" spans="2:15" x14ac:dyDescent="0.25">
      <c r="B23" s="1">
        <v>19</v>
      </c>
      <c r="C23" t="s">
        <v>31</v>
      </c>
      <c r="D23" s="1" t="s">
        <v>7</v>
      </c>
      <c r="E23" s="2">
        <v>1018419110</v>
      </c>
      <c r="F23" s="3"/>
      <c r="G23" s="1" t="s">
        <v>72</v>
      </c>
      <c r="H23" s="13">
        <v>188000</v>
      </c>
      <c r="I23" s="13">
        <f>Tabla1[[#This Row],[Columna2]]-15000</f>
        <v>173000</v>
      </c>
      <c r="J23" s="1" t="s">
        <v>39</v>
      </c>
      <c r="K23" s="1"/>
    </row>
    <row r="24" spans="2:15" x14ac:dyDescent="0.25">
      <c r="B24" s="1">
        <v>20</v>
      </c>
      <c r="C24" t="s">
        <v>32</v>
      </c>
      <c r="D24" s="1" t="s">
        <v>10</v>
      </c>
      <c r="E24" s="2">
        <v>1010964272</v>
      </c>
      <c r="F24" s="3"/>
      <c r="H24" s="13">
        <v>188000</v>
      </c>
      <c r="I24" s="13">
        <f>Tabla1[[#This Row],[Columna2]]-15000</f>
        <v>173000</v>
      </c>
      <c r="J24" s="1" t="s">
        <v>39</v>
      </c>
      <c r="K24" s="1"/>
    </row>
    <row r="25" spans="2:15" x14ac:dyDescent="0.25">
      <c r="B25" s="1">
        <v>21</v>
      </c>
      <c r="C25" t="s">
        <v>33</v>
      </c>
      <c r="D25" s="1" t="s">
        <v>7</v>
      </c>
      <c r="E25" s="2">
        <v>20871842</v>
      </c>
      <c r="F25" s="3"/>
      <c r="G25" s="1" t="s">
        <v>73</v>
      </c>
      <c r="H25" s="13">
        <v>188000</v>
      </c>
      <c r="I25" s="13">
        <f>Tabla1[[#This Row],[Columna2]]-15000</f>
        <v>173000</v>
      </c>
      <c r="J25" s="1" t="s">
        <v>54</v>
      </c>
      <c r="K25" s="1"/>
    </row>
    <row r="26" spans="2:15" x14ac:dyDescent="0.25">
      <c r="B26" s="1">
        <v>22</v>
      </c>
      <c r="C26" t="s">
        <v>34</v>
      </c>
      <c r="D26" s="1" t="s">
        <v>7</v>
      </c>
      <c r="E26" s="2">
        <v>1073630653</v>
      </c>
      <c r="F26" s="3"/>
      <c r="G26" s="1" t="s">
        <v>76</v>
      </c>
      <c r="H26" s="13">
        <v>188000</v>
      </c>
      <c r="I26" s="13">
        <f>Tabla1[[#This Row],[Columna2]]-15000</f>
        <v>173000</v>
      </c>
      <c r="J26" s="1" t="s">
        <v>54</v>
      </c>
      <c r="K26" s="1"/>
    </row>
    <row r="27" spans="2:15" x14ac:dyDescent="0.25">
      <c r="B27" s="1">
        <v>23</v>
      </c>
      <c r="C27" t="s">
        <v>35</v>
      </c>
      <c r="D27" s="1" t="s">
        <v>7</v>
      </c>
      <c r="E27" s="1">
        <v>79538678</v>
      </c>
      <c r="F27" s="3"/>
      <c r="H27" s="13">
        <v>0</v>
      </c>
      <c r="I27" s="13">
        <v>0</v>
      </c>
      <c r="J27" s="1" t="s">
        <v>68</v>
      </c>
      <c r="K27" s="1"/>
    </row>
    <row r="28" spans="2:15" x14ac:dyDescent="0.25">
      <c r="B28" s="1">
        <v>24</v>
      </c>
      <c r="C28" t="s">
        <v>36</v>
      </c>
      <c r="D28" s="1" t="s">
        <v>7</v>
      </c>
      <c r="E28" s="2">
        <v>1075627540</v>
      </c>
      <c r="F28" s="3"/>
      <c r="H28" s="13">
        <v>0</v>
      </c>
      <c r="I28" s="13">
        <v>0</v>
      </c>
      <c r="J28" s="1" t="s">
        <v>68</v>
      </c>
      <c r="K28" s="1"/>
    </row>
    <row r="29" spans="2:15" x14ac:dyDescent="0.25">
      <c r="B29" s="1">
        <v>25</v>
      </c>
      <c r="C29" t="s">
        <v>37</v>
      </c>
      <c r="D29" s="1" t="s">
        <v>7</v>
      </c>
      <c r="E29" s="2">
        <v>1075628177</v>
      </c>
      <c r="F29" s="3"/>
      <c r="H29" s="13">
        <v>0</v>
      </c>
      <c r="I29" s="13">
        <v>0</v>
      </c>
      <c r="J29" s="1" t="s">
        <v>68</v>
      </c>
      <c r="K29" s="1"/>
    </row>
    <row r="30" spans="2:15" x14ac:dyDescent="0.25">
      <c r="B30" s="1">
        <v>26</v>
      </c>
      <c r="C30" t="s">
        <v>46</v>
      </c>
      <c r="D30" s="1" t="s">
        <v>47</v>
      </c>
      <c r="E30" s="2">
        <v>422419</v>
      </c>
      <c r="F30" s="3">
        <v>22097</v>
      </c>
      <c r="H30" s="13">
        <v>188000</v>
      </c>
      <c r="I30" s="13">
        <f>Tabla1[[#This Row],[Columna2]]-15000</f>
        <v>173000</v>
      </c>
      <c r="J30" s="1" t="s">
        <v>54</v>
      </c>
      <c r="K30" s="1"/>
    </row>
    <row r="31" spans="2:15" x14ac:dyDescent="0.25">
      <c r="B31" s="1">
        <v>27</v>
      </c>
      <c r="C31" t="s">
        <v>48</v>
      </c>
      <c r="D31" s="1" t="s">
        <v>7</v>
      </c>
      <c r="E31" s="2" t="s">
        <v>49</v>
      </c>
      <c r="F31" s="3"/>
      <c r="H31" s="13">
        <v>188000</v>
      </c>
      <c r="I31" s="13">
        <f>Tabla1[[#This Row],[Columna2]]-15000</f>
        <v>173000</v>
      </c>
      <c r="J31" s="1" t="s">
        <v>54</v>
      </c>
      <c r="K31" s="1"/>
    </row>
    <row r="32" spans="2:15" x14ac:dyDescent="0.25">
      <c r="B32" s="1">
        <v>28</v>
      </c>
      <c r="C32" t="s">
        <v>50</v>
      </c>
      <c r="D32" s="1" t="s">
        <v>7</v>
      </c>
      <c r="E32" s="2">
        <v>79064237</v>
      </c>
      <c r="F32" s="3"/>
      <c r="G32" s="1" t="s">
        <v>74</v>
      </c>
      <c r="H32" s="13">
        <v>188000</v>
      </c>
      <c r="I32" s="13">
        <f>Tabla1[[#This Row],[Columna2]]-15000</f>
        <v>173000</v>
      </c>
      <c r="J32" s="1" t="s">
        <v>54</v>
      </c>
      <c r="K32" s="1"/>
    </row>
    <row r="33" spans="2:14" x14ac:dyDescent="0.25">
      <c r="B33" s="1">
        <v>29</v>
      </c>
      <c r="C33" t="s">
        <v>51</v>
      </c>
      <c r="D33" s="1" t="s">
        <v>10</v>
      </c>
      <c r="E33" s="2">
        <v>1072426158</v>
      </c>
      <c r="F33" s="3"/>
      <c r="H33" s="13">
        <v>188000</v>
      </c>
      <c r="I33" s="13">
        <f>Tabla1[[#This Row],[Columna2]]-15000</f>
        <v>173000</v>
      </c>
      <c r="J33" s="1" t="s">
        <v>54</v>
      </c>
      <c r="K33" s="1"/>
    </row>
    <row r="34" spans="2:14" x14ac:dyDescent="0.25">
      <c r="B34" s="1">
        <v>30</v>
      </c>
      <c r="C34" t="s">
        <v>52</v>
      </c>
      <c r="D34" s="1" t="s">
        <v>7</v>
      </c>
      <c r="E34" s="2" t="s">
        <v>53</v>
      </c>
      <c r="F34" s="3"/>
      <c r="G34" s="1" t="s">
        <v>75</v>
      </c>
      <c r="H34" s="13">
        <v>188000</v>
      </c>
      <c r="I34" s="13">
        <f>Tabla1[[#This Row],[Columna2]]-15000</f>
        <v>173000</v>
      </c>
      <c r="J34" s="1" t="s">
        <v>54</v>
      </c>
      <c r="K34" s="1"/>
    </row>
    <row r="35" spans="2:14" x14ac:dyDescent="0.25">
      <c r="B35" s="1">
        <v>31</v>
      </c>
      <c r="C35" t="s">
        <v>55</v>
      </c>
      <c r="D35" s="1" t="s">
        <v>10</v>
      </c>
      <c r="E35" s="2">
        <v>1072961800</v>
      </c>
      <c r="F35" s="3"/>
      <c r="H35" s="13">
        <v>188000</v>
      </c>
      <c r="I35" s="13">
        <f>Tabla1[[#This Row],[Columna2]]-15000</f>
        <v>173000</v>
      </c>
      <c r="J35" s="1" t="s">
        <v>54</v>
      </c>
      <c r="K35" s="1"/>
    </row>
    <row r="36" spans="2:14" x14ac:dyDescent="0.25">
      <c r="B36" s="1">
        <v>32</v>
      </c>
      <c r="C36" t="s">
        <v>56</v>
      </c>
      <c r="D36" s="1" t="s">
        <v>57</v>
      </c>
      <c r="E36" s="2">
        <v>1002580875</v>
      </c>
      <c r="F36" s="3" t="s">
        <v>58</v>
      </c>
      <c r="G36" s="1" t="s">
        <v>70</v>
      </c>
      <c r="H36" s="13">
        <v>188000</v>
      </c>
      <c r="I36" s="13">
        <f>Tabla1[[#This Row],[Columna2]]-15000</f>
        <v>173000</v>
      </c>
      <c r="J36" s="1" t="s">
        <v>38</v>
      </c>
      <c r="K36" s="1"/>
    </row>
    <row r="37" spans="2:14" x14ac:dyDescent="0.25">
      <c r="B37" s="1">
        <v>33</v>
      </c>
      <c r="C37" t="s">
        <v>59</v>
      </c>
      <c r="D37" s="1" t="s">
        <v>57</v>
      </c>
      <c r="E37" s="2">
        <v>1003673164</v>
      </c>
      <c r="F37" s="3">
        <v>36213</v>
      </c>
      <c r="H37" s="13">
        <v>188000</v>
      </c>
      <c r="I37" s="13">
        <f>Tabla1[[#This Row],[Columna2]]-15000</f>
        <v>173000</v>
      </c>
      <c r="J37" s="1" t="s">
        <v>38</v>
      </c>
      <c r="K37" s="1"/>
    </row>
    <row r="38" spans="2:14" s="16" customFormat="1" x14ac:dyDescent="0.25">
      <c r="B38" s="4" t="s">
        <v>62</v>
      </c>
      <c r="C38" s="16" t="s">
        <v>60</v>
      </c>
      <c r="D38" s="4" t="s">
        <v>12</v>
      </c>
      <c r="E38" s="17">
        <v>1195468518</v>
      </c>
      <c r="F38" s="18" t="s">
        <v>61</v>
      </c>
      <c r="G38" s="17">
        <v>15000</v>
      </c>
      <c r="H38" s="19">
        <v>15000</v>
      </c>
      <c r="I38" s="19">
        <f>Tabla1[[#This Row],[Columna2]]</f>
        <v>15000</v>
      </c>
      <c r="J38" s="4" t="s">
        <v>38</v>
      </c>
      <c r="K38" s="4"/>
      <c r="M38" s="20"/>
      <c r="N38" s="21"/>
    </row>
    <row r="39" spans="2:14" x14ac:dyDescent="0.25">
      <c r="B39" s="1">
        <v>34</v>
      </c>
      <c r="C39" t="s">
        <v>63</v>
      </c>
      <c r="D39" s="1" t="s">
        <v>10</v>
      </c>
      <c r="E39" s="2">
        <v>1195463198</v>
      </c>
      <c r="F39" s="3" t="s">
        <v>64</v>
      </c>
      <c r="H39" s="13">
        <v>188000</v>
      </c>
      <c r="I39" s="13">
        <f>Tabla1[[#This Row],[Columna2]]-15000</f>
        <v>173000</v>
      </c>
      <c r="J39" s="1" t="s">
        <v>38</v>
      </c>
      <c r="K39" s="1"/>
    </row>
    <row r="40" spans="2:14" x14ac:dyDescent="0.25">
      <c r="B40" s="1">
        <v>35</v>
      </c>
      <c r="C40" t="s">
        <v>65</v>
      </c>
      <c r="D40" s="1" t="s">
        <v>10</v>
      </c>
      <c r="E40" s="2">
        <v>5792035</v>
      </c>
      <c r="F40" s="3"/>
      <c r="H40" s="13">
        <v>188000</v>
      </c>
      <c r="I40" s="13">
        <f>Tabla1[[#This Row],[Columna2]]-15000</f>
        <v>173000</v>
      </c>
      <c r="J40" s="1" t="s">
        <v>38</v>
      </c>
      <c r="K40" s="1"/>
    </row>
    <row r="41" spans="2:14" x14ac:dyDescent="0.25">
      <c r="B41" s="1">
        <v>36</v>
      </c>
      <c r="C41" t="s">
        <v>66</v>
      </c>
      <c r="D41" s="1" t="s">
        <v>57</v>
      </c>
      <c r="E41" s="2">
        <v>20358967</v>
      </c>
      <c r="F41" s="3"/>
      <c r="G41" s="1">
        <v>3167460917</v>
      </c>
      <c r="H41" s="13">
        <v>188000</v>
      </c>
      <c r="I41" s="13">
        <f>Tabla1[[#This Row],[Columna2]]-15000</f>
        <v>173000</v>
      </c>
      <c r="J41" s="1" t="s">
        <v>54</v>
      </c>
      <c r="K41" s="1"/>
    </row>
    <row r="42" spans="2:14" x14ac:dyDescent="0.25">
      <c r="B42" s="1">
        <v>37</v>
      </c>
      <c r="C42" t="s">
        <v>67</v>
      </c>
      <c r="D42" s="1" t="s">
        <v>10</v>
      </c>
      <c r="E42" s="2">
        <v>1072962061</v>
      </c>
      <c r="F42" s="3"/>
      <c r="G42" s="1">
        <v>3167460917</v>
      </c>
      <c r="H42" s="13">
        <v>188000</v>
      </c>
      <c r="I42" s="13">
        <f>Tabla1[[#This Row],[Columna2]]-15000</f>
        <v>173000</v>
      </c>
      <c r="J42" s="1" t="s">
        <v>54</v>
      </c>
      <c r="K42" s="1"/>
    </row>
    <row r="43" spans="2:14" x14ac:dyDescent="0.25">
      <c r="E43" s="2"/>
      <c r="F43" s="3"/>
      <c r="H43" s="13">
        <f>SUBTOTAL(109,Tabla1[Columna2])</f>
        <v>6422000</v>
      </c>
      <c r="I43" s="15">
        <f>SUBTOTAL(109,Tabla1[Columna3])</f>
        <v>5912000</v>
      </c>
      <c r="K43" s="1"/>
    </row>
    <row r="44" spans="2:14" x14ac:dyDescent="0.25">
      <c r="I44" s="22"/>
    </row>
  </sheetData>
  <mergeCells count="1">
    <mergeCell ref="M2:N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2024-02-12T18:54:05Z</dcterms:modified>
</cp:coreProperties>
</file>