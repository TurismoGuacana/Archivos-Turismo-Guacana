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PLAYA JUNCAL\"/>
    </mc:Choice>
  </mc:AlternateContent>
  <xr:revisionPtr revIDLastSave="0" documentId="8_{BAF8F151-D6DC-489F-907E-CD57D205A8B0}" xr6:coauthVersionLast="47" xr6:coauthVersionMax="47" xr10:uidLastSave="{00000000-0000-0000-0000-000000000000}"/>
  <bookViews>
    <workbookView xWindow="-120" yWindow="-120" windowWidth="20730" windowHeight="11040" xr2:uid="{86021D68-EB1B-4D63-925F-4D359EC099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30" i="1"/>
  <c r="M15" i="1" s="1"/>
  <c r="H30" i="1"/>
  <c r="N23" i="1"/>
  <c r="M23" i="1"/>
  <c r="N22" i="1"/>
  <c r="N21" i="1"/>
  <c r="I23" i="1"/>
  <c r="I2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6" i="1"/>
  <c r="I27" i="1"/>
  <c r="I28" i="1"/>
  <c r="M14" i="1"/>
  <c r="M11" i="1"/>
  <c r="P14" i="1"/>
  <c r="M16" i="1" l="1"/>
  <c r="M29" i="1" l="1"/>
</calcChain>
</file>

<file path=xl/sharedStrings.xml><?xml version="1.0" encoding="utf-8"?>
<sst xmlns="http://schemas.openxmlformats.org/spreadsheetml/2006/main" count="101" uniqueCount="60">
  <si>
    <t>N°</t>
  </si>
  <si>
    <t>NOMBRE</t>
  </si>
  <si>
    <t>N.D</t>
  </si>
  <si>
    <t>FECHA DE NACIMIENTO</t>
  </si>
  <si>
    <t>TELEFONO</t>
  </si>
  <si>
    <t>COMISIONISTA</t>
  </si>
  <si>
    <t>T.D</t>
  </si>
  <si>
    <t>C.C</t>
  </si>
  <si>
    <t>Cristina Sierra</t>
  </si>
  <si>
    <t xml:space="preserve">Luisa Villamil </t>
  </si>
  <si>
    <t xml:space="preserve">Claudia Villamil </t>
  </si>
  <si>
    <t>Edgar castro romero</t>
  </si>
  <si>
    <t>Luz Nelly Rubio Forero</t>
  </si>
  <si>
    <t>Sandra Patricia Daza Arias</t>
  </si>
  <si>
    <t>María Isabel Arias Montañez</t>
  </si>
  <si>
    <t>mafe</t>
  </si>
  <si>
    <t>Calet david bautista guzman</t>
  </si>
  <si>
    <t>T.I</t>
  </si>
  <si>
    <t>Maricela guzman rojas</t>
  </si>
  <si>
    <t>Agustin bautista hernandez</t>
  </si>
  <si>
    <t>Sandra Rocío Hernández Garzón</t>
  </si>
  <si>
    <t>LAD</t>
  </si>
  <si>
    <t>Luisa Fernanda Ovalle guzman</t>
  </si>
  <si>
    <t>Dallana issabela Ovalle guzman</t>
  </si>
  <si>
    <t>Juan Carlos Valero Córdoba</t>
  </si>
  <si>
    <t>Sharolt yineth bautista Guzmán</t>
  </si>
  <si>
    <t xml:space="preserve">Marisol forero </t>
  </si>
  <si>
    <t>Diego Alejandro Rodriguez Gómez</t>
  </si>
  <si>
    <t>Hannah Gabriela Ovalle guzman</t>
  </si>
  <si>
    <t>R.C</t>
  </si>
  <si>
    <t xml:space="preserve">Juan Esteban Valero Ovalle </t>
  </si>
  <si>
    <t>SGURO</t>
  </si>
  <si>
    <t xml:space="preserve">José Pompilio Medina Moya </t>
  </si>
  <si>
    <t>GABRIEL CABRERA PINZON</t>
  </si>
  <si>
    <t xml:space="preserve">MARIA FERNANDA BENAVIDES </t>
  </si>
  <si>
    <t>CC</t>
  </si>
  <si>
    <t>Eileen Mariana Ricaurte Zabala</t>
  </si>
  <si>
    <t>Anapoima</t>
  </si>
  <si>
    <t>Apulo</t>
  </si>
  <si>
    <t>Tocaima</t>
  </si>
  <si>
    <t>empresa</t>
  </si>
  <si>
    <t>Transporte</t>
  </si>
  <si>
    <t>ingreso + almuerzo</t>
  </si>
  <si>
    <t>seguro</t>
  </si>
  <si>
    <t>refrigerio</t>
  </si>
  <si>
    <t xml:space="preserve">andrea </t>
  </si>
  <si>
    <t>nieta</t>
  </si>
  <si>
    <t>2 pasajeros extra</t>
  </si>
  <si>
    <t>total</t>
  </si>
  <si>
    <t>ingresos</t>
  </si>
  <si>
    <t>utilidad</t>
  </si>
  <si>
    <t>Columna1</t>
  </si>
  <si>
    <t>Columna2</t>
  </si>
  <si>
    <t>lad</t>
  </si>
  <si>
    <t>COMISIONISTAS</t>
  </si>
  <si>
    <t>PAX</t>
  </si>
  <si>
    <t>VALOR</t>
  </si>
  <si>
    <t>MAFE</t>
  </si>
  <si>
    <t>TOTAL</t>
  </si>
  <si>
    <t xml:space="preserve">GASTOS Y COSTOS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</si>
</sst>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44" fontId="0" fillId="0" borderId="0" xfId="1" applyFont="1"/>
    <xf numFmtId="44" fontId="0" fillId="0" borderId="0" xfId="1" applyFont="1" applyAlignment="1">
      <alignment horizontal="center"/>
    </xf>
    <xf numFmtId="0" fontId="0" fillId="0" borderId="2" xfId="0" applyBorder="1"/>
    <xf numFmtId="44" fontId="0" fillId="0" borderId="2" xfId="1" applyFont="1" applyBorder="1"/>
    <xf numFmtId="0" fontId="0" fillId="0" borderId="2" xfId="1" applyNumberFormat="1" applyFont="1" applyBorder="1" applyAlignment="1">
      <alignment horizontal="center"/>
    </xf>
    <xf numFmtId="44" fontId="0" fillId="0" borderId="2" xfId="0" applyNumberFormat="1" applyBorder="1"/>
    <xf numFmtId="0" fontId="2" fillId="0" borderId="2" xfId="0" applyFont="1" applyBorder="1"/>
    <xf numFmtId="44" fontId="2" fillId="0" borderId="2" xfId="1" applyFont="1" applyBorder="1"/>
    <xf numFmtId="0" fontId="2" fillId="0" borderId="2" xfId="0" applyFont="1" applyBorder="1" applyAlignment="1">
      <alignment horizontal="center"/>
    </xf>
    <xf numFmtId="44" fontId="0" fillId="0" borderId="4" xfId="1" applyFont="1" applyBorder="1"/>
    <xf numFmtId="0" fontId="0" fillId="0" borderId="3" xfId="0" applyBorder="1"/>
    <xf numFmtId="44" fontId="0" fillId="0" borderId="3" xfId="1" applyFont="1" applyBorder="1"/>
    <xf numFmtId="44" fontId="0" fillId="0" borderId="5" xfId="1" applyFont="1" applyBorder="1"/>
    <xf numFmtId="0" fontId="0" fillId="4" borderId="4" xfId="0" applyFill="1" applyBorder="1"/>
    <xf numFmtId="0" fontId="0" fillId="5" borderId="5" xfId="0" applyFill="1" applyBorder="1"/>
    <xf numFmtId="0" fontId="0" fillId="2" borderId="5" xfId="0" applyFill="1" applyBorder="1"/>
  </cellXfs>
  <cellStyles count="2">
    <cellStyle name="Moneda" xfId="1" builtinId="4"/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F2451-142B-4BE1-AF43-4017DC8317E3}" name="Tabla1" displayName="Tabla1" ref="B3:J30" totalsRowCount="1" headerRowDxfId="16">
  <autoFilter ref="B3:J29" xr:uid="{B40F2451-142B-4BE1-AF43-4017DC8317E3}"/>
  <tableColumns count="9">
    <tableColumn id="1" xr3:uid="{8A6B238F-F0BF-4D08-9BB6-47ABECF4CD01}" name="N°" dataDxfId="15" totalsRowDxfId="7"/>
    <tableColumn id="2" xr3:uid="{BDD5278F-E53E-4B31-809F-A8B0C1319E98}" name="NOMBRE"/>
    <tableColumn id="3" xr3:uid="{8FE049D1-E600-4B12-B7D6-AC04388B0E7C}" name="T.D" dataDxfId="14" totalsRowDxfId="6"/>
    <tableColumn id="4" xr3:uid="{ABAB9460-7835-4D09-BDA4-9B8B8FAD6132}" name="N.D" dataDxfId="13" totalsRowDxfId="5"/>
    <tableColumn id="5" xr3:uid="{10B9FA97-E146-4F72-A383-3C9AEC2876CB}" name="FECHA DE NACIMIENTO" dataDxfId="12" totalsRowDxfId="4"/>
    <tableColumn id="6" xr3:uid="{5033357B-5D72-4B25-A62D-1CE58245E18B}" name="TELEFONO" dataDxfId="11" totalsRowDxfId="3"/>
    <tableColumn id="9" xr3:uid="{49877B5A-16AC-4284-9E19-81F31E5EF0B6}" name="Columna2" totalsRowFunction="sum" dataDxfId="9" totalsRowDxfId="2" dataCellStyle="Moneda" totalsRowCellStyle="Moneda"/>
    <tableColumn id="8" xr3:uid="{60F38DB1-FD48-42A7-9DD6-001F1A54A03D}" name="Columna1" totalsRowFunction="sum" dataDxfId="8" totalsRowDxfId="1" dataCellStyle="Moneda" totalsRowCellStyle="Moneda">
      <calculatedColumnFormula>Tabla1[[#This Row],[Columna2]]-15000</calculatedColumnFormula>
    </tableColumn>
    <tableColumn id="7" xr3:uid="{5B03DDDA-A180-4F69-B9C6-EE57AE3B2847}" name="COMISIONISTA" dataDxfId="1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10BE-0F9A-4F43-9A2E-B477E7648FD8}">
  <dimension ref="B3:P30"/>
  <sheetViews>
    <sheetView tabSelected="1" topLeftCell="A7" zoomScale="80" workbookViewId="0">
      <selection activeCell="L21" sqref="L21"/>
    </sheetView>
  </sheetViews>
  <sheetFormatPr baseColWidth="10" defaultRowHeight="15" x14ac:dyDescent="0.25"/>
  <cols>
    <col min="2" max="2" width="7.7109375" style="1" bestFit="1" customWidth="1"/>
    <col min="3" max="3" width="35" bestFit="1" customWidth="1"/>
    <col min="4" max="4" width="11.42578125" style="1"/>
    <col min="5" max="5" width="13.5703125" style="1" bestFit="1" customWidth="1"/>
    <col min="6" max="6" width="23.7109375" style="1" customWidth="1"/>
    <col min="7" max="7" width="12.28515625" style="1" customWidth="1"/>
    <col min="8" max="8" width="17.140625" style="12" bestFit="1" customWidth="1"/>
    <col min="9" max="9" width="15.7109375" style="12" bestFit="1" customWidth="1"/>
    <col min="10" max="10" width="16.42578125" style="1" customWidth="1"/>
    <col min="12" max="12" width="20" bestFit="1" customWidth="1"/>
    <col min="13" max="13" width="15.5703125" style="11" bestFit="1" customWidth="1"/>
    <col min="14" max="14" width="13.85546875" bestFit="1" customWidth="1"/>
  </cols>
  <sheetData>
    <row r="3" spans="2:16" s="1" customFormat="1" x14ac:dyDescent="0.25">
      <c r="B3" s="1" t="s">
        <v>0</v>
      </c>
      <c r="C3" s="1" t="s">
        <v>1</v>
      </c>
      <c r="D3" s="1" t="s">
        <v>6</v>
      </c>
      <c r="E3" s="1" t="s">
        <v>2</v>
      </c>
      <c r="F3" s="1" t="s">
        <v>3</v>
      </c>
      <c r="G3" s="1" t="s">
        <v>4</v>
      </c>
      <c r="H3" s="12" t="s">
        <v>52</v>
      </c>
      <c r="I3" s="12" t="s">
        <v>51</v>
      </c>
      <c r="J3" s="1" t="s">
        <v>5</v>
      </c>
      <c r="M3" s="12"/>
    </row>
    <row r="4" spans="2:16" x14ac:dyDescent="0.25">
      <c r="B4" s="1">
        <v>1</v>
      </c>
      <c r="C4" s="9" t="s">
        <v>8</v>
      </c>
      <c r="D4" s="1" t="s">
        <v>7</v>
      </c>
      <c r="E4" s="2">
        <v>21015224</v>
      </c>
      <c r="F4" s="3"/>
      <c r="H4" s="12">
        <v>140000</v>
      </c>
      <c r="I4" s="12">
        <f>Tabla1[[#This Row],[Columna2]]-15000</f>
        <v>125000</v>
      </c>
      <c r="J4" s="1" t="s">
        <v>15</v>
      </c>
      <c r="L4" s="7" t="s">
        <v>37</v>
      </c>
    </row>
    <row r="5" spans="2:16" x14ac:dyDescent="0.25">
      <c r="B5" s="1">
        <v>2</v>
      </c>
      <c r="C5" s="9" t="s">
        <v>9</v>
      </c>
      <c r="D5" s="1" t="s">
        <v>7</v>
      </c>
      <c r="E5" s="2">
        <v>21018993</v>
      </c>
      <c r="F5" s="3"/>
      <c r="H5" s="12">
        <v>140000</v>
      </c>
      <c r="I5" s="12">
        <f>Tabla1[[#This Row],[Columna2]]-15000</f>
        <v>125000</v>
      </c>
      <c r="J5" s="1" t="s">
        <v>15</v>
      </c>
      <c r="L5" s="8" t="s">
        <v>38</v>
      </c>
    </row>
    <row r="6" spans="2:16" x14ac:dyDescent="0.25">
      <c r="B6" s="1">
        <v>3</v>
      </c>
      <c r="C6" s="9" t="s">
        <v>10</v>
      </c>
      <c r="D6" s="1" t="s">
        <v>7</v>
      </c>
      <c r="E6" s="2">
        <v>21017918</v>
      </c>
      <c r="F6" s="3"/>
      <c r="H6" s="12">
        <v>140000</v>
      </c>
      <c r="I6" s="12">
        <f>Tabla1[[#This Row],[Columna2]]-15000</f>
        <v>125000</v>
      </c>
      <c r="J6" s="1" t="s">
        <v>15</v>
      </c>
      <c r="L6" s="9" t="s">
        <v>39</v>
      </c>
    </row>
    <row r="7" spans="2:16" x14ac:dyDescent="0.25">
      <c r="B7" s="1">
        <v>4</v>
      </c>
      <c r="C7" s="9" t="s">
        <v>11</v>
      </c>
      <c r="D7" s="1" t="s">
        <v>7</v>
      </c>
      <c r="E7" s="2">
        <v>80356924</v>
      </c>
      <c r="F7" s="3"/>
      <c r="H7" s="12">
        <v>140000</v>
      </c>
      <c r="I7" s="12">
        <f>Tabla1[[#This Row],[Columna2]]-15000</f>
        <v>125000</v>
      </c>
      <c r="J7" s="1" t="s">
        <v>15</v>
      </c>
    </row>
    <row r="8" spans="2:16" x14ac:dyDescent="0.25">
      <c r="B8" s="1">
        <v>5</v>
      </c>
      <c r="C8" s="8" t="s">
        <v>12</v>
      </c>
      <c r="D8" s="1" t="s">
        <v>7</v>
      </c>
      <c r="E8" s="2">
        <v>20871444</v>
      </c>
      <c r="F8" s="3"/>
      <c r="H8" s="12">
        <v>140000</v>
      </c>
      <c r="I8" s="12">
        <f>Tabla1[[#This Row],[Columna2]]-15000</f>
        <v>125000</v>
      </c>
      <c r="J8" s="1" t="s">
        <v>21</v>
      </c>
    </row>
    <row r="9" spans="2:16" x14ac:dyDescent="0.25">
      <c r="B9" s="1">
        <v>6</v>
      </c>
      <c r="C9" s="7" t="s">
        <v>13</v>
      </c>
      <c r="D9" s="1" t="s">
        <v>7</v>
      </c>
      <c r="E9" s="2">
        <v>20358509</v>
      </c>
      <c r="F9" s="3"/>
      <c r="H9" s="12">
        <v>140000</v>
      </c>
      <c r="I9" s="12">
        <f>Tabla1[[#This Row],[Columna2]]-15000</f>
        <v>125000</v>
      </c>
      <c r="J9" s="1" t="s">
        <v>15</v>
      </c>
      <c r="L9" s="19" t="s">
        <v>59</v>
      </c>
      <c r="M9" s="19"/>
    </row>
    <row r="10" spans="2:16" x14ac:dyDescent="0.25">
      <c r="B10" s="1">
        <v>7</v>
      </c>
      <c r="C10" s="7" t="s">
        <v>14</v>
      </c>
      <c r="D10" s="1" t="s">
        <v>7</v>
      </c>
      <c r="E10" s="2">
        <v>20357504</v>
      </c>
      <c r="F10" s="3"/>
      <c r="H10" s="12">
        <v>140000</v>
      </c>
      <c r="I10" s="12">
        <f>Tabla1[[#This Row],[Columna2]]-15000</f>
        <v>125000</v>
      </c>
      <c r="J10" s="1" t="s">
        <v>15</v>
      </c>
      <c r="L10" s="13" t="s">
        <v>41</v>
      </c>
      <c r="M10" s="14">
        <v>1600000</v>
      </c>
    </row>
    <row r="11" spans="2:16" x14ac:dyDescent="0.25">
      <c r="B11" s="1">
        <v>8</v>
      </c>
      <c r="C11" s="9" t="s">
        <v>16</v>
      </c>
      <c r="D11" s="1" t="s">
        <v>17</v>
      </c>
      <c r="E11" s="2">
        <v>175626328</v>
      </c>
      <c r="F11" s="3"/>
      <c r="H11" s="12">
        <v>140000</v>
      </c>
      <c r="I11" s="12">
        <f>Tabla1[[#This Row],[Columna2]]-15000</f>
        <v>125000</v>
      </c>
      <c r="J11" s="1" t="s">
        <v>15</v>
      </c>
      <c r="L11" s="13" t="s">
        <v>42</v>
      </c>
      <c r="M11" s="14">
        <f>21*30000+148000</f>
        <v>778000</v>
      </c>
    </row>
    <row r="12" spans="2:16" x14ac:dyDescent="0.25">
      <c r="B12" s="1">
        <v>9</v>
      </c>
      <c r="C12" s="9" t="s">
        <v>18</v>
      </c>
      <c r="D12" s="1" t="s">
        <v>7</v>
      </c>
      <c r="E12" s="2">
        <v>21017831</v>
      </c>
      <c r="F12" s="3"/>
      <c r="G12" s="1">
        <v>3125345700</v>
      </c>
      <c r="H12" s="12">
        <v>140000</v>
      </c>
      <c r="I12" s="12">
        <f>Tabla1[[#This Row],[Columna2]]-15000</f>
        <v>125000</v>
      </c>
      <c r="J12" s="1" t="s">
        <v>15</v>
      </c>
      <c r="L12" s="13" t="s">
        <v>43</v>
      </c>
      <c r="M12" s="14">
        <v>54000</v>
      </c>
    </row>
    <row r="13" spans="2:16" ht="15.75" thickBot="1" x14ac:dyDescent="0.3">
      <c r="B13" s="1">
        <v>10</v>
      </c>
      <c r="C13" s="9" t="s">
        <v>19</v>
      </c>
      <c r="D13" s="1" t="s">
        <v>7</v>
      </c>
      <c r="E13" s="2">
        <v>80355606</v>
      </c>
      <c r="F13" s="3"/>
      <c r="H13" s="12">
        <v>140000</v>
      </c>
      <c r="I13" s="12">
        <f>Tabla1[[#This Row],[Columna2]]-15000</f>
        <v>125000</v>
      </c>
      <c r="J13" s="1" t="s">
        <v>15</v>
      </c>
      <c r="L13" s="21" t="s">
        <v>44</v>
      </c>
      <c r="M13" s="22">
        <v>115000</v>
      </c>
    </row>
    <row r="14" spans="2:16" ht="15.75" thickBot="1" x14ac:dyDescent="0.3">
      <c r="B14" s="1">
        <v>11</v>
      </c>
      <c r="C14" s="9" t="s">
        <v>20</v>
      </c>
      <c r="D14" s="1" t="s">
        <v>7</v>
      </c>
      <c r="E14" s="2">
        <v>21016710</v>
      </c>
      <c r="F14" s="3"/>
      <c r="G14" s="1">
        <v>3008769900</v>
      </c>
      <c r="H14" s="12">
        <v>140000</v>
      </c>
      <c r="I14" s="12">
        <f>Tabla1[[#This Row],[Columna2]]-15000</f>
        <v>125000</v>
      </c>
      <c r="J14" s="1" t="s">
        <v>15</v>
      </c>
      <c r="L14" s="25" t="s">
        <v>48</v>
      </c>
      <c r="M14" s="23">
        <f>SUM(M10:M13)</f>
        <v>2547000</v>
      </c>
      <c r="P14">
        <f>4*37</f>
        <v>148</v>
      </c>
    </row>
    <row r="15" spans="2:16" ht="15.75" thickBot="1" x14ac:dyDescent="0.3">
      <c r="B15" s="1">
        <v>12</v>
      </c>
      <c r="C15" s="9" t="s">
        <v>22</v>
      </c>
      <c r="D15" s="1" t="s">
        <v>7</v>
      </c>
      <c r="E15" s="2">
        <v>1075629178</v>
      </c>
      <c r="F15" s="3"/>
      <c r="H15" s="12">
        <v>140000</v>
      </c>
      <c r="I15" s="12">
        <f>Tabla1[[#This Row],[Columna2]]-15000</f>
        <v>125000</v>
      </c>
      <c r="J15" s="1" t="s">
        <v>15</v>
      </c>
      <c r="L15" s="26" t="s">
        <v>49</v>
      </c>
      <c r="M15" s="23">
        <f>Tabla1[[#Totals],[Columna1]]</f>
        <v>2905000</v>
      </c>
    </row>
    <row r="16" spans="2:16" x14ac:dyDescent="0.25">
      <c r="B16" s="1">
        <v>13</v>
      </c>
      <c r="C16" s="9" t="s">
        <v>23</v>
      </c>
      <c r="D16" s="1" t="s">
        <v>17</v>
      </c>
      <c r="E16" s="2">
        <v>1075629589</v>
      </c>
      <c r="F16" s="3"/>
      <c r="H16" s="12">
        <v>140000</v>
      </c>
      <c r="I16" s="12">
        <f>Tabla1[[#This Row],[Columna2]]-15000</f>
        <v>125000</v>
      </c>
      <c r="J16" s="1" t="s">
        <v>15</v>
      </c>
      <c r="L16" s="24" t="s">
        <v>50</v>
      </c>
      <c r="M16" s="20">
        <f>M15-M14</f>
        <v>358000</v>
      </c>
    </row>
    <row r="17" spans="2:14" x14ac:dyDescent="0.25">
      <c r="B17" s="1">
        <v>14</v>
      </c>
      <c r="C17" s="9" t="s">
        <v>24</v>
      </c>
      <c r="D17" s="1" t="s">
        <v>7</v>
      </c>
      <c r="E17" s="2">
        <v>80126435</v>
      </c>
      <c r="F17" s="3"/>
      <c r="H17" s="12">
        <v>140000</v>
      </c>
      <c r="I17" s="12">
        <f>Tabla1[[#This Row],[Columna2]]-15000</f>
        <v>125000</v>
      </c>
      <c r="J17" s="1" t="s">
        <v>15</v>
      </c>
    </row>
    <row r="18" spans="2:14" x14ac:dyDescent="0.25">
      <c r="B18" s="1">
        <v>15</v>
      </c>
      <c r="C18" s="9" t="s">
        <v>25</v>
      </c>
      <c r="D18" s="1" t="s">
        <v>17</v>
      </c>
      <c r="E18" s="2">
        <v>1075625459</v>
      </c>
      <c r="F18" s="3"/>
      <c r="H18" s="12">
        <v>140000</v>
      </c>
      <c r="I18" s="12">
        <f>Tabla1[[#This Row],[Columna2]]-15000</f>
        <v>125000</v>
      </c>
      <c r="J18" s="1" t="s">
        <v>15</v>
      </c>
    </row>
    <row r="19" spans="2:14" x14ac:dyDescent="0.25">
      <c r="B19" s="1">
        <v>16</v>
      </c>
      <c r="C19" s="8" t="s">
        <v>26</v>
      </c>
      <c r="D19" s="1" t="s">
        <v>7</v>
      </c>
      <c r="E19" s="2">
        <v>20872051</v>
      </c>
      <c r="F19" s="3"/>
      <c r="H19" s="12">
        <v>140000</v>
      </c>
      <c r="I19" s="12">
        <f>Tabla1[[#This Row],[Columna2]]-15000</f>
        <v>125000</v>
      </c>
      <c r="J19" s="1" t="s">
        <v>21</v>
      </c>
    </row>
    <row r="20" spans="2:14" x14ac:dyDescent="0.25">
      <c r="B20" s="1">
        <v>17</v>
      </c>
      <c r="C20" s="8" t="s">
        <v>32</v>
      </c>
      <c r="D20" s="1" t="s">
        <v>7</v>
      </c>
      <c r="E20" s="2">
        <v>11451670</v>
      </c>
      <c r="F20" s="3"/>
      <c r="H20" s="12">
        <v>140000</v>
      </c>
      <c r="I20" s="12">
        <f>Tabla1[[#This Row],[Columna2]]-15000</f>
        <v>125000</v>
      </c>
      <c r="J20" s="1" t="s">
        <v>21</v>
      </c>
      <c r="L20" s="17" t="s">
        <v>54</v>
      </c>
      <c r="M20" s="18" t="s">
        <v>55</v>
      </c>
      <c r="N20" s="17" t="s">
        <v>56</v>
      </c>
    </row>
    <row r="21" spans="2:14" x14ac:dyDescent="0.25">
      <c r="B21" s="1">
        <v>18</v>
      </c>
      <c r="C21" s="9" t="s">
        <v>27</v>
      </c>
      <c r="D21" s="1" t="s">
        <v>7</v>
      </c>
      <c r="E21" s="2">
        <v>1072962814</v>
      </c>
      <c r="F21" s="3"/>
      <c r="H21" s="12">
        <v>140000</v>
      </c>
      <c r="I21" s="12">
        <f>Tabla1[[#This Row],[Columna2]]-15000</f>
        <v>125000</v>
      </c>
      <c r="J21" s="1" t="s">
        <v>15</v>
      </c>
      <c r="L21" s="13" t="s">
        <v>57</v>
      </c>
      <c r="M21" s="15">
        <v>18</v>
      </c>
      <c r="N21" s="16">
        <f>M21*15000</f>
        <v>270000</v>
      </c>
    </row>
    <row r="22" spans="2:14" x14ac:dyDescent="0.25">
      <c r="B22" s="4"/>
      <c r="C22" s="9" t="s">
        <v>28</v>
      </c>
      <c r="D22" s="1" t="s">
        <v>29</v>
      </c>
      <c r="E22" s="2">
        <v>1075630763</v>
      </c>
      <c r="F22" s="3" t="s">
        <v>31</v>
      </c>
      <c r="H22" s="12">
        <v>15000</v>
      </c>
      <c r="I22" s="12">
        <f>Tabla1[[#This Row],[Columna2]]</f>
        <v>15000</v>
      </c>
      <c r="J22" s="1">
        <v>0</v>
      </c>
      <c r="L22" s="13" t="s">
        <v>21</v>
      </c>
      <c r="M22" s="15">
        <v>5</v>
      </c>
      <c r="N22" s="14">
        <f>M22*15000</f>
        <v>75000</v>
      </c>
    </row>
    <row r="23" spans="2:14" x14ac:dyDescent="0.25">
      <c r="B23" s="4"/>
      <c r="C23" s="9" t="s">
        <v>30</v>
      </c>
      <c r="D23" s="1" t="s">
        <v>29</v>
      </c>
      <c r="E23" s="2">
        <v>1075631126</v>
      </c>
      <c r="F23" s="3" t="s">
        <v>31</v>
      </c>
      <c r="H23" s="12">
        <v>15000</v>
      </c>
      <c r="I23" s="12">
        <f>Tabla1[[#This Row],[Columna2]]</f>
        <v>15000</v>
      </c>
      <c r="J23" s="1">
        <v>0</v>
      </c>
      <c r="L23" s="13" t="s">
        <v>58</v>
      </c>
      <c r="M23" s="15">
        <f>SUM(M21:M22)</f>
        <v>23</v>
      </c>
      <c r="N23" s="16">
        <f>SUM(N21:N22)</f>
        <v>345000</v>
      </c>
    </row>
    <row r="24" spans="2:14" x14ac:dyDescent="0.25">
      <c r="B24" s="1">
        <v>19</v>
      </c>
      <c r="C24" s="10" t="s">
        <v>33</v>
      </c>
      <c r="D24" s="5" t="s">
        <v>7</v>
      </c>
      <c r="E24" s="6">
        <v>79656808</v>
      </c>
      <c r="F24" s="3"/>
      <c r="H24" s="12">
        <v>0</v>
      </c>
      <c r="I24" s="12">
        <v>0</v>
      </c>
      <c r="J24" s="1" t="s">
        <v>40</v>
      </c>
    </row>
    <row r="25" spans="2:14" x14ac:dyDescent="0.25">
      <c r="B25" s="1">
        <v>20</v>
      </c>
      <c r="C25" s="9" t="s">
        <v>34</v>
      </c>
      <c r="D25" s="1" t="s">
        <v>35</v>
      </c>
      <c r="E25" s="2">
        <v>1075628177</v>
      </c>
      <c r="F25" s="3"/>
      <c r="H25" s="12">
        <v>0</v>
      </c>
      <c r="I25" s="12">
        <v>0</v>
      </c>
      <c r="J25" s="1" t="s">
        <v>40</v>
      </c>
    </row>
    <row r="26" spans="2:14" x14ac:dyDescent="0.25">
      <c r="B26" s="1">
        <v>21</v>
      </c>
      <c r="C26" s="9" t="s">
        <v>36</v>
      </c>
      <c r="D26" s="1" t="s">
        <v>17</v>
      </c>
      <c r="E26" s="2">
        <v>1075626070</v>
      </c>
      <c r="F26" s="3"/>
      <c r="H26" s="12">
        <v>140000</v>
      </c>
      <c r="I26" s="12">
        <f>Tabla1[[#This Row],[Columna2]]-15000</f>
        <v>125000</v>
      </c>
      <c r="J26" s="1" t="s">
        <v>15</v>
      </c>
    </row>
    <row r="27" spans="2:14" x14ac:dyDescent="0.25">
      <c r="C27" t="s">
        <v>45</v>
      </c>
      <c r="E27" s="2"/>
      <c r="F27" s="3"/>
      <c r="H27" s="12">
        <v>140000</v>
      </c>
      <c r="I27" s="12">
        <f>Tabla1[[#This Row],[Columna2]]-15000</f>
        <v>125000</v>
      </c>
      <c r="J27" s="1" t="s">
        <v>53</v>
      </c>
    </row>
    <row r="28" spans="2:14" x14ac:dyDescent="0.25">
      <c r="C28" t="s">
        <v>46</v>
      </c>
      <c r="E28" s="2"/>
      <c r="F28" s="3"/>
      <c r="H28" s="12">
        <v>140000</v>
      </c>
      <c r="I28" s="12">
        <f>Tabla1[[#This Row],[Columna2]]-15000</f>
        <v>125000</v>
      </c>
      <c r="J28" s="1" t="s">
        <v>53</v>
      </c>
    </row>
    <row r="29" spans="2:14" x14ac:dyDescent="0.25">
      <c r="C29" t="s">
        <v>47</v>
      </c>
      <c r="E29" s="2"/>
      <c r="F29" s="3"/>
      <c r="H29" s="12">
        <v>280000</v>
      </c>
      <c r="I29" s="12">
        <f>Tabla1[[#This Row],[Columna2]]-30000</f>
        <v>250000</v>
      </c>
      <c r="J29" s="1" t="s">
        <v>15</v>
      </c>
      <c r="M29" s="11">
        <f>M15+N23</f>
        <v>3250000</v>
      </c>
    </row>
    <row r="30" spans="2:14" x14ac:dyDescent="0.25">
      <c r="E30" s="2"/>
      <c r="F30" s="3"/>
      <c r="H30" s="12">
        <f>SUBTOTAL(109,Tabla1[Columna2])</f>
        <v>3250000</v>
      </c>
      <c r="I30" s="12">
        <f>SUBTOTAL(109,Tabla1[Columna1])</f>
        <v>2905000</v>
      </c>
    </row>
  </sheetData>
  <mergeCells count="1">
    <mergeCell ref="L9:M9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2024-01-24T13:45:16Z</dcterms:created>
  <dcterms:modified xsi:type="dcterms:W3CDTF">2024-03-11T21:32:29Z</dcterms:modified>
</cp:coreProperties>
</file>