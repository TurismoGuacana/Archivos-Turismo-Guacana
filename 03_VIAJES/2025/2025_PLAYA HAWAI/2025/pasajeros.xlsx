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Desktop\Turismo Guacana\PLAYA HAWAI\2025\"/>
    </mc:Choice>
  </mc:AlternateContent>
  <xr:revisionPtr revIDLastSave="0" documentId="13_ncr:1_{D296204E-E9A6-4109-9ECE-C72F55640E0B}" xr6:coauthVersionLast="47" xr6:coauthVersionMax="47" xr10:uidLastSave="{00000000-0000-0000-0000-000000000000}"/>
  <bookViews>
    <workbookView xWindow="-120" yWindow="-120" windowWidth="20730" windowHeight="11160" xr2:uid="{F5080D7D-DED8-4C3D-9131-198D5981A464}"/>
  </bookViews>
  <sheets>
    <sheet name="Hoja1" sheetId="1" r:id="rId1"/>
    <sheet name="Hoja2" sheetId="2" r:id="rId2"/>
  </sheets>
  <definedNames>
    <definedName name="_xlnm.Print_Area" localSheetId="0">Hoja1!$C$1:$K$47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3" i="1" l="1"/>
  <c r="I46" i="1"/>
  <c r="I45" i="1"/>
  <c r="I44" i="1"/>
  <c r="I47" i="1" s="1"/>
</calcChain>
</file>

<file path=xl/sharedStrings.xml><?xml version="1.0" encoding="utf-8"?>
<sst xmlns="http://schemas.openxmlformats.org/spreadsheetml/2006/main" count="263" uniqueCount="84">
  <si>
    <t>#</t>
  </si>
  <si>
    <t>NOMBRE</t>
  </si>
  <si>
    <t>T.D</t>
  </si>
  <si>
    <t># DOC</t>
  </si>
  <si>
    <t>MUNICIPIO</t>
  </si>
  <si>
    <t>COMISIONISTA</t>
  </si>
  <si>
    <t>VALOR</t>
  </si>
  <si>
    <t>COMISION</t>
  </si>
  <si>
    <t>Carmen Elisa Gonzalez</t>
  </si>
  <si>
    <t>cc</t>
  </si>
  <si>
    <t>CEL</t>
  </si>
  <si>
    <t>317 779 3004</t>
  </si>
  <si>
    <t xml:space="preserve">Patricia Cortes </t>
  </si>
  <si>
    <t>Tocaima</t>
  </si>
  <si>
    <t>310 781 7921</t>
  </si>
  <si>
    <t>Mireya</t>
  </si>
  <si>
    <t>Blanca Nubia Olarte Garzón</t>
  </si>
  <si>
    <t>321 502 3426</t>
  </si>
  <si>
    <t>María Alejandra Velez Gonzalez</t>
  </si>
  <si>
    <t>Ti</t>
  </si>
  <si>
    <t>Apulo</t>
  </si>
  <si>
    <t>LAD</t>
  </si>
  <si>
    <t>María Fernanda Velez Gonzalez</t>
  </si>
  <si>
    <t>Meseta</t>
  </si>
  <si>
    <t>12 años</t>
  </si>
  <si>
    <t>17 años</t>
  </si>
  <si>
    <t>Leidy Johana Gonzalez Gil</t>
  </si>
  <si>
    <t>305 290 7323</t>
  </si>
  <si>
    <t>Carolayn Chivara Paez</t>
  </si>
  <si>
    <t>Cristopher Matías Chivara Paez</t>
  </si>
  <si>
    <t>RC</t>
  </si>
  <si>
    <t>Anyi Natalia Sanchez Gonzalez</t>
  </si>
  <si>
    <t>Genoveva Gonzalez</t>
  </si>
  <si>
    <t>Martina Cañon Sanchez</t>
  </si>
  <si>
    <t>2 años</t>
  </si>
  <si>
    <t>11 meses</t>
  </si>
  <si>
    <t>Steven Andres Ramirez Hernandez</t>
  </si>
  <si>
    <t>Nancy Sosa Soba</t>
  </si>
  <si>
    <t>321 315 574</t>
  </si>
  <si>
    <t>323 809 30</t>
  </si>
  <si>
    <t>319 513 5749</t>
  </si>
  <si>
    <t>María Fernanda Ramirez Sosa</t>
  </si>
  <si>
    <t>14 años</t>
  </si>
  <si>
    <t>Andres Felipe Ramirez Sosa</t>
  </si>
  <si>
    <t>Miguel Angel Ramirez Sanabria</t>
  </si>
  <si>
    <t>314 216 6544</t>
  </si>
  <si>
    <t>Maribel Martinez Sanabria</t>
  </si>
  <si>
    <t>314 390 1697</t>
  </si>
  <si>
    <t>Divier Gabriel Sanchez</t>
  </si>
  <si>
    <t>Yasmin Rodriguez</t>
  </si>
  <si>
    <t>Anapoima</t>
  </si>
  <si>
    <t>316 049 6103</t>
  </si>
  <si>
    <t>Edgar Olarte</t>
  </si>
  <si>
    <t>314 458 4202</t>
  </si>
  <si>
    <t xml:space="preserve">Stella Urrea </t>
  </si>
  <si>
    <t>Martha Isabel Moncaleano</t>
  </si>
  <si>
    <t>320 322 9196</t>
  </si>
  <si>
    <t>Edith</t>
  </si>
  <si>
    <t>Juan Sebastián Ramos Bazurto</t>
  </si>
  <si>
    <t xml:space="preserve">Alfonso Moreno Silva </t>
  </si>
  <si>
    <t>Jhon Sebastián Rodriguez</t>
  </si>
  <si>
    <t>314 763 2407</t>
  </si>
  <si>
    <t>Mirella Reyes</t>
  </si>
  <si>
    <t>Ligia Marbin Diaz Palacios</t>
  </si>
  <si>
    <t>Graciela Diaz Palacios</t>
  </si>
  <si>
    <t>311 871 1852</t>
  </si>
  <si>
    <t xml:space="preserve">Mersedes Rincón Vargas </t>
  </si>
  <si>
    <t>Elisabeth Gomez de Fuertes</t>
  </si>
  <si>
    <t>Martin Rodriguez Garzon</t>
  </si>
  <si>
    <t>Emilia Guevara Morales</t>
  </si>
  <si>
    <t>Alfonso Guevara Martinez</t>
  </si>
  <si>
    <t>Laura Marcela Morales Lesmes</t>
  </si>
  <si>
    <t>10 años</t>
  </si>
  <si>
    <t>Isabel Espinosa de Rodriguez</t>
  </si>
  <si>
    <t>Carlina Padilla Quiroga</t>
  </si>
  <si>
    <t>Isabel</t>
  </si>
  <si>
    <t>Luis Alberto Duarte Molina</t>
  </si>
  <si>
    <t>empresa</t>
  </si>
  <si>
    <t>7953867+D13:F408</t>
  </si>
  <si>
    <t>APULO</t>
  </si>
  <si>
    <t>ANAPOIMA</t>
  </si>
  <si>
    <t>TOCAIMA</t>
  </si>
  <si>
    <t>MESETA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</si>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</sst>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1BE01-E42A-4208-90D7-47C4E370ED31}">
  <dimension ref="C3:K47"/>
  <sheetViews>
    <sheetView tabSelected="1" topLeftCell="A26" zoomScaleNormal="100" workbookViewId="0">
      <selection activeCell="H44" sqref="H44"/>
    </sheetView>
  </sheetViews>
  <sheetFormatPr baseColWidth="10" defaultRowHeight="14.25"/>
  <cols>
    <col min="3" max="3" width="3" bestFit="1" customWidth="1"/>
    <col min="4" max="4" width="31" bestFit="1" customWidth="1"/>
    <col min="9" max="9" width="13.875" bestFit="1" customWidth="1"/>
  </cols>
  <sheetData>
    <row r="3" spans="3:11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10</v>
      </c>
      <c r="I3" s="1" t="s">
        <v>5</v>
      </c>
      <c r="J3" s="1" t="s">
        <v>6</v>
      </c>
      <c r="K3" s="1" t="s">
        <v>7</v>
      </c>
    </row>
    <row r="4" spans="3:11">
      <c r="C4" s="1">
        <v>1</v>
      </c>
      <c r="D4" s="1" t="s">
        <v>8</v>
      </c>
      <c r="E4" s="1" t="s">
        <v>9</v>
      </c>
      <c r="F4" s="1">
        <v>35504848</v>
      </c>
      <c r="G4" s="3" t="s">
        <v>13</v>
      </c>
      <c r="H4" s="1" t="s">
        <v>11</v>
      </c>
      <c r="I4" s="1" t="s">
        <v>21</v>
      </c>
      <c r="J4" s="1"/>
      <c r="K4" s="1"/>
    </row>
    <row r="5" spans="3:11">
      <c r="C5" s="1">
        <v>2</v>
      </c>
      <c r="D5" s="1" t="s">
        <v>12</v>
      </c>
      <c r="E5" s="1" t="s">
        <v>9</v>
      </c>
      <c r="F5" s="1">
        <v>51147869</v>
      </c>
      <c r="G5" s="3" t="s">
        <v>13</v>
      </c>
      <c r="H5" s="1"/>
      <c r="I5" s="1" t="s">
        <v>21</v>
      </c>
      <c r="J5" s="1"/>
      <c r="K5" s="1"/>
    </row>
    <row r="6" spans="3:11">
      <c r="C6" s="1">
        <v>3</v>
      </c>
      <c r="D6" s="1" t="s">
        <v>62</v>
      </c>
      <c r="E6" s="1" t="s">
        <v>9</v>
      </c>
      <c r="F6" s="1">
        <v>21012620</v>
      </c>
      <c r="G6" s="3" t="s">
        <v>13</v>
      </c>
      <c r="H6" s="1" t="s">
        <v>14</v>
      </c>
      <c r="I6" s="1" t="s">
        <v>15</v>
      </c>
      <c r="J6" s="1">
        <v>60</v>
      </c>
      <c r="K6" s="1"/>
    </row>
    <row r="7" spans="3:11">
      <c r="C7" s="1">
        <v>4</v>
      </c>
      <c r="D7" s="1" t="s">
        <v>63</v>
      </c>
      <c r="E7" s="1" t="s">
        <v>9</v>
      </c>
      <c r="F7" s="1">
        <v>21015380</v>
      </c>
      <c r="G7" s="3" t="s">
        <v>13</v>
      </c>
      <c r="H7" s="1"/>
      <c r="I7" s="1" t="s">
        <v>15</v>
      </c>
      <c r="J7" s="1">
        <v>60</v>
      </c>
      <c r="K7" s="1"/>
    </row>
    <row r="8" spans="3:11">
      <c r="C8" s="1">
        <v>5</v>
      </c>
      <c r="D8" s="1" t="s">
        <v>64</v>
      </c>
      <c r="E8" s="1" t="s">
        <v>9</v>
      </c>
      <c r="F8" s="1">
        <v>21014236</v>
      </c>
      <c r="G8" s="3" t="s">
        <v>13</v>
      </c>
      <c r="H8" s="1" t="s">
        <v>65</v>
      </c>
      <c r="I8" s="1" t="s">
        <v>15</v>
      </c>
      <c r="J8" s="1">
        <v>67</v>
      </c>
      <c r="K8" s="1"/>
    </row>
    <row r="9" spans="3:11">
      <c r="C9" s="1">
        <v>6</v>
      </c>
      <c r="D9" s="1" t="s">
        <v>66</v>
      </c>
      <c r="E9" s="1" t="s">
        <v>9</v>
      </c>
      <c r="F9" s="1">
        <v>21056217</v>
      </c>
      <c r="G9" s="3" t="s">
        <v>13</v>
      </c>
      <c r="H9" s="1"/>
      <c r="I9" s="1" t="s">
        <v>15</v>
      </c>
      <c r="J9" s="1">
        <v>66</v>
      </c>
      <c r="K9" s="1"/>
    </row>
    <row r="10" spans="3:11">
      <c r="C10" s="1">
        <v>7</v>
      </c>
      <c r="D10" s="1" t="s">
        <v>67</v>
      </c>
      <c r="E10" s="1" t="s">
        <v>9</v>
      </c>
      <c r="F10" s="1">
        <v>21012699</v>
      </c>
      <c r="G10" s="3" t="s">
        <v>13</v>
      </c>
      <c r="H10" s="1"/>
      <c r="I10" s="1" t="s">
        <v>15</v>
      </c>
      <c r="J10" s="1">
        <v>73</v>
      </c>
      <c r="K10" s="1"/>
    </row>
    <row r="11" spans="3:11">
      <c r="C11" s="1">
        <v>8</v>
      </c>
      <c r="D11" s="1" t="s">
        <v>16</v>
      </c>
      <c r="E11" s="1" t="s">
        <v>9</v>
      </c>
      <c r="F11" s="1">
        <v>20871935</v>
      </c>
      <c r="G11" s="5" t="s">
        <v>20</v>
      </c>
      <c r="H11" s="1" t="s">
        <v>17</v>
      </c>
      <c r="I11" s="1" t="s">
        <v>21</v>
      </c>
      <c r="J11" s="1"/>
      <c r="K11" s="1"/>
    </row>
    <row r="12" spans="3:11">
      <c r="C12" s="1">
        <v>9</v>
      </c>
      <c r="D12" s="1" t="s">
        <v>18</v>
      </c>
      <c r="E12" s="1" t="s">
        <v>19</v>
      </c>
      <c r="F12" s="1">
        <v>1073629791</v>
      </c>
      <c r="G12" s="4" t="s">
        <v>23</v>
      </c>
      <c r="H12" s="1"/>
      <c r="I12" s="1" t="s">
        <v>21</v>
      </c>
      <c r="J12" s="1" t="s">
        <v>24</v>
      </c>
      <c r="K12" s="1"/>
    </row>
    <row r="13" spans="3:11">
      <c r="C13" s="1">
        <v>10</v>
      </c>
      <c r="D13" s="1" t="s">
        <v>22</v>
      </c>
      <c r="E13" s="1" t="s">
        <v>19</v>
      </c>
      <c r="F13" s="1">
        <v>1073628658</v>
      </c>
      <c r="G13" s="4" t="s">
        <v>23</v>
      </c>
      <c r="H13" s="1"/>
      <c r="I13" s="1" t="s">
        <v>21</v>
      </c>
      <c r="J13" s="1" t="s">
        <v>25</v>
      </c>
      <c r="K13" s="1"/>
    </row>
    <row r="14" spans="3:11">
      <c r="C14" s="1">
        <v>11</v>
      </c>
      <c r="D14" s="1" t="s">
        <v>26</v>
      </c>
      <c r="E14" s="1" t="s">
        <v>9</v>
      </c>
      <c r="F14" s="1">
        <v>1073628347</v>
      </c>
      <c r="G14" s="4" t="s">
        <v>23</v>
      </c>
      <c r="H14" s="1" t="s">
        <v>27</v>
      </c>
      <c r="I14" s="1" t="s">
        <v>21</v>
      </c>
      <c r="J14" s="1"/>
      <c r="K14" s="1"/>
    </row>
    <row r="15" spans="3:11">
      <c r="C15" s="1">
        <v>12</v>
      </c>
      <c r="D15" s="1" t="s">
        <v>28</v>
      </c>
      <c r="E15" s="1" t="s">
        <v>9</v>
      </c>
      <c r="F15" s="1">
        <v>1004842463</v>
      </c>
      <c r="G15" s="5" t="s">
        <v>20</v>
      </c>
      <c r="H15" s="1"/>
      <c r="I15" s="1" t="s">
        <v>21</v>
      </c>
      <c r="J15" s="1"/>
      <c r="K15" s="1"/>
    </row>
    <row r="16" spans="3:11">
      <c r="C16" s="2"/>
      <c r="D16" s="1" t="s">
        <v>29</v>
      </c>
      <c r="E16" s="1" t="s">
        <v>30</v>
      </c>
      <c r="F16" s="1">
        <v>1072200253</v>
      </c>
      <c r="G16" s="5" t="s">
        <v>20</v>
      </c>
      <c r="H16" s="1"/>
      <c r="I16" s="1" t="s">
        <v>21</v>
      </c>
      <c r="J16" s="1" t="s">
        <v>34</v>
      </c>
      <c r="K16" s="1"/>
    </row>
    <row r="17" spans="3:11">
      <c r="C17" s="1">
        <v>13</v>
      </c>
      <c r="D17" s="1" t="s">
        <v>31</v>
      </c>
      <c r="E17" s="1" t="s">
        <v>9</v>
      </c>
      <c r="F17" s="1">
        <v>1073629709</v>
      </c>
      <c r="G17" s="5" t="s">
        <v>20</v>
      </c>
      <c r="H17" s="1"/>
      <c r="I17" s="1" t="s">
        <v>21</v>
      </c>
      <c r="J17" s="1"/>
      <c r="K17" s="1"/>
    </row>
    <row r="18" spans="3:11">
      <c r="C18" s="1">
        <v>14</v>
      </c>
      <c r="D18" s="1" t="s">
        <v>32</v>
      </c>
      <c r="E18" s="1" t="s">
        <v>9</v>
      </c>
      <c r="F18" s="1">
        <v>51954742</v>
      </c>
      <c r="G18" s="5" t="s">
        <v>20</v>
      </c>
      <c r="H18" s="1" t="s">
        <v>38</v>
      </c>
      <c r="I18" s="1" t="s">
        <v>21</v>
      </c>
      <c r="J18" s="1"/>
      <c r="K18" s="1"/>
    </row>
    <row r="19" spans="3:11">
      <c r="C19" s="2"/>
      <c r="D19" s="1" t="s">
        <v>33</v>
      </c>
      <c r="E19" s="1" t="s">
        <v>30</v>
      </c>
      <c r="F19" s="1">
        <v>1019165185</v>
      </c>
      <c r="G19" s="5" t="s">
        <v>20</v>
      </c>
      <c r="H19" s="1"/>
      <c r="I19" s="1" t="s">
        <v>21</v>
      </c>
      <c r="J19" s="1" t="s">
        <v>35</v>
      </c>
      <c r="K19" s="1"/>
    </row>
    <row r="20" spans="3:11">
      <c r="C20" s="1">
        <v>15</v>
      </c>
      <c r="D20" s="1" t="s">
        <v>36</v>
      </c>
      <c r="E20" s="1" t="s">
        <v>9</v>
      </c>
      <c r="F20" s="1">
        <v>1073629344</v>
      </c>
      <c r="G20" s="5" t="s">
        <v>20</v>
      </c>
      <c r="H20" s="1" t="s">
        <v>39</v>
      </c>
      <c r="I20" s="1" t="s">
        <v>21</v>
      </c>
      <c r="J20" s="1"/>
      <c r="K20" s="1"/>
    </row>
    <row r="21" spans="3:11">
      <c r="C21" s="1">
        <v>16</v>
      </c>
      <c r="D21" s="1" t="s">
        <v>37</v>
      </c>
      <c r="E21" s="1" t="s">
        <v>9</v>
      </c>
      <c r="F21" s="1">
        <v>1073629722</v>
      </c>
      <c r="G21" s="5" t="s">
        <v>20</v>
      </c>
      <c r="H21" s="1" t="s">
        <v>40</v>
      </c>
      <c r="I21" s="1" t="s">
        <v>21</v>
      </c>
      <c r="J21" s="1"/>
      <c r="K21" s="1"/>
    </row>
    <row r="22" spans="3:11">
      <c r="C22" s="1">
        <v>17</v>
      </c>
      <c r="D22" s="1" t="s">
        <v>41</v>
      </c>
      <c r="E22" s="1" t="s">
        <v>19</v>
      </c>
      <c r="F22" s="1">
        <v>1073629384</v>
      </c>
      <c r="G22" s="5" t="s">
        <v>20</v>
      </c>
      <c r="H22" s="1"/>
      <c r="I22" s="1" t="s">
        <v>21</v>
      </c>
      <c r="J22" s="1" t="s">
        <v>42</v>
      </c>
      <c r="K22" s="1"/>
    </row>
    <row r="23" spans="3:11">
      <c r="C23" s="1">
        <v>18</v>
      </c>
      <c r="D23" s="1" t="s">
        <v>43</v>
      </c>
      <c r="E23" s="1" t="s">
        <v>19</v>
      </c>
      <c r="F23" s="1">
        <v>1073630192</v>
      </c>
      <c r="G23" s="5" t="s">
        <v>20</v>
      </c>
      <c r="H23" s="1"/>
      <c r="I23" s="1" t="s">
        <v>21</v>
      </c>
      <c r="J23" s="1" t="s">
        <v>72</v>
      </c>
      <c r="K23" s="1"/>
    </row>
    <row r="24" spans="3:11">
      <c r="C24" s="1">
        <v>19</v>
      </c>
      <c r="D24" s="1" t="s">
        <v>44</v>
      </c>
      <c r="E24" s="1" t="s">
        <v>9</v>
      </c>
      <c r="F24" s="1">
        <v>80827464</v>
      </c>
      <c r="G24" s="5" t="s">
        <v>20</v>
      </c>
      <c r="H24" s="1" t="s">
        <v>45</v>
      </c>
      <c r="I24" s="1" t="s">
        <v>21</v>
      </c>
      <c r="J24" s="1"/>
      <c r="K24" s="1"/>
    </row>
    <row r="25" spans="3:11">
      <c r="C25" s="1">
        <v>20</v>
      </c>
      <c r="D25" s="1" t="s">
        <v>46</v>
      </c>
      <c r="E25" s="1" t="s">
        <v>9</v>
      </c>
      <c r="F25" s="1">
        <v>52491347</v>
      </c>
      <c r="G25" s="5" t="s">
        <v>20</v>
      </c>
      <c r="H25" s="1" t="s">
        <v>47</v>
      </c>
      <c r="I25" s="1" t="s">
        <v>21</v>
      </c>
      <c r="J25" s="1"/>
      <c r="K25" s="1"/>
    </row>
    <row r="26" spans="3:11">
      <c r="C26" s="1">
        <v>21</v>
      </c>
      <c r="D26" s="1" t="s">
        <v>48</v>
      </c>
      <c r="E26" s="1" t="s">
        <v>9</v>
      </c>
      <c r="F26" s="1">
        <v>1193136382</v>
      </c>
      <c r="G26" s="5" t="s">
        <v>20</v>
      </c>
      <c r="H26" s="1"/>
      <c r="I26" s="1" t="s">
        <v>21</v>
      </c>
      <c r="J26" s="1"/>
      <c r="K26" s="1"/>
    </row>
    <row r="27" spans="3:11">
      <c r="C27" s="1">
        <v>22</v>
      </c>
      <c r="D27" s="1" t="s">
        <v>49</v>
      </c>
      <c r="E27" s="1" t="s">
        <v>9</v>
      </c>
      <c r="F27" s="1">
        <v>20358840</v>
      </c>
      <c r="G27" s="2" t="s">
        <v>50</v>
      </c>
      <c r="H27" s="1" t="s">
        <v>51</v>
      </c>
      <c r="I27" s="1" t="s">
        <v>21</v>
      </c>
      <c r="J27" s="1"/>
      <c r="K27" s="1"/>
    </row>
    <row r="28" spans="3:11">
      <c r="C28" s="1">
        <v>23</v>
      </c>
      <c r="D28" s="1" t="s">
        <v>52</v>
      </c>
      <c r="E28" s="1" t="s">
        <v>9</v>
      </c>
      <c r="F28" s="1">
        <v>79355140</v>
      </c>
      <c r="G28" s="2" t="s">
        <v>50</v>
      </c>
      <c r="H28" s="1" t="s">
        <v>53</v>
      </c>
      <c r="I28" s="1" t="s">
        <v>21</v>
      </c>
      <c r="J28" s="1"/>
      <c r="K28" s="1"/>
    </row>
    <row r="29" spans="3:11">
      <c r="C29" s="1">
        <v>24</v>
      </c>
      <c r="D29" s="1" t="s">
        <v>54</v>
      </c>
      <c r="E29" s="1" t="s">
        <v>9</v>
      </c>
      <c r="F29" s="1">
        <v>20358207</v>
      </c>
      <c r="G29" s="2" t="s">
        <v>50</v>
      </c>
      <c r="H29" s="1"/>
      <c r="I29" s="1" t="s">
        <v>21</v>
      </c>
      <c r="J29" s="1"/>
      <c r="K29" s="1"/>
    </row>
    <row r="30" spans="3:11">
      <c r="C30" s="1">
        <v>25</v>
      </c>
      <c r="D30" s="1" t="s">
        <v>55</v>
      </c>
      <c r="E30" s="1" t="s">
        <v>9</v>
      </c>
      <c r="F30" s="1">
        <v>52167704</v>
      </c>
      <c r="G30" s="5" t="s">
        <v>20</v>
      </c>
      <c r="H30" s="1" t="s">
        <v>56</v>
      </c>
      <c r="I30" s="1" t="s">
        <v>57</v>
      </c>
      <c r="J30" s="1"/>
      <c r="K30" s="1"/>
    </row>
    <row r="31" spans="3:11">
      <c r="C31" s="2"/>
      <c r="D31" s="1" t="s">
        <v>58</v>
      </c>
      <c r="E31" s="1" t="s">
        <v>30</v>
      </c>
      <c r="F31" s="1">
        <v>107243305</v>
      </c>
      <c r="G31" s="5" t="s">
        <v>20</v>
      </c>
      <c r="H31" s="1"/>
      <c r="I31" s="1" t="s">
        <v>57</v>
      </c>
      <c r="J31" s="1"/>
      <c r="K31" s="1"/>
    </row>
    <row r="32" spans="3:11">
      <c r="C32" s="1">
        <v>26</v>
      </c>
      <c r="D32" s="1" t="s">
        <v>59</v>
      </c>
      <c r="E32" s="1" t="s">
        <v>9</v>
      </c>
      <c r="F32" s="1">
        <v>11450604</v>
      </c>
      <c r="G32" s="5" t="s">
        <v>20</v>
      </c>
      <c r="H32" s="1"/>
      <c r="I32" s="1" t="s">
        <v>57</v>
      </c>
      <c r="J32" s="1"/>
      <c r="K32" s="1"/>
    </row>
    <row r="33" spans="3:11">
      <c r="C33" s="1">
        <v>27</v>
      </c>
      <c r="D33" s="1" t="s">
        <v>73</v>
      </c>
      <c r="E33" s="1" t="s">
        <v>9</v>
      </c>
      <c r="F33" s="1">
        <v>20357324</v>
      </c>
      <c r="G33" s="2" t="s">
        <v>50</v>
      </c>
      <c r="H33" s="1"/>
      <c r="I33" s="1" t="s">
        <v>75</v>
      </c>
      <c r="J33" s="1">
        <v>60</v>
      </c>
      <c r="K33" s="1"/>
    </row>
    <row r="34" spans="3:11">
      <c r="C34" s="1">
        <v>28</v>
      </c>
      <c r="D34" s="1" t="s">
        <v>68</v>
      </c>
      <c r="E34" s="1" t="s">
        <v>19</v>
      </c>
      <c r="F34" s="1">
        <v>1072962695</v>
      </c>
      <c r="G34" s="2" t="s">
        <v>50</v>
      </c>
      <c r="H34" s="1"/>
      <c r="I34" s="1" t="s">
        <v>75</v>
      </c>
      <c r="J34" s="1" t="s">
        <v>72</v>
      </c>
      <c r="K34" s="1"/>
    </row>
    <row r="35" spans="3:11">
      <c r="C35" s="1">
        <v>29</v>
      </c>
      <c r="D35" s="1" t="s">
        <v>69</v>
      </c>
      <c r="E35" s="1" t="s">
        <v>19</v>
      </c>
      <c r="F35" s="1">
        <v>1072693037</v>
      </c>
      <c r="G35" s="2" t="s">
        <v>50</v>
      </c>
      <c r="H35" s="1"/>
      <c r="I35" s="1" t="s">
        <v>75</v>
      </c>
      <c r="J35" s="1" t="s">
        <v>72</v>
      </c>
      <c r="K35" s="1"/>
    </row>
    <row r="36" spans="3:11">
      <c r="C36" s="1">
        <v>30</v>
      </c>
      <c r="D36" s="1" t="s">
        <v>70</v>
      </c>
      <c r="E36" s="1" t="s">
        <v>9</v>
      </c>
      <c r="F36" s="1">
        <v>80398474</v>
      </c>
      <c r="G36" s="2" t="s">
        <v>50</v>
      </c>
      <c r="H36" s="1"/>
      <c r="I36" s="1" t="s">
        <v>75</v>
      </c>
      <c r="J36" s="1"/>
      <c r="K36" s="1"/>
    </row>
    <row r="37" spans="3:11">
      <c r="C37" s="1">
        <v>31</v>
      </c>
      <c r="D37" s="1" t="s">
        <v>74</v>
      </c>
      <c r="E37" s="1" t="s">
        <v>9</v>
      </c>
      <c r="F37" s="1">
        <v>35374645</v>
      </c>
      <c r="G37" s="2" t="s">
        <v>50</v>
      </c>
      <c r="H37" s="1"/>
      <c r="I37" s="1" t="s">
        <v>75</v>
      </c>
      <c r="J37" s="1">
        <v>62</v>
      </c>
      <c r="K37" s="1"/>
    </row>
    <row r="38" spans="3:11">
      <c r="C38" s="1">
        <v>32</v>
      </c>
      <c r="D38" s="1" t="s">
        <v>71</v>
      </c>
      <c r="E38" s="1" t="s">
        <v>9</v>
      </c>
      <c r="F38" s="1">
        <v>1072691283</v>
      </c>
      <c r="G38" s="2" t="s">
        <v>50</v>
      </c>
      <c r="H38" s="1"/>
      <c r="I38" s="1" t="s">
        <v>75</v>
      </c>
      <c r="J38" s="1"/>
      <c r="K38" s="1"/>
    </row>
    <row r="39" spans="3:11">
      <c r="C39" s="1">
        <v>33</v>
      </c>
      <c r="D39" s="1" t="s">
        <v>60</v>
      </c>
      <c r="E39" s="1" t="s">
        <v>9</v>
      </c>
      <c r="F39" s="1">
        <v>1073628404</v>
      </c>
      <c r="G39" s="4" t="s">
        <v>23</v>
      </c>
      <c r="H39" s="1" t="s">
        <v>61</v>
      </c>
      <c r="I39" s="1" t="s">
        <v>21</v>
      </c>
      <c r="J39" s="1"/>
      <c r="K39" s="1"/>
    </row>
    <row r="40" spans="3:11">
      <c r="C40" s="1">
        <v>34</v>
      </c>
      <c r="D40" s="1" t="s">
        <v>76</v>
      </c>
      <c r="E40" s="1" t="s">
        <v>9</v>
      </c>
      <c r="F40" s="1">
        <v>79538678</v>
      </c>
      <c r="G40" s="5" t="s">
        <v>20</v>
      </c>
      <c r="H40" s="1"/>
      <c r="I40" s="1" t="s">
        <v>77</v>
      </c>
      <c r="J40" s="1"/>
      <c r="K40" s="1"/>
    </row>
    <row r="43" spans="3:11">
      <c r="H43" s="2" t="s">
        <v>79</v>
      </c>
      <c r="I43" s="1">
        <f>COUNTIF(G:G,"APULO")</f>
        <v>17</v>
      </c>
    </row>
    <row r="44" spans="3:11">
      <c r="H44" s="5" t="s">
        <v>80</v>
      </c>
      <c r="I44" s="1">
        <f>COUNTIF(G:G,"ANAPOIMA")</f>
        <v>9</v>
      </c>
    </row>
    <row r="45" spans="3:11">
      <c r="H45" s="3" t="s">
        <v>81</v>
      </c>
      <c r="I45" s="1">
        <f>COUNTIF(G:G,"TOCAIMA")</f>
        <v>7</v>
      </c>
    </row>
    <row r="46" spans="3:11">
      <c r="H46" s="4" t="s">
        <v>82</v>
      </c>
      <c r="I46" s="1">
        <f>COUNTIF(G:G,"MESETA")</f>
        <v>4</v>
      </c>
    </row>
    <row r="47" spans="3:11">
      <c r="H47" s="1" t="s">
        <v>83</v>
      </c>
      <c r="I47" s="1">
        <f>SUM(I43:I46)</f>
        <v>37</v>
      </c>
    </row>
  </sheetData>
  <pageMargins left="0.70866141732283472" right="0.70866141732283472" top="0.74803149606299213" bottom="0.74803149606299213" header="0.31496062992125984" footer="0.31496062992125984"/>
  <pageSetup scale="90" orientation="landscape" horizontalDpi="360" verticalDpi="360" r:id="rId1"/>
  <colBreaks count="1" manualBreakCount="1">
    <brk id="1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7674-821F-4197-AECE-1E1AC09A596D}">
  <dimension ref="B3:E40"/>
  <sheetViews>
    <sheetView topLeftCell="A21" workbookViewId="0">
      <selection activeCell="I41" sqref="I41"/>
    </sheetView>
  </sheetViews>
  <sheetFormatPr baseColWidth="10" defaultRowHeight="14.25"/>
  <cols>
    <col min="2" max="2" width="3" bestFit="1" customWidth="1"/>
    <col min="3" max="3" width="31" bestFit="1" customWidth="1"/>
  </cols>
  <sheetData>
    <row r="3" spans="2:5">
      <c r="B3" s="1" t="s">
        <v>0</v>
      </c>
      <c r="C3" s="1" t="s">
        <v>1</v>
      </c>
      <c r="D3" s="1" t="s">
        <v>2</v>
      </c>
      <c r="E3" s="1" t="s">
        <v>3</v>
      </c>
    </row>
    <row r="4" spans="2:5">
      <c r="B4" s="1">
        <v>1</v>
      </c>
      <c r="C4" s="1" t="s">
        <v>8</v>
      </c>
      <c r="D4" s="1" t="s">
        <v>9</v>
      </c>
      <c r="E4" s="1">
        <v>35504848</v>
      </c>
    </row>
    <row r="5" spans="2:5">
      <c r="B5" s="1">
        <v>2</v>
      </c>
      <c r="C5" s="1" t="s">
        <v>12</v>
      </c>
      <c r="D5" s="1" t="s">
        <v>9</v>
      </c>
      <c r="E5" s="1">
        <v>51147869</v>
      </c>
    </row>
    <row r="6" spans="2:5">
      <c r="B6" s="1">
        <v>3</v>
      </c>
      <c r="C6" s="1" t="s">
        <v>62</v>
      </c>
      <c r="D6" s="1" t="s">
        <v>9</v>
      </c>
      <c r="E6" s="1">
        <v>21012620</v>
      </c>
    </row>
    <row r="7" spans="2:5">
      <c r="B7" s="1">
        <v>4</v>
      </c>
      <c r="C7" s="1" t="s">
        <v>63</v>
      </c>
      <c r="D7" s="1" t="s">
        <v>9</v>
      </c>
      <c r="E7" s="1">
        <v>21015380</v>
      </c>
    </row>
    <row r="8" spans="2:5">
      <c r="B8" s="1">
        <v>5</v>
      </c>
      <c r="C8" s="1" t="s">
        <v>64</v>
      </c>
      <c r="D8" s="1" t="s">
        <v>9</v>
      </c>
      <c r="E8" s="1">
        <v>21014236</v>
      </c>
    </row>
    <row r="9" spans="2:5">
      <c r="B9" s="1">
        <v>6</v>
      </c>
      <c r="C9" s="1" t="s">
        <v>66</v>
      </c>
      <c r="D9" s="1" t="s">
        <v>9</v>
      </c>
      <c r="E9" s="1">
        <v>21056217</v>
      </c>
    </row>
    <row r="10" spans="2:5">
      <c r="B10" s="1">
        <v>7</v>
      </c>
      <c r="C10" s="1" t="s">
        <v>67</v>
      </c>
      <c r="D10" s="1" t="s">
        <v>9</v>
      </c>
      <c r="E10" s="1">
        <v>21012699</v>
      </c>
    </row>
    <row r="11" spans="2:5">
      <c r="B11" s="1">
        <v>8</v>
      </c>
      <c r="C11" s="1" t="s">
        <v>16</v>
      </c>
      <c r="D11" s="1" t="s">
        <v>9</v>
      </c>
      <c r="E11" s="1">
        <v>20871935</v>
      </c>
    </row>
    <row r="12" spans="2:5">
      <c r="B12" s="1">
        <v>9</v>
      </c>
      <c r="C12" s="1" t="s">
        <v>18</v>
      </c>
      <c r="D12" s="1" t="s">
        <v>19</v>
      </c>
      <c r="E12" s="1">
        <v>1073629791</v>
      </c>
    </row>
    <row r="13" spans="2:5">
      <c r="B13" s="1">
        <v>10</v>
      </c>
      <c r="C13" s="1" t="s">
        <v>22</v>
      </c>
      <c r="D13" s="1" t="s">
        <v>19</v>
      </c>
      <c r="E13" s="1">
        <v>1073628658</v>
      </c>
    </row>
    <row r="14" spans="2:5">
      <c r="B14" s="1">
        <v>11</v>
      </c>
      <c r="C14" s="1" t="s">
        <v>26</v>
      </c>
      <c r="D14" s="1" t="s">
        <v>9</v>
      </c>
      <c r="E14" s="1">
        <v>1073628347</v>
      </c>
    </row>
    <row r="15" spans="2:5">
      <c r="B15" s="1">
        <v>12</v>
      </c>
      <c r="C15" s="1" t="s">
        <v>28</v>
      </c>
      <c r="D15" s="1" t="s">
        <v>9</v>
      </c>
      <c r="E15" s="1">
        <v>1004842463</v>
      </c>
    </row>
    <row r="16" spans="2:5">
      <c r="B16" s="1">
        <v>13</v>
      </c>
      <c r="C16" s="1" t="s">
        <v>29</v>
      </c>
      <c r="D16" s="1" t="s">
        <v>30</v>
      </c>
      <c r="E16" s="1">
        <v>1072200253</v>
      </c>
    </row>
    <row r="17" spans="2:5">
      <c r="B17" s="1">
        <v>14</v>
      </c>
      <c r="C17" s="1" t="s">
        <v>31</v>
      </c>
      <c r="D17" s="1" t="s">
        <v>9</v>
      </c>
      <c r="E17" s="1">
        <v>1073629709</v>
      </c>
    </row>
    <row r="18" spans="2:5">
      <c r="B18" s="1">
        <v>15</v>
      </c>
      <c r="C18" s="1" t="s">
        <v>32</v>
      </c>
      <c r="D18" s="1" t="s">
        <v>9</v>
      </c>
      <c r="E18" s="1">
        <v>51954742</v>
      </c>
    </row>
    <row r="19" spans="2:5">
      <c r="B19" s="1">
        <v>16</v>
      </c>
      <c r="C19" s="1" t="s">
        <v>33</v>
      </c>
      <c r="D19" s="1" t="s">
        <v>30</v>
      </c>
      <c r="E19" s="1">
        <v>1019165185</v>
      </c>
    </row>
    <row r="20" spans="2:5">
      <c r="B20" s="1">
        <v>17</v>
      </c>
      <c r="C20" s="1" t="s">
        <v>36</v>
      </c>
      <c r="D20" s="1" t="s">
        <v>9</v>
      </c>
      <c r="E20" s="1">
        <v>1073629344</v>
      </c>
    </row>
    <row r="21" spans="2:5">
      <c r="B21" s="1">
        <v>18</v>
      </c>
      <c r="C21" s="1" t="s">
        <v>37</v>
      </c>
      <c r="D21" s="1" t="s">
        <v>9</v>
      </c>
      <c r="E21" s="1">
        <v>1073629722</v>
      </c>
    </row>
    <row r="22" spans="2:5">
      <c r="B22" s="1">
        <v>19</v>
      </c>
      <c r="C22" s="1" t="s">
        <v>41</v>
      </c>
      <c r="D22" s="1" t="s">
        <v>19</v>
      </c>
      <c r="E22" s="1">
        <v>1073629384</v>
      </c>
    </row>
    <row r="23" spans="2:5">
      <c r="B23" s="1">
        <v>20</v>
      </c>
      <c r="C23" s="1" t="s">
        <v>43</v>
      </c>
      <c r="D23" s="1" t="s">
        <v>19</v>
      </c>
      <c r="E23" s="1">
        <v>1073630192</v>
      </c>
    </row>
    <row r="24" spans="2:5">
      <c r="B24" s="1">
        <v>21</v>
      </c>
      <c r="C24" s="1" t="s">
        <v>44</v>
      </c>
      <c r="D24" s="1" t="s">
        <v>9</v>
      </c>
      <c r="E24" s="1">
        <v>80827464</v>
      </c>
    </row>
    <row r="25" spans="2:5">
      <c r="B25" s="1">
        <v>22</v>
      </c>
      <c r="C25" s="1" t="s">
        <v>46</v>
      </c>
      <c r="D25" s="1" t="s">
        <v>9</v>
      </c>
      <c r="E25" s="1">
        <v>52491347</v>
      </c>
    </row>
    <row r="26" spans="2:5">
      <c r="B26" s="1">
        <v>23</v>
      </c>
      <c r="C26" s="1" t="s">
        <v>48</v>
      </c>
      <c r="D26" s="1" t="s">
        <v>9</v>
      </c>
      <c r="E26" s="1">
        <v>1193136382</v>
      </c>
    </row>
    <row r="27" spans="2:5">
      <c r="B27" s="1">
        <v>24</v>
      </c>
      <c r="C27" s="1" t="s">
        <v>49</v>
      </c>
      <c r="D27" s="1" t="s">
        <v>9</v>
      </c>
      <c r="E27" s="1">
        <v>20358840</v>
      </c>
    </row>
    <row r="28" spans="2:5">
      <c r="B28" s="1">
        <v>25</v>
      </c>
      <c r="C28" s="1" t="s">
        <v>52</v>
      </c>
      <c r="D28" s="1" t="s">
        <v>9</v>
      </c>
      <c r="E28" s="1">
        <v>79355140</v>
      </c>
    </row>
    <row r="29" spans="2:5">
      <c r="B29" s="1">
        <v>26</v>
      </c>
      <c r="C29" s="1" t="s">
        <v>54</v>
      </c>
      <c r="D29" s="1" t="s">
        <v>9</v>
      </c>
      <c r="E29" s="1">
        <v>20358207</v>
      </c>
    </row>
    <row r="30" spans="2:5">
      <c r="B30" s="1">
        <v>27</v>
      </c>
      <c r="C30" s="1" t="s">
        <v>55</v>
      </c>
      <c r="D30" s="1" t="s">
        <v>9</v>
      </c>
      <c r="E30" s="1">
        <v>52167704</v>
      </c>
    </row>
    <row r="31" spans="2:5">
      <c r="B31" s="1">
        <v>28</v>
      </c>
      <c r="C31" s="1" t="s">
        <v>58</v>
      </c>
      <c r="D31" s="1" t="s">
        <v>30</v>
      </c>
      <c r="E31" s="1">
        <v>107243305</v>
      </c>
    </row>
    <row r="32" spans="2:5">
      <c r="B32" s="1">
        <v>29</v>
      </c>
      <c r="C32" s="1" t="s">
        <v>59</v>
      </c>
      <c r="D32" s="1" t="s">
        <v>9</v>
      </c>
      <c r="E32" s="1">
        <v>11450604</v>
      </c>
    </row>
    <row r="33" spans="2:5">
      <c r="B33" s="1">
        <v>30</v>
      </c>
      <c r="C33" s="1" t="s">
        <v>73</v>
      </c>
      <c r="D33" s="1" t="s">
        <v>9</v>
      </c>
      <c r="E33" s="1">
        <v>20357324</v>
      </c>
    </row>
    <row r="34" spans="2:5">
      <c r="B34" s="1">
        <v>31</v>
      </c>
      <c r="C34" s="1" t="s">
        <v>68</v>
      </c>
      <c r="D34" s="1" t="s">
        <v>19</v>
      </c>
      <c r="E34" s="1">
        <v>1072962695</v>
      </c>
    </row>
    <row r="35" spans="2:5">
      <c r="B35" s="1">
        <v>32</v>
      </c>
      <c r="C35" s="1" t="s">
        <v>69</v>
      </c>
      <c r="D35" s="1" t="s">
        <v>19</v>
      </c>
      <c r="E35" s="1">
        <v>1072693037</v>
      </c>
    </row>
    <row r="36" spans="2:5">
      <c r="B36" s="1">
        <v>33</v>
      </c>
      <c r="C36" s="1" t="s">
        <v>70</v>
      </c>
      <c r="D36" s="1" t="s">
        <v>9</v>
      </c>
      <c r="E36" s="1">
        <v>80398474</v>
      </c>
    </row>
    <row r="37" spans="2:5">
      <c r="B37" s="1">
        <v>34</v>
      </c>
      <c r="C37" s="1" t="s">
        <v>74</v>
      </c>
      <c r="D37" s="1" t="s">
        <v>9</v>
      </c>
      <c r="E37" s="1">
        <v>35374645</v>
      </c>
    </row>
    <row r="38" spans="2:5">
      <c r="B38" s="1">
        <v>35</v>
      </c>
      <c r="C38" s="1" t="s">
        <v>71</v>
      </c>
      <c r="D38" s="1" t="s">
        <v>9</v>
      </c>
      <c r="E38" s="1">
        <v>1072691283</v>
      </c>
    </row>
    <row r="39" spans="2:5">
      <c r="B39" s="1">
        <v>36</v>
      </c>
      <c r="C39" s="1" t="s">
        <v>60</v>
      </c>
      <c r="D39" s="1" t="s">
        <v>9</v>
      </c>
      <c r="E39" s="1">
        <v>1073628404</v>
      </c>
    </row>
    <row r="40" spans="2:5">
      <c r="B40" s="1">
        <v>37</v>
      </c>
      <c r="C40" s="1" t="s">
        <v>76</v>
      </c>
      <c r="D40" s="1" t="s">
        <v>9</v>
      </c>
      <c r="E40" s="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HP LAPTOP</cp:lastModifiedBy>
  <cp:lastPrinted>2026-01-26T19:43:23Z</cp:lastPrinted>
  <dcterms:created xsi:type="dcterms:W3CDTF">2025-02-28T13:15:01Z</dcterms:created>
  <dcterms:modified xsi:type="dcterms:W3CDTF">2026-01-26T19:43:40Z</dcterms:modified>
</cp:coreProperties>
</file>