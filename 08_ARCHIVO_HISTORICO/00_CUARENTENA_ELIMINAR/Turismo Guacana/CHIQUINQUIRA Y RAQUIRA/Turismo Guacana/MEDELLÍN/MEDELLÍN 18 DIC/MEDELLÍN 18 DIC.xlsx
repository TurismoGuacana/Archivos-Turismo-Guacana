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\Documents\Turismo Guacana\MEDELLÍN\MEDELLÍN 18 DIC\"/>
    </mc:Choice>
  </mc:AlternateContent>
  <xr:revisionPtr revIDLastSave="0" documentId="13_ncr:1_{17F6AC1F-FEB3-49E5-9A50-62C769074B60}" xr6:coauthVersionLast="47" xr6:coauthVersionMax="47" xr10:uidLastSave="{00000000-0000-0000-0000-000000000000}"/>
  <bookViews>
    <workbookView xWindow="-120" yWindow="-120" windowWidth="20730" windowHeight="11040" xr2:uid="{662C2216-55F3-49E0-A130-5655CF2FBFD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8" i="1" l="1"/>
  <c r="N10" i="1"/>
  <c r="N9" i="1"/>
  <c r="J47" i="1"/>
  <c r="N19" i="1"/>
  <c r="K44" i="1"/>
  <c r="O23" i="1"/>
  <c r="N20" i="1"/>
  <c r="N22" i="1"/>
  <c r="N21" i="1"/>
  <c r="K43" i="1"/>
  <c r="K45" i="1"/>
  <c r="K34" i="1"/>
  <c r="K35" i="1"/>
  <c r="K36" i="1"/>
  <c r="K37" i="1"/>
  <c r="K38" i="1"/>
  <c r="K39" i="1"/>
  <c r="K40" i="1"/>
  <c r="K41" i="1"/>
  <c r="K33" i="1"/>
  <c r="K21" i="1"/>
  <c r="K22" i="1"/>
  <c r="K23" i="1"/>
  <c r="K24" i="1"/>
  <c r="K25" i="1"/>
  <c r="K26" i="1"/>
  <c r="K27" i="1"/>
  <c r="K28" i="1"/>
  <c r="K29" i="1"/>
  <c r="K30" i="1"/>
  <c r="K31" i="1"/>
  <c r="K20" i="1"/>
  <c r="K18" i="1"/>
  <c r="K17" i="1"/>
  <c r="K4" i="1"/>
  <c r="K5" i="1"/>
  <c r="K6" i="1"/>
  <c r="K8" i="1"/>
  <c r="K9" i="1"/>
  <c r="K10" i="1"/>
  <c r="K11" i="1"/>
  <c r="K12" i="1"/>
  <c r="K13" i="1"/>
  <c r="K14" i="1"/>
  <c r="K15" i="1"/>
  <c r="K3" i="1"/>
  <c r="N14" i="1" l="1"/>
  <c r="N23" i="1"/>
  <c r="J48" i="1" s="1"/>
  <c r="K47" i="1"/>
  <c r="N15" i="1" s="1"/>
  <c r="N16" i="1" l="1"/>
</calcChain>
</file>

<file path=xl/sharedStrings.xml><?xml version="1.0" encoding="utf-8"?>
<sst xmlns="http://schemas.openxmlformats.org/spreadsheetml/2006/main" count="167" uniqueCount="85">
  <si>
    <t>N°</t>
  </si>
  <si>
    <t>NOMBRE</t>
  </si>
  <si>
    <t>T.D</t>
  </si>
  <si>
    <t># DE DOCUMENTO</t>
  </si>
  <si>
    <t>FECHA DE NACIMIENTO</t>
  </si>
  <si>
    <t>TELEFONO</t>
  </si>
  <si>
    <t>GABRIEL CABRERA</t>
  </si>
  <si>
    <t>LUIS DUARTE</t>
  </si>
  <si>
    <t>NANCY ROCIO LOPEZ AMAYA</t>
  </si>
  <si>
    <t>OMAR LADINO PINZÓN</t>
  </si>
  <si>
    <t>LINDA LORENA BARRETO GONZALEZ</t>
  </si>
  <si>
    <t>JUAN CARLOS CASTELLANOS GAITAN</t>
  </si>
  <si>
    <t>C.C</t>
  </si>
  <si>
    <t>BRAYAN ESTEBAN LADINO</t>
  </si>
  <si>
    <t>T.I</t>
  </si>
  <si>
    <t>322 637 2625</t>
  </si>
  <si>
    <t>311 455 0557</t>
  </si>
  <si>
    <t>SONIA ARIAS NAVARRO</t>
  </si>
  <si>
    <t>GUSTAVO ADOLFO JAIMES BOLAÑOS</t>
  </si>
  <si>
    <t>ISRAEL ARIAS CARDENAS</t>
  </si>
  <si>
    <t>FANNY ESTHER NAVARRO</t>
  </si>
  <si>
    <t>YOHANNA ARIAS NAVARRO</t>
  </si>
  <si>
    <t>MARIA CAMILA ALFONSO ARIAS</t>
  </si>
  <si>
    <t>VIOLETA ALFONSO ARIAS</t>
  </si>
  <si>
    <t>R.C</t>
  </si>
  <si>
    <t>DANNA LUCIA HERRERA MANRIQUE</t>
  </si>
  <si>
    <t>JULIA SANCHEZ MONTAÑO</t>
  </si>
  <si>
    <t>ANTONIA HERRERA ARIAS</t>
  </si>
  <si>
    <t>DANNY SANTIAGO HERRERA MORENO</t>
  </si>
  <si>
    <t>ELIANA PATRICIA MANRIQUE BERNAL</t>
  </si>
  <si>
    <t>LINA ALEJANDRA SERRANO ORTIZ</t>
  </si>
  <si>
    <t>BRAYAN ELIAS MANRIQUE BERNAL</t>
  </si>
  <si>
    <t>EDWIN FELIPE MANRIQUE BERNAL</t>
  </si>
  <si>
    <t>ELIAS MANRIQUE LEMUS</t>
  </si>
  <si>
    <t>ANGELA PATRICIA BERNAL SANCHEZ</t>
  </si>
  <si>
    <t>COMISIONISTA</t>
  </si>
  <si>
    <t>ALEJA</t>
  </si>
  <si>
    <t>BLANCA HERMINA GONZALEZ TORRES</t>
  </si>
  <si>
    <t>LAD</t>
  </si>
  <si>
    <t>313 378 2056</t>
  </si>
  <si>
    <t>LAURA VANESA BARRETO GONZALEZ</t>
  </si>
  <si>
    <t>-</t>
  </si>
  <si>
    <t>NIDIA CRUZ</t>
  </si>
  <si>
    <t>ESPERANZA PASELLIN PULIDO</t>
  </si>
  <si>
    <t>MARTHA MONCALEANO</t>
  </si>
  <si>
    <t>EDITH</t>
  </si>
  <si>
    <t>DIANA CAROLINA MARIN</t>
  </si>
  <si>
    <t>JUAN ESTEBAN DIAZ MARIN</t>
  </si>
  <si>
    <t>MARTHA LILIANA MEDINA MOYA</t>
  </si>
  <si>
    <t>322 405 4491</t>
  </si>
  <si>
    <t>MARÍA GARCIA</t>
  </si>
  <si>
    <t>LAD ANAPOIMA</t>
  </si>
  <si>
    <t>GRACIELA QUIROGA</t>
  </si>
  <si>
    <t>JAIME BERNAL</t>
  </si>
  <si>
    <t>JUAN DAVID BERNAL</t>
  </si>
  <si>
    <t>ALEXANDRA MARTINEZ</t>
  </si>
  <si>
    <t>JASMIN CAICEDO</t>
  </si>
  <si>
    <t>MARIA ANGELICA JAIMES ARIAS</t>
  </si>
  <si>
    <t>MARTHA ISABEL DIAZ MONTAÑO</t>
  </si>
  <si>
    <t>c.c</t>
  </si>
  <si>
    <t>MARTHA LILIANA TOBAR REINA</t>
  </si>
  <si>
    <t>322 258 9362</t>
  </si>
  <si>
    <t>MAFE</t>
  </si>
  <si>
    <t>TOCAIMA LAD</t>
  </si>
  <si>
    <t>SEGURO+PUESTO</t>
  </si>
  <si>
    <t>SEGURO</t>
  </si>
  <si>
    <t>JOHAN SEBASTIÁN RAMOS BAZURTO</t>
  </si>
  <si>
    <t xml:space="preserve">VALOR </t>
  </si>
  <si>
    <t>TRANSPORTE</t>
  </si>
  <si>
    <t>ALOJAMIENTO</t>
  </si>
  <si>
    <t>DESAYUNO</t>
  </si>
  <si>
    <t>ALMUERZO 1</t>
  </si>
  <si>
    <t>ALMUERZO 2</t>
  </si>
  <si>
    <t>FERRY</t>
  </si>
  <si>
    <t>GUÍA TURÍSTICO</t>
  </si>
  <si>
    <t>GASTOS DE REPRESENTACIÓN</t>
  </si>
  <si>
    <t>TOTAL</t>
  </si>
  <si>
    <t>INGRESO</t>
  </si>
  <si>
    <t>UTILIDAD</t>
  </si>
  <si>
    <t>COMISIÓN</t>
  </si>
  <si>
    <t>COMISIONISTAS</t>
  </si>
  <si>
    <t>PAX</t>
  </si>
  <si>
    <t xml:space="preserve">COSTOS Y GASTOS </t>
  </si>
  <si>
    <t xml:space="preserve">SIRLEY MARTINEZ </t>
  </si>
  <si>
    <t>Columna1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</si>
</sst>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72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3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center"/>
    </xf>
    <xf numFmtId="3" fontId="0" fillId="3" borderId="0" xfId="0" applyNumberFormat="1" applyFill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3" fontId="0" fillId="4" borderId="0" xfId="0" applyNumberFormat="1" applyFill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/>
    </xf>
    <xf numFmtId="3" fontId="0" fillId="5" borderId="0" xfId="0" applyNumberFormat="1" applyFill="1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3" fontId="0" fillId="6" borderId="0" xfId="0" applyNumberFormat="1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0" fillId="8" borderId="0" xfId="0" applyFill="1"/>
    <xf numFmtId="0" fontId="0" fillId="8" borderId="0" xfId="0" applyFill="1" applyAlignment="1">
      <alignment horizontal="center"/>
    </xf>
    <xf numFmtId="3" fontId="0" fillId="8" borderId="0" xfId="0" applyNumberFormat="1" applyFill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3" fontId="0" fillId="9" borderId="0" xfId="0" applyNumberFormat="1" applyFill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center"/>
    </xf>
    <xf numFmtId="3" fontId="0" fillId="10" borderId="0" xfId="0" applyNumberFormat="1" applyFill="1" applyAlignment="1">
      <alignment horizontal="center"/>
    </xf>
    <xf numFmtId="0" fontId="0" fillId="11" borderId="0" xfId="0" applyFill="1"/>
    <xf numFmtId="0" fontId="0" fillId="11" borderId="0" xfId="0" applyFill="1" applyAlignment="1">
      <alignment horizontal="center"/>
    </xf>
    <xf numFmtId="3" fontId="0" fillId="11" borderId="0" xfId="0" applyNumberFormat="1" applyFill="1" applyAlignment="1">
      <alignment horizontal="center"/>
    </xf>
    <xf numFmtId="0" fontId="0" fillId="12" borderId="0" xfId="0" applyFill="1"/>
    <xf numFmtId="0" fontId="0" fillId="12" borderId="0" xfId="0" applyFill="1" applyAlignment="1">
      <alignment horizontal="center"/>
    </xf>
    <xf numFmtId="3" fontId="0" fillId="12" borderId="0" xfId="0" applyNumberFormat="1" applyFill="1" applyAlignment="1">
      <alignment horizontal="center"/>
    </xf>
    <xf numFmtId="0" fontId="0" fillId="13" borderId="0" xfId="0" applyFill="1"/>
    <xf numFmtId="0" fontId="0" fillId="13" borderId="0" xfId="0" applyFill="1" applyAlignment="1">
      <alignment horizontal="center"/>
    </xf>
    <xf numFmtId="3" fontId="0" fillId="13" borderId="0" xfId="0" applyNumberFormat="1" applyFill="1" applyAlignment="1">
      <alignment horizontal="center"/>
    </xf>
    <xf numFmtId="0" fontId="0" fillId="14" borderId="0" xfId="0" applyFill="1"/>
    <xf numFmtId="0" fontId="0" fillId="14" borderId="0" xfId="0" applyFill="1" applyAlignment="1">
      <alignment horizontal="center"/>
    </xf>
    <xf numFmtId="3" fontId="0" fillId="14" borderId="0" xfId="0" applyNumberFormat="1" applyFill="1" applyAlignment="1">
      <alignment horizontal="center"/>
    </xf>
    <xf numFmtId="0" fontId="1" fillId="15" borderId="0" xfId="0" applyFont="1" applyFill="1"/>
    <xf numFmtId="0" fontId="1" fillId="15" borderId="0" xfId="0" applyFont="1" applyFill="1" applyAlignment="1">
      <alignment horizontal="center"/>
    </xf>
    <xf numFmtId="3" fontId="1" fillId="15" borderId="0" xfId="0" applyNumberFormat="1" applyFont="1" applyFill="1" applyAlignment="1">
      <alignment horizont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2" borderId="0" xfId="0" applyNumberFormat="1" applyFill="1" applyAlignment="1">
      <alignment horizontal="center" vertical="center"/>
    </xf>
    <xf numFmtId="0" fontId="0" fillId="0" borderId="1" xfId="0" applyBorder="1"/>
    <xf numFmtId="0" fontId="0" fillId="0" borderId="2" xfId="0" applyBorder="1"/>
    <xf numFmtId="44" fontId="0" fillId="0" borderId="0" xfId="1" applyFont="1"/>
    <xf numFmtId="44" fontId="0" fillId="0" borderId="0" xfId="1" applyFont="1" applyAlignment="1">
      <alignment horizontal="center"/>
    </xf>
    <xf numFmtId="44" fontId="0" fillId="0" borderId="0" xfId="0" applyNumberFormat="1" applyAlignment="1">
      <alignment horizontal="center" vertical="center"/>
    </xf>
    <xf numFmtId="3" fontId="0" fillId="14" borderId="0" xfId="0" applyNumberFormat="1" applyFill="1" applyAlignment="1">
      <alignment horizontal="center" vertical="center"/>
    </xf>
    <xf numFmtId="44" fontId="0" fillId="0" borderId="1" xfId="1" applyFont="1" applyBorder="1"/>
    <xf numFmtId="0" fontId="3" fillId="0" borderId="1" xfId="0" applyFont="1" applyBorder="1"/>
    <xf numFmtId="44" fontId="3" fillId="0" borderId="1" xfId="1" applyFont="1" applyBorder="1"/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44" fontId="0" fillId="0" borderId="4" xfId="1" applyFont="1" applyBorder="1"/>
    <xf numFmtId="44" fontId="0" fillId="0" borderId="2" xfId="1" applyFont="1" applyBorder="1"/>
    <xf numFmtId="44" fontId="0" fillId="0" borderId="3" xfId="1" applyFont="1" applyBorder="1"/>
    <xf numFmtId="0" fontId="0" fillId="16" borderId="1" xfId="0" applyFill="1" applyBorder="1" applyAlignment="1">
      <alignment horizontal="center"/>
    </xf>
    <xf numFmtId="0" fontId="0" fillId="2" borderId="3" xfId="0" applyFill="1" applyBorder="1"/>
    <xf numFmtId="0" fontId="0" fillId="14" borderId="4" xfId="0" applyFill="1" applyBorder="1"/>
    <xf numFmtId="0" fontId="0" fillId="4" borderId="3" xfId="0" applyFill="1" applyBorder="1"/>
    <xf numFmtId="0" fontId="0" fillId="0" borderId="0" xfId="0" applyFill="1" applyAlignment="1">
      <alignment horizontal="center"/>
    </xf>
    <xf numFmtId="0" fontId="0" fillId="0" borderId="0" xfId="0" applyFill="1"/>
    <xf numFmtId="3" fontId="0" fillId="0" borderId="0" xfId="0" applyNumberFormat="1" applyFill="1" applyAlignment="1">
      <alignment horizontal="center"/>
    </xf>
    <xf numFmtId="14" fontId="0" fillId="0" borderId="0" xfId="0" applyNumberFormat="1" applyFill="1" applyAlignment="1">
      <alignment horizontal="center"/>
    </xf>
    <xf numFmtId="3" fontId="0" fillId="0" borderId="0" xfId="0" applyNumberFormat="1" applyFill="1" applyAlignment="1">
      <alignment horizontal="center" vertical="center"/>
    </xf>
    <xf numFmtId="44" fontId="0" fillId="0" borderId="0" xfId="1" applyFont="1" applyFill="1"/>
  </cellXfs>
  <cellStyles count="2">
    <cellStyle name="Moneda" xfId="1" builtinId="4"/>
    <cellStyle name="Normal" xfId="0" builtinId="0"/>
  </cellStyles>
  <dxfs count="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B5EBA7-225C-4929-9C16-5B373A7CDF59}" name="Tabla1" displayName="Tabla1" ref="B2:I46" totalsRowShown="0" headerRowDxfId="7">
  <autoFilter ref="B2:I46" xr:uid="{DAB5EBA7-225C-4929-9C16-5B373A7CDF59}"/>
  <tableColumns count="8">
    <tableColumn id="1" xr3:uid="{594922DE-8038-461A-8F77-3D6BF495E43D}" name="N°" dataDxfId="6"/>
    <tableColumn id="2" xr3:uid="{1BBF3211-3CAA-4BFA-B991-EB772059A0C7}" name="NOMBRE"/>
    <tableColumn id="3" xr3:uid="{F003806D-6985-4209-99AB-E2B6401E978D}" name="T.D" dataDxfId="5"/>
    <tableColumn id="4" xr3:uid="{7B3B2A77-CFA0-46EE-801B-690A84987A71}" name="# DE DOCUMENTO" dataDxfId="4"/>
    <tableColumn id="5" xr3:uid="{BD6DD1A2-1159-42CB-96A1-B315BF80A3BE}" name="FECHA DE NACIMIENTO" dataDxfId="3"/>
    <tableColumn id="7" xr3:uid="{B1AB27CC-A228-4923-AA6E-7D7F2C43EA23}" name="COMISIONISTA" dataDxfId="2"/>
    <tableColumn id="6" xr3:uid="{66B40FA9-5DA9-4EDF-A5BD-A0C6EBAD2C9F}" name="TELEFONO" dataDxfId="1"/>
    <tableColumn id="8" xr3:uid="{7791B175-EA24-4376-B746-2CEB838C6BCA}" name="Columna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A295F-DAAA-4CAE-B3D3-ECB402832DCB}">
  <dimension ref="B2:O48"/>
  <sheetViews>
    <sheetView tabSelected="1" topLeftCell="F1" zoomScale="87" workbookViewId="0">
      <selection activeCell="N14" sqref="N14"/>
    </sheetView>
  </sheetViews>
  <sheetFormatPr baseColWidth="10" defaultRowHeight="15" x14ac:dyDescent="0.25"/>
  <cols>
    <col min="2" max="2" width="7.7109375" style="1" bestFit="1" customWidth="1"/>
    <col min="3" max="3" width="34.7109375" bestFit="1" customWidth="1"/>
    <col min="4" max="4" width="11.42578125" style="1"/>
    <col min="5" max="5" width="19.28515625" style="1" customWidth="1"/>
    <col min="6" max="7" width="23.7109375" style="1" customWidth="1"/>
    <col min="8" max="8" width="16.28515625" style="1" bestFit="1" customWidth="1"/>
    <col min="9" max="9" width="16.28515625" style="1" customWidth="1"/>
    <col min="10" max="10" width="20.5703125" style="45" bestFit="1" customWidth="1"/>
    <col min="11" max="11" width="20.5703125" style="45" customWidth="1"/>
    <col min="13" max="13" width="27.28515625" bestFit="1" customWidth="1"/>
    <col min="14" max="14" width="17" style="50" bestFit="1" customWidth="1"/>
    <col min="15" max="15" width="11.42578125" style="1"/>
  </cols>
  <sheetData>
    <row r="2" spans="2:14" s="1" customFormat="1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35</v>
      </c>
      <c r="H2" s="1" t="s">
        <v>5</v>
      </c>
      <c r="I2" s="1" t="s">
        <v>84</v>
      </c>
      <c r="J2" s="45" t="s">
        <v>67</v>
      </c>
      <c r="K2" s="45" t="s">
        <v>79</v>
      </c>
      <c r="N2" s="51"/>
    </row>
    <row r="3" spans="2:14" x14ac:dyDescent="0.25">
      <c r="B3" s="1">
        <v>1</v>
      </c>
      <c r="C3" t="s">
        <v>52</v>
      </c>
      <c r="D3" s="1" t="s">
        <v>12</v>
      </c>
      <c r="E3" s="2">
        <v>20620711</v>
      </c>
      <c r="G3" s="1" t="s">
        <v>62</v>
      </c>
      <c r="I3" s="1">
        <v>1</v>
      </c>
      <c r="J3" s="46">
        <v>360000</v>
      </c>
      <c r="K3" s="46">
        <f>J3-30000</f>
        <v>330000</v>
      </c>
    </row>
    <row r="4" spans="2:14" x14ac:dyDescent="0.25">
      <c r="B4" s="1">
        <v>2</v>
      </c>
      <c r="C4" s="42" t="s">
        <v>53</v>
      </c>
      <c r="D4" s="43" t="s">
        <v>12</v>
      </c>
      <c r="E4" s="44">
        <v>80355464</v>
      </c>
      <c r="G4" s="1" t="s">
        <v>62</v>
      </c>
      <c r="I4" s="1">
        <v>2</v>
      </c>
      <c r="J4" s="46">
        <v>360000</v>
      </c>
      <c r="K4" s="46">
        <f t="shared" ref="K4:K15" si="0">J4-30000</f>
        <v>330000</v>
      </c>
      <c r="M4" s="62" t="s">
        <v>82</v>
      </c>
      <c r="N4" s="62"/>
    </row>
    <row r="5" spans="2:14" x14ac:dyDescent="0.25">
      <c r="B5" s="1">
        <v>3</v>
      </c>
      <c r="C5" t="s">
        <v>54</v>
      </c>
      <c r="D5" s="1" t="s">
        <v>12</v>
      </c>
      <c r="E5" s="2">
        <v>1075624125</v>
      </c>
      <c r="G5" s="1" t="s">
        <v>62</v>
      </c>
      <c r="I5" s="1">
        <v>3</v>
      </c>
      <c r="J5" s="46">
        <v>360000</v>
      </c>
      <c r="K5" s="46">
        <f t="shared" si="0"/>
        <v>330000</v>
      </c>
      <c r="M5" s="48" t="s">
        <v>68</v>
      </c>
      <c r="N5" s="54">
        <v>4900000</v>
      </c>
    </row>
    <row r="6" spans="2:14" x14ac:dyDescent="0.25">
      <c r="B6" s="1">
        <v>4</v>
      </c>
      <c r="C6" t="s">
        <v>55</v>
      </c>
      <c r="D6" s="1" t="s">
        <v>12</v>
      </c>
      <c r="E6" s="2">
        <v>1016101825</v>
      </c>
      <c r="G6" s="1" t="s">
        <v>62</v>
      </c>
      <c r="I6" s="1">
        <v>4</v>
      </c>
      <c r="J6" s="46">
        <v>360000</v>
      </c>
      <c r="K6" s="46">
        <f t="shared" si="0"/>
        <v>330000</v>
      </c>
      <c r="M6" s="48" t="s">
        <v>65</v>
      </c>
      <c r="N6" s="54">
        <v>180000</v>
      </c>
    </row>
    <row r="7" spans="2:14" x14ac:dyDescent="0.25">
      <c r="E7" s="2"/>
      <c r="J7" s="46"/>
      <c r="K7" s="46"/>
      <c r="M7" s="48" t="s">
        <v>69</v>
      </c>
      <c r="N7" s="54">
        <v>2250000</v>
      </c>
    </row>
    <row r="8" spans="2:14" x14ac:dyDescent="0.25">
      <c r="B8" s="1">
        <v>5</v>
      </c>
      <c r="C8" s="16" t="s">
        <v>48</v>
      </c>
      <c r="D8" s="17" t="s">
        <v>12</v>
      </c>
      <c r="E8" s="18">
        <v>52333511</v>
      </c>
      <c r="F8" s="3">
        <v>35765</v>
      </c>
      <c r="G8" s="1" t="s">
        <v>38</v>
      </c>
      <c r="H8" s="1" t="s">
        <v>49</v>
      </c>
      <c r="I8" s="1">
        <v>6</v>
      </c>
      <c r="J8" s="46">
        <v>360000</v>
      </c>
      <c r="K8" s="46">
        <f t="shared" si="0"/>
        <v>330000</v>
      </c>
      <c r="M8" s="48" t="s">
        <v>70</v>
      </c>
      <c r="N8" s="54">
        <f>16000*39</f>
        <v>624000</v>
      </c>
    </row>
    <row r="9" spans="2:14" x14ac:dyDescent="0.25">
      <c r="B9" s="1">
        <v>6</v>
      </c>
      <c r="C9" s="16" t="s">
        <v>58</v>
      </c>
      <c r="D9" s="17" t="s">
        <v>12</v>
      </c>
      <c r="E9" s="18">
        <v>52319283</v>
      </c>
      <c r="F9" s="3">
        <v>27172</v>
      </c>
      <c r="G9" s="1" t="s">
        <v>38</v>
      </c>
      <c r="H9" s="1">
        <v>3145461440</v>
      </c>
      <c r="I9" s="1">
        <v>7</v>
      </c>
      <c r="J9" s="46">
        <v>360000</v>
      </c>
      <c r="K9" s="46">
        <f t="shared" si="0"/>
        <v>330000</v>
      </c>
      <c r="M9" s="48" t="s">
        <v>71</v>
      </c>
      <c r="N9" s="54">
        <f>14000*39</f>
        <v>546000</v>
      </c>
    </row>
    <row r="10" spans="2:14" x14ac:dyDescent="0.25">
      <c r="B10" s="1">
        <v>7</v>
      </c>
      <c r="C10" s="7" t="s">
        <v>37</v>
      </c>
      <c r="D10" s="8" t="s">
        <v>12</v>
      </c>
      <c r="E10" s="9">
        <v>20872121</v>
      </c>
      <c r="F10" s="3">
        <v>29321</v>
      </c>
      <c r="G10" s="1" t="s">
        <v>38</v>
      </c>
      <c r="H10" s="1" t="s">
        <v>39</v>
      </c>
      <c r="I10" s="1">
        <v>8</v>
      </c>
      <c r="J10" s="46">
        <v>360000</v>
      </c>
      <c r="K10" s="46">
        <f t="shared" si="0"/>
        <v>330000</v>
      </c>
      <c r="M10" s="48" t="s">
        <v>72</v>
      </c>
      <c r="N10" s="54">
        <f>21000*39</f>
        <v>819000</v>
      </c>
    </row>
    <row r="11" spans="2:14" x14ac:dyDescent="0.25">
      <c r="B11" s="1">
        <v>8</v>
      </c>
      <c r="C11" s="7" t="s">
        <v>40</v>
      </c>
      <c r="D11" s="8" t="s">
        <v>12</v>
      </c>
      <c r="E11" s="9">
        <v>1075625001</v>
      </c>
      <c r="F11" s="3">
        <v>38684</v>
      </c>
      <c r="G11" s="3" t="s">
        <v>38</v>
      </c>
      <c r="H11" s="1" t="s">
        <v>41</v>
      </c>
      <c r="I11" s="1">
        <v>9</v>
      </c>
      <c r="J11" s="46">
        <v>360000</v>
      </c>
      <c r="K11" s="46">
        <f t="shared" si="0"/>
        <v>330000</v>
      </c>
      <c r="M11" s="48" t="s">
        <v>73</v>
      </c>
      <c r="N11" s="54">
        <v>304000</v>
      </c>
    </row>
    <row r="12" spans="2:14" x14ac:dyDescent="0.25">
      <c r="B12" s="1">
        <v>9</v>
      </c>
      <c r="C12" s="42" t="s">
        <v>56</v>
      </c>
      <c r="D12" s="43" t="s">
        <v>12</v>
      </c>
      <c r="E12" s="44">
        <v>52505200</v>
      </c>
      <c r="F12" s="3"/>
      <c r="G12" s="3" t="s">
        <v>62</v>
      </c>
      <c r="I12" s="1">
        <v>10</v>
      </c>
      <c r="J12" s="46">
        <v>360000</v>
      </c>
      <c r="K12" s="46">
        <f t="shared" si="0"/>
        <v>330000</v>
      </c>
      <c r="M12" s="48" t="s">
        <v>74</v>
      </c>
      <c r="N12" s="54">
        <v>100000</v>
      </c>
    </row>
    <row r="13" spans="2:14" ht="15.75" thickBot="1" x14ac:dyDescent="0.3">
      <c r="B13" s="1">
        <v>10</v>
      </c>
      <c r="C13" s="10" t="s">
        <v>43</v>
      </c>
      <c r="D13" s="11" t="s">
        <v>12</v>
      </c>
      <c r="E13" s="12">
        <v>20357352</v>
      </c>
      <c r="G13" s="1" t="s">
        <v>51</v>
      </c>
      <c r="I13" s="1">
        <v>11</v>
      </c>
      <c r="J13" s="46">
        <v>360000</v>
      </c>
      <c r="K13" s="46">
        <f t="shared" si="0"/>
        <v>330000</v>
      </c>
      <c r="M13" s="49" t="s">
        <v>75</v>
      </c>
      <c r="N13" s="60">
        <v>185000</v>
      </c>
    </row>
    <row r="14" spans="2:14" ht="15.75" thickBot="1" x14ac:dyDescent="0.3">
      <c r="B14" s="1">
        <v>11</v>
      </c>
      <c r="C14" s="10" t="s">
        <v>42</v>
      </c>
      <c r="D14" s="11" t="s">
        <v>12</v>
      </c>
      <c r="E14" s="12">
        <v>41521657</v>
      </c>
      <c r="G14" s="1" t="s">
        <v>51</v>
      </c>
      <c r="I14" s="1">
        <v>12</v>
      </c>
      <c r="J14" s="46">
        <v>360000</v>
      </c>
      <c r="K14" s="46">
        <f t="shared" si="0"/>
        <v>330000</v>
      </c>
      <c r="M14" s="65" t="s">
        <v>76</v>
      </c>
      <c r="N14" s="61">
        <f>SUM(N5:N13)</f>
        <v>9908000</v>
      </c>
    </row>
    <row r="15" spans="2:14" ht="15.75" thickBot="1" x14ac:dyDescent="0.3">
      <c r="B15" s="1">
        <v>12</v>
      </c>
      <c r="C15" s="10" t="s">
        <v>50</v>
      </c>
      <c r="D15" s="11" t="s">
        <v>12</v>
      </c>
      <c r="E15" s="12">
        <v>20357344</v>
      </c>
      <c r="G15" s="1" t="s">
        <v>51</v>
      </c>
      <c r="I15" s="1">
        <v>13</v>
      </c>
      <c r="J15" s="46">
        <v>360000</v>
      </c>
      <c r="K15" s="46">
        <f t="shared" si="0"/>
        <v>330000</v>
      </c>
      <c r="M15" s="63" t="s">
        <v>77</v>
      </c>
      <c r="N15" s="61">
        <f>K47</f>
        <v>12780000</v>
      </c>
    </row>
    <row r="16" spans="2:14" x14ac:dyDescent="0.25">
      <c r="B16" s="1">
        <v>13</v>
      </c>
      <c r="C16" s="19" t="s">
        <v>6</v>
      </c>
      <c r="D16" s="20" t="s">
        <v>12</v>
      </c>
      <c r="E16" s="20">
        <v>79656808</v>
      </c>
      <c r="G16" s="5"/>
      <c r="J16" s="47"/>
      <c r="K16" s="47"/>
      <c r="M16" s="64" t="s">
        <v>78</v>
      </c>
      <c r="N16" s="59">
        <f>N15-N14</f>
        <v>2872000</v>
      </c>
    </row>
    <row r="17" spans="2:15" x14ac:dyDescent="0.25">
      <c r="B17" s="1">
        <v>14</v>
      </c>
      <c r="C17" s="16" t="s">
        <v>44</v>
      </c>
      <c r="D17" s="17" t="s">
        <v>59</v>
      </c>
      <c r="E17" s="18">
        <v>52167704</v>
      </c>
      <c r="F17" s="3">
        <v>26494</v>
      </c>
      <c r="G17" s="1" t="s">
        <v>45</v>
      </c>
      <c r="I17" s="1">
        <v>14</v>
      </c>
      <c r="J17" s="46">
        <v>360000</v>
      </c>
      <c r="K17" s="46">
        <f>J17-30000</f>
        <v>330000</v>
      </c>
    </row>
    <row r="18" spans="2:15" x14ac:dyDescent="0.25">
      <c r="B18" s="1">
        <v>15</v>
      </c>
      <c r="C18" s="13" t="s">
        <v>60</v>
      </c>
      <c r="D18" s="14" t="s">
        <v>12</v>
      </c>
      <c r="E18" s="15">
        <v>1073628203</v>
      </c>
      <c r="F18" s="3">
        <v>38398</v>
      </c>
      <c r="G18" s="1" t="s">
        <v>38</v>
      </c>
      <c r="H18" s="1" t="s">
        <v>61</v>
      </c>
      <c r="I18" s="1">
        <v>15</v>
      </c>
      <c r="J18" s="46">
        <v>360000</v>
      </c>
      <c r="K18" s="46">
        <f>J18-30000</f>
        <v>330000</v>
      </c>
      <c r="M18" s="55" t="s">
        <v>80</v>
      </c>
      <c r="N18" s="56" t="s">
        <v>79</v>
      </c>
      <c r="O18" s="57" t="s">
        <v>81</v>
      </c>
    </row>
    <row r="19" spans="2:15" x14ac:dyDescent="0.25">
      <c r="B19" s="1">
        <v>16</v>
      </c>
      <c r="C19" t="s">
        <v>7</v>
      </c>
      <c r="D19" s="1" t="s">
        <v>59</v>
      </c>
      <c r="E19" s="2">
        <v>79538678</v>
      </c>
      <c r="G19" s="5"/>
      <c r="J19" s="47"/>
      <c r="K19" s="47"/>
      <c r="M19" s="48" t="s">
        <v>62</v>
      </c>
      <c r="N19" s="54">
        <f>30000*5</f>
        <v>150000</v>
      </c>
      <c r="O19" s="58">
        <v>5</v>
      </c>
    </row>
    <row r="20" spans="2:15" x14ac:dyDescent="0.25">
      <c r="B20" s="1">
        <v>17</v>
      </c>
      <c r="C20" s="13" t="s">
        <v>8</v>
      </c>
      <c r="D20" s="14" t="s">
        <v>12</v>
      </c>
      <c r="E20" s="15">
        <v>20358359</v>
      </c>
      <c r="F20" s="3">
        <v>31390</v>
      </c>
      <c r="G20" s="3" t="s">
        <v>38</v>
      </c>
      <c r="I20" s="1">
        <v>16</v>
      </c>
      <c r="J20" s="46">
        <v>360000</v>
      </c>
      <c r="K20" s="46">
        <f>J20-30000</f>
        <v>330000</v>
      </c>
      <c r="M20" s="48" t="s">
        <v>38</v>
      </c>
      <c r="N20" s="54">
        <f>30000*22</f>
        <v>660000</v>
      </c>
      <c r="O20" s="58">
        <v>22</v>
      </c>
    </row>
    <row r="21" spans="2:15" x14ac:dyDescent="0.25">
      <c r="B21" s="1">
        <v>18</v>
      </c>
      <c r="C21" s="13" t="s">
        <v>9</v>
      </c>
      <c r="D21" s="14" t="s">
        <v>12</v>
      </c>
      <c r="E21" s="15">
        <v>179856</v>
      </c>
      <c r="F21" s="3">
        <v>24912</v>
      </c>
      <c r="G21" s="3" t="s">
        <v>38</v>
      </c>
      <c r="I21" s="1">
        <v>17</v>
      </c>
      <c r="J21" s="46">
        <v>360000</v>
      </c>
      <c r="K21" s="46">
        <f t="shared" ref="K21:K31" si="1">J21-30000</f>
        <v>330000</v>
      </c>
      <c r="M21" s="48" t="s">
        <v>45</v>
      </c>
      <c r="N21" s="54">
        <f>30000*2</f>
        <v>60000</v>
      </c>
      <c r="O21" s="58">
        <v>2</v>
      </c>
    </row>
    <row r="22" spans="2:15" x14ac:dyDescent="0.25">
      <c r="B22" s="1">
        <v>19</v>
      </c>
      <c r="C22" s="13" t="s">
        <v>13</v>
      </c>
      <c r="D22" s="14" t="s">
        <v>14</v>
      </c>
      <c r="E22" s="15">
        <v>1074088060</v>
      </c>
      <c r="F22" s="3">
        <v>38750</v>
      </c>
      <c r="G22" s="3" t="s">
        <v>38</v>
      </c>
      <c r="I22" s="1">
        <v>18</v>
      </c>
      <c r="J22" s="46">
        <v>360000</v>
      </c>
      <c r="K22" s="46">
        <f t="shared" si="1"/>
        <v>330000</v>
      </c>
      <c r="M22" s="48" t="s">
        <v>36</v>
      </c>
      <c r="N22" s="54">
        <f>30000*9</f>
        <v>270000</v>
      </c>
      <c r="O22" s="58">
        <v>9</v>
      </c>
    </row>
    <row r="23" spans="2:15" x14ac:dyDescent="0.25">
      <c r="B23" s="1">
        <v>20</v>
      </c>
      <c r="C23" s="7" t="s">
        <v>10</v>
      </c>
      <c r="D23" s="8" t="s">
        <v>12</v>
      </c>
      <c r="E23" s="9">
        <v>1073630416</v>
      </c>
      <c r="G23" s="1" t="s">
        <v>38</v>
      </c>
      <c r="H23" s="1" t="s">
        <v>15</v>
      </c>
      <c r="I23" s="1">
        <v>19</v>
      </c>
      <c r="J23" s="46">
        <v>360000</v>
      </c>
      <c r="K23" s="46">
        <f t="shared" si="1"/>
        <v>330000</v>
      </c>
      <c r="M23" s="55" t="s">
        <v>76</v>
      </c>
      <c r="N23" s="54">
        <f>SUM(N19:N22)</f>
        <v>1140000</v>
      </c>
      <c r="O23" s="58">
        <f>SUM(O19:O22)</f>
        <v>38</v>
      </c>
    </row>
    <row r="24" spans="2:15" x14ac:dyDescent="0.25">
      <c r="B24" s="1">
        <v>21</v>
      </c>
      <c r="C24" s="7" t="s">
        <v>11</v>
      </c>
      <c r="D24" s="8" t="s">
        <v>12</v>
      </c>
      <c r="E24" s="9">
        <v>80387397</v>
      </c>
      <c r="G24" s="1" t="s">
        <v>38</v>
      </c>
      <c r="H24" s="1" t="s">
        <v>16</v>
      </c>
      <c r="I24" s="1">
        <v>20</v>
      </c>
      <c r="J24" s="46">
        <v>360000</v>
      </c>
      <c r="K24" s="46">
        <f t="shared" si="1"/>
        <v>330000</v>
      </c>
    </row>
    <row r="25" spans="2:15" x14ac:dyDescent="0.25">
      <c r="B25" s="1">
        <v>22</v>
      </c>
      <c r="C25" s="36" t="s">
        <v>17</v>
      </c>
      <c r="D25" s="37" t="s">
        <v>12</v>
      </c>
      <c r="E25" s="38">
        <v>60387842</v>
      </c>
      <c r="F25" s="3">
        <v>28658</v>
      </c>
      <c r="G25" s="3" t="s">
        <v>63</v>
      </c>
      <c r="I25" s="1">
        <v>21</v>
      </c>
      <c r="J25" s="46">
        <v>360000</v>
      </c>
      <c r="K25" s="46">
        <f t="shared" si="1"/>
        <v>330000</v>
      </c>
    </row>
    <row r="26" spans="2:15" x14ac:dyDescent="0.25">
      <c r="B26" s="1">
        <v>23</v>
      </c>
      <c r="C26" s="36" t="s">
        <v>18</v>
      </c>
      <c r="D26" s="37" t="s">
        <v>12</v>
      </c>
      <c r="E26" s="38">
        <v>79729728</v>
      </c>
      <c r="F26" s="3">
        <v>28049</v>
      </c>
      <c r="G26" s="3" t="s">
        <v>63</v>
      </c>
      <c r="I26" s="1">
        <v>22</v>
      </c>
      <c r="J26" s="46">
        <v>360000</v>
      </c>
      <c r="K26" s="46">
        <f t="shared" si="1"/>
        <v>330000</v>
      </c>
    </row>
    <row r="27" spans="2:15" x14ac:dyDescent="0.25">
      <c r="B27" s="1">
        <v>24</v>
      </c>
      <c r="C27" s="39" t="s">
        <v>57</v>
      </c>
      <c r="D27" s="40" t="s">
        <v>14</v>
      </c>
      <c r="E27" s="41">
        <v>1110094620</v>
      </c>
      <c r="F27" s="3">
        <v>38885</v>
      </c>
      <c r="G27" s="3" t="s">
        <v>63</v>
      </c>
      <c r="I27" s="1">
        <v>23</v>
      </c>
      <c r="J27" s="46">
        <v>360000</v>
      </c>
      <c r="K27" s="46">
        <f t="shared" si="1"/>
        <v>330000</v>
      </c>
    </row>
    <row r="28" spans="2:15" x14ac:dyDescent="0.25">
      <c r="B28" s="1">
        <v>25</v>
      </c>
      <c r="C28" s="33" t="s">
        <v>19</v>
      </c>
      <c r="D28" s="34" t="s">
        <v>12</v>
      </c>
      <c r="E28" s="35">
        <v>13823868</v>
      </c>
      <c r="F28" s="3">
        <v>19138</v>
      </c>
      <c r="G28" s="3" t="s">
        <v>63</v>
      </c>
      <c r="I28" s="1">
        <v>24</v>
      </c>
      <c r="J28" s="46">
        <v>360000</v>
      </c>
      <c r="K28" s="46">
        <f t="shared" si="1"/>
        <v>330000</v>
      </c>
    </row>
    <row r="29" spans="2:15" x14ac:dyDescent="0.25">
      <c r="B29" s="1">
        <v>26</v>
      </c>
      <c r="C29" s="33" t="s">
        <v>20</v>
      </c>
      <c r="D29" s="34" t="s">
        <v>12</v>
      </c>
      <c r="E29" s="35">
        <v>37245588</v>
      </c>
      <c r="F29" s="3">
        <v>20231</v>
      </c>
      <c r="G29" s="3" t="s">
        <v>63</v>
      </c>
      <c r="I29" s="1">
        <v>25</v>
      </c>
      <c r="J29" s="46">
        <v>360000</v>
      </c>
      <c r="K29" s="46">
        <f t="shared" si="1"/>
        <v>330000</v>
      </c>
    </row>
    <row r="30" spans="2:15" x14ac:dyDescent="0.25">
      <c r="B30" s="1">
        <v>27</v>
      </c>
      <c r="C30" s="39" t="s">
        <v>21</v>
      </c>
      <c r="D30" s="40" t="s">
        <v>12</v>
      </c>
      <c r="E30" s="41">
        <v>1030564896</v>
      </c>
      <c r="F30" s="3">
        <v>32834</v>
      </c>
      <c r="G30" s="3" t="s">
        <v>63</v>
      </c>
      <c r="I30" s="1">
        <v>26</v>
      </c>
      <c r="J30" s="46">
        <v>360000</v>
      </c>
      <c r="K30" s="46">
        <f t="shared" si="1"/>
        <v>330000</v>
      </c>
    </row>
    <row r="31" spans="2:15" x14ac:dyDescent="0.25">
      <c r="B31" s="1">
        <v>28</v>
      </c>
      <c r="C31" s="39" t="s">
        <v>22</v>
      </c>
      <c r="D31" s="40" t="s">
        <v>14</v>
      </c>
      <c r="E31" s="41">
        <v>1019608522</v>
      </c>
      <c r="F31" s="3">
        <v>41805</v>
      </c>
      <c r="G31" s="3" t="s">
        <v>63</v>
      </c>
      <c r="I31" s="1">
        <v>27</v>
      </c>
      <c r="J31" s="46">
        <v>360000</v>
      </c>
      <c r="K31" s="46">
        <f t="shared" si="1"/>
        <v>330000</v>
      </c>
    </row>
    <row r="32" spans="2:15" x14ac:dyDescent="0.25">
      <c r="B32" s="1">
        <v>29</v>
      </c>
      <c r="C32" s="6" t="s">
        <v>23</v>
      </c>
      <c r="D32" s="5" t="s">
        <v>24</v>
      </c>
      <c r="E32" s="4">
        <v>1014745749</v>
      </c>
      <c r="F32" s="3">
        <v>44049</v>
      </c>
      <c r="G32" s="3" t="s">
        <v>63</v>
      </c>
      <c r="H32" s="1" t="s">
        <v>64</v>
      </c>
      <c r="J32" s="46">
        <v>160000</v>
      </c>
      <c r="K32" s="46">
        <v>160000</v>
      </c>
    </row>
    <row r="33" spans="2:15" x14ac:dyDescent="0.25">
      <c r="B33" s="1">
        <v>30</v>
      </c>
      <c r="C33" s="30" t="s">
        <v>34</v>
      </c>
      <c r="D33" s="31" t="s">
        <v>12</v>
      </c>
      <c r="E33" s="32">
        <v>21119044</v>
      </c>
      <c r="F33" s="3"/>
      <c r="G33" s="3" t="s">
        <v>36</v>
      </c>
      <c r="I33" s="1">
        <v>28</v>
      </c>
      <c r="J33" s="46">
        <v>360000</v>
      </c>
      <c r="K33" s="46">
        <f>J33-30000</f>
        <v>330000</v>
      </c>
    </row>
    <row r="34" spans="2:15" x14ac:dyDescent="0.25">
      <c r="B34" s="1">
        <v>31</v>
      </c>
      <c r="C34" s="30" t="s">
        <v>33</v>
      </c>
      <c r="D34" s="31" t="s">
        <v>12</v>
      </c>
      <c r="E34" s="32">
        <v>13906487</v>
      </c>
      <c r="F34" s="3"/>
      <c r="G34" s="3" t="s">
        <v>36</v>
      </c>
      <c r="I34" s="1">
        <v>29</v>
      </c>
      <c r="J34" s="46">
        <v>360000</v>
      </c>
      <c r="K34" s="46">
        <f t="shared" ref="K34:K41" si="2">J34-30000</f>
        <v>330000</v>
      </c>
    </row>
    <row r="35" spans="2:15" x14ac:dyDescent="0.25">
      <c r="B35" s="1">
        <v>32</v>
      </c>
      <c r="C35" s="30" t="s">
        <v>32</v>
      </c>
      <c r="D35" s="31" t="s">
        <v>12</v>
      </c>
      <c r="E35" s="32">
        <v>1073630575</v>
      </c>
      <c r="F35" s="3"/>
      <c r="G35" s="3" t="s">
        <v>36</v>
      </c>
      <c r="I35" s="1">
        <v>30</v>
      </c>
      <c r="J35" s="46">
        <v>360000</v>
      </c>
      <c r="K35" s="46">
        <f t="shared" si="2"/>
        <v>330000</v>
      </c>
    </row>
    <row r="36" spans="2:15" x14ac:dyDescent="0.25">
      <c r="B36" s="1">
        <v>33</v>
      </c>
      <c r="C36" s="21" t="s">
        <v>31</v>
      </c>
      <c r="D36" s="22" t="s">
        <v>12</v>
      </c>
      <c r="E36" s="23">
        <v>1003706390</v>
      </c>
      <c r="F36" s="3"/>
      <c r="G36" s="3" t="s">
        <v>36</v>
      </c>
      <c r="I36" s="1">
        <v>31</v>
      </c>
      <c r="J36" s="46">
        <v>370000</v>
      </c>
      <c r="K36" s="46">
        <f t="shared" si="2"/>
        <v>340000</v>
      </c>
    </row>
    <row r="37" spans="2:15" x14ac:dyDescent="0.25">
      <c r="B37" s="1">
        <v>34</v>
      </c>
      <c r="C37" s="21" t="s">
        <v>30</v>
      </c>
      <c r="D37" s="22" t="s">
        <v>12</v>
      </c>
      <c r="E37" s="23">
        <v>1007953323</v>
      </c>
      <c r="F37" s="3"/>
      <c r="G37" s="3" t="s">
        <v>36</v>
      </c>
      <c r="I37" s="1">
        <v>32</v>
      </c>
      <c r="J37" s="46">
        <v>370000</v>
      </c>
      <c r="K37" s="46">
        <f t="shared" si="2"/>
        <v>340000</v>
      </c>
    </row>
    <row r="38" spans="2:15" x14ac:dyDescent="0.25">
      <c r="B38" s="1">
        <v>35</v>
      </c>
      <c r="C38" s="27" t="s">
        <v>29</v>
      </c>
      <c r="D38" s="28" t="s">
        <v>12</v>
      </c>
      <c r="E38" s="29">
        <v>1073630384</v>
      </c>
      <c r="F38" s="3"/>
      <c r="G38" s="3" t="s">
        <v>36</v>
      </c>
      <c r="I38" s="1">
        <v>33</v>
      </c>
      <c r="J38" s="46">
        <v>360000</v>
      </c>
      <c r="K38" s="46">
        <f t="shared" si="2"/>
        <v>330000</v>
      </c>
    </row>
    <row r="39" spans="2:15" x14ac:dyDescent="0.25">
      <c r="B39" s="1">
        <v>36</v>
      </c>
      <c r="C39" s="27" t="s">
        <v>28</v>
      </c>
      <c r="D39" s="28" t="s">
        <v>12</v>
      </c>
      <c r="E39" s="29">
        <v>1121888616</v>
      </c>
      <c r="F39" s="3"/>
      <c r="G39" s="3" t="s">
        <v>36</v>
      </c>
      <c r="I39" s="1">
        <v>34</v>
      </c>
      <c r="J39" s="46">
        <v>360000</v>
      </c>
      <c r="K39" s="46">
        <f t="shared" si="2"/>
        <v>330000</v>
      </c>
    </row>
    <row r="40" spans="2:15" x14ac:dyDescent="0.25">
      <c r="B40" s="1">
        <v>37</v>
      </c>
      <c r="C40" s="27" t="s">
        <v>27</v>
      </c>
      <c r="D40" s="28" t="s">
        <v>14</v>
      </c>
      <c r="E40" s="29">
        <v>1195464772</v>
      </c>
      <c r="F40" s="3"/>
      <c r="G40" s="3" t="s">
        <v>36</v>
      </c>
      <c r="I40" s="1">
        <v>35</v>
      </c>
      <c r="J40" s="46">
        <v>360000</v>
      </c>
      <c r="K40" s="46">
        <f t="shared" si="2"/>
        <v>330000</v>
      </c>
    </row>
    <row r="41" spans="2:15" x14ac:dyDescent="0.25">
      <c r="B41" s="1">
        <v>38</v>
      </c>
      <c r="C41" s="27" t="s">
        <v>26</v>
      </c>
      <c r="D41" s="28" t="s">
        <v>12</v>
      </c>
      <c r="E41" s="29">
        <v>21054827</v>
      </c>
      <c r="F41" s="3"/>
      <c r="G41" s="3" t="s">
        <v>36</v>
      </c>
      <c r="I41" s="1">
        <v>36</v>
      </c>
      <c r="J41" s="46">
        <v>360000</v>
      </c>
      <c r="K41" s="46">
        <f t="shared" si="2"/>
        <v>330000</v>
      </c>
    </row>
    <row r="42" spans="2:15" x14ac:dyDescent="0.25">
      <c r="B42" s="1">
        <v>39</v>
      </c>
      <c r="C42" s="6" t="s">
        <v>25</v>
      </c>
      <c r="D42" s="5" t="s">
        <v>24</v>
      </c>
      <c r="E42" s="4">
        <v>1072964377</v>
      </c>
      <c r="F42" s="3"/>
      <c r="G42" s="3" t="s">
        <v>36</v>
      </c>
      <c r="H42" s="1" t="s">
        <v>65</v>
      </c>
      <c r="J42" s="46">
        <v>30000</v>
      </c>
      <c r="K42" s="46">
        <v>30000</v>
      </c>
    </row>
    <row r="43" spans="2:15" x14ac:dyDescent="0.25">
      <c r="B43" s="1">
        <v>40</v>
      </c>
      <c r="C43" s="24" t="s">
        <v>46</v>
      </c>
      <c r="D43" s="25" t="s">
        <v>12</v>
      </c>
      <c r="E43" s="26">
        <v>53097389</v>
      </c>
      <c r="F43" s="3">
        <v>30889</v>
      </c>
      <c r="G43" s="3" t="s">
        <v>38</v>
      </c>
      <c r="I43" s="1">
        <v>37</v>
      </c>
      <c r="J43" s="46">
        <v>360000</v>
      </c>
      <c r="K43" s="46">
        <f>J43-30000</f>
        <v>330000</v>
      </c>
    </row>
    <row r="44" spans="2:15" s="67" customFormat="1" x14ac:dyDescent="0.25">
      <c r="B44" s="1">
        <v>41</v>
      </c>
      <c r="C44" s="67" t="s">
        <v>83</v>
      </c>
      <c r="D44" s="66" t="s">
        <v>12</v>
      </c>
      <c r="E44" s="68"/>
      <c r="F44" s="69"/>
      <c r="G44" s="69" t="s">
        <v>45</v>
      </c>
      <c r="H44" s="66"/>
      <c r="I44" s="66">
        <v>38</v>
      </c>
      <c r="J44" s="70">
        <v>360000</v>
      </c>
      <c r="K44" s="70">
        <f>J44-30000</f>
        <v>330000</v>
      </c>
      <c r="N44" s="71"/>
      <c r="O44" s="66"/>
    </row>
    <row r="45" spans="2:15" x14ac:dyDescent="0.25">
      <c r="B45" s="1">
        <v>42</v>
      </c>
      <c r="C45" s="24" t="s">
        <v>47</v>
      </c>
      <c r="D45" s="25" t="s">
        <v>14</v>
      </c>
      <c r="E45" s="26">
        <v>1073629019</v>
      </c>
      <c r="F45" s="3">
        <v>39892</v>
      </c>
      <c r="G45" s="3" t="s">
        <v>38</v>
      </c>
      <c r="I45" s="1">
        <v>39</v>
      </c>
      <c r="J45" s="46">
        <v>360000</v>
      </c>
      <c r="K45" s="46">
        <f>J45-30000</f>
        <v>330000</v>
      </c>
    </row>
    <row r="46" spans="2:15" x14ac:dyDescent="0.25">
      <c r="B46" s="1">
        <v>43</v>
      </c>
      <c r="C46" t="s">
        <v>66</v>
      </c>
      <c r="D46" s="1" t="s">
        <v>24</v>
      </c>
      <c r="E46" s="2">
        <v>1072433005</v>
      </c>
      <c r="F46" s="3">
        <v>44794</v>
      </c>
      <c r="G46" s="3" t="s">
        <v>45</v>
      </c>
      <c r="H46" s="1" t="s">
        <v>65</v>
      </c>
      <c r="J46" s="46">
        <v>30000</v>
      </c>
      <c r="K46" s="46">
        <v>30000</v>
      </c>
    </row>
    <row r="47" spans="2:15" x14ac:dyDescent="0.25">
      <c r="J47" s="47">
        <f>SUM(J3:J46)</f>
        <v>13920000</v>
      </c>
      <c r="K47" s="53">
        <f>SUM(K3:K46)</f>
        <v>12780000</v>
      </c>
    </row>
    <row r="48" spans="2:15" x14ac:dyDescent="0.25">
      <c r="J48" s="52">
        <f>J47-N23</f>
        <v>12780000</v>
      </c>
    </row>
  </sheetData>
  <mergeCells count="1">
    <mergeCell ref="M4:N4"/>
  </mergeCells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STEFANI  CRUZ MORENO</dc:creator>
  <cp:lastModifiedBy>DANIELA STEFANI  CRUZ MORENO</cp:lastModifiedBy>
  <dcterms:created xsi:type="dcterms:W3CDTF">2023-11-27T19:18:38Z</dcterms:created>
  <dcterms:modified xsi:type="dcterms:W3CDTF">2024-01-03T16:37:25Z</dcterms:modified>
</cp:coreProperties>
</file>