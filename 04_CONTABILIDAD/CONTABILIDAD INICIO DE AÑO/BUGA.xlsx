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1390E6BD-4AC0-4676-BDAA-8D8C52968713}" xr6:coauthVersionLast="47" xr6:coauthVersionMax="47" xr10:uidLastSave="{00000000-0000-0000-0000-000000000000}"/>
  <bookViews>
    <workbookView xWindow="-120" yWindow="-120" windowWidth="20730" windowHeight="11040" xr2:uid="{995AD431-8826-4356-83FF-6F3FC0452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H111" i="1"/>
  <c r="I109" i="1"/>
  <c r="I110" i="1"/>
  <c r="M7" i="1" l="1"/>
  <c r="M3" i="1"/>
  <c r="M4" i="1"/>
  <c r="M5" i="1"/>
  <c r="M6" i="1"/>
  <c r="M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4" i="1"/>
  <c r="I105" i="1"/>
  <c r="I106" i="1"/>
  <c r="I107" i="1"/>
  <c r="I108" i="1"/>
  <c r="I3" i="1"/>
  <c r="L8" i="1"/>
  <c r="L15" i="1"/>
  <c r="L17" i="1" s="1"/>
  <c r="I111" i="1" l="1"/>
  <c r="L18" i="1" s="1"/>
  <c r="L19" i="1" s="1"/>
  <c r="M8" i="1"/>
</calcChain>
</file>

<file path=xl/sharedStrings.xml><?xml version="1.0" encoding="utf-8"?>
<sst xmlns="http://schemas.openxmlformats.org/spreadsheetml/2006/main" count="181" uniqueCount="132">
  <si>
    <t>LILIA BEATRIZ MUNAYAR</t>
  </si>
  <si>
    <t>MARISOL PATIÑO FONSECA</t>
  </si>
  <si>
    <t>FOCIÓN PARDO GARCÍA</t>
  </si>
  <si>
    <t>FABIAN PORRAS</t>
  </si>
  <si>
    <t>MAURICIO HERNANDEZ GARCÍA</t>
  </si>
  <si>
    <t>BRIYITH MARROQUIN RODRIGUEZ</t>
  </si>
  <si>
    <t xml:space="preserve"> NELCY GARCÍA</t>
  </si>
  <si>
    <t>MARÍA CLEMENCIA LEONOR ARIAS</t>
  </si>
  <si>
    <t>JORGE ENRIQUE GIRON</t>
  </si>
  <si>
    <t>ARTURO HERRERA</t>
  </si>
  <si>
    <t>JAIME BERNAL MARENTE</t>
  </si>
  <si>
    <t>MARIANA PORRAS PENAGOS</t>
  </si>
  <si>
    <t>LEONOR TORRES MARTINEZ</t>
  </si>
  <si>
    <t>LINA MARÍA PAEZ</t>
  </si>
  <si>
    <t>CECILIA CAMACHO</t>
  </si>
  <si>
    <t xml:space="preserve"> MATILDE ALDANA JIMENEZ</t>
  </si>
  <si>
    <t>JOSEÉ LUIS LUNA GALINDO</t>
  </si>
  <si>
    <t>LUIS ALBERTO DUARTE</t>
  </si>
  <si>
    <t>FABIO HERRERA OVIEDO</t>
  </si>
  <si>
    <t>CRISTIAN CAMILO CORTEZ</t>
  </si>
  <si>
    <t xml:space="preserve"> LUZ AMANDA RUBIO</t>
  </si>
  <si>
    <t xml:space="preserve"> CARMEN ELISA HERRERA OVIEDO</t>
  </si>
  <si>
    <t>DIEGO FERNANDO CARRANZA</t>
  </si>
  <si>
    <t>ANDRES LOZANO GALEANO</t>
  </si>
  <si>
    <t>MARÍA MARQUEZ BERMUDEZ</t>
  </si>
  <si>
    <t>MARÍA CARMENZA GOMEZ</t>
  </si>
  <si>
    <t>FLOR MARINA GOMEZ CARRILLO</t>
  </si>
  <si>
    <t>OLGA LUCIA CASALLAS</t>
  </si>
  <si>
    <t>GLADYS MARGARITA PALACIOS</t>
  </si>
  <si>
    <t>JOSE ROMERO HUERTAS</t>
  </si>
  <si>
    <t>ANDREA PENAGOS MUÑOZ</t>
  </si>
  <si>
    <t>ORIANA GIRON MORENO</t>
  </si>
  <si>
    <t xml:space="preserve"> LADY JHOANA SALAZAR ALDANA</t>
  </si>
  <si>
    <t>INES MAYERLY ABREU</t>
  </si>
  <si>
    <t xml:space="preserve"> SANDRA ROMERO</t>
  </si>
  <si>
    <t xml:space="preserve"> JUDY FISCAL BARBOSA</t>
  </si>
  <si>
    <t>PAULA ANDREA MOYANO</t>
  </si>
  <si>
    <t xml:space="preserve">MARIA JOSE BUITRAGO </t>
  </si>
  <si>
    <t xml:space="preserve">MARÍA CONCEPCIÓN SABOGAL </t>
  </si>
  <si>
    <t xml:space="preserve">LUIS HERNANDO ROMERO </t>
  </si>
  <si>
    <t xml:space="preserve">JUAN PABLO RAYRAN MARQUEZ </t>
  </si>
  <si>
    <t xml:space="preserve">LUZ AMANDA GARCÍA AYALA </t>
  </si>
  <si>
    <t xml:space="preserve">ALODIA MARQUEZ BERMUDEZ </t>
  </si>
  <si>
    <t xml:space="preserve">AMPARO UPEGUI DE LOZANO </t>
  </si>
  <si>
    <t xml:space="preserve">MARÍA FERNANDA BENAVIDES </t>
  </si>
  <si>
    <t xml:space="preserve">JASMÍN CAICEDO QUIROGA </t>
  </si>
  <si>
    <t xml:space="preserve">MARÍA JULIA DELGADO </t>
  </si>
  <si>
    <t xml:space="preserve">NELSY QUIROZ SEPULVEDA </t>
  </si>
  <si>
    <t xml:space="preserve">ANA EDITH MORENO </t>
  </si>
  <si>
    <t xml:space="preserve">CECILIA HERRERA OVIEDO </t>
  </si>
  <si>
    <t xml:space="preserve">GERMAN HUMBERTO AMAZON TRUJILLO </t>
  </si>
  <si>
    <t xml:space="preserve">LUZ MARINA PACHON </t>
  </si>
  <si>
    <t xml:space="preserve">FLORINDA DAZA MARIN </t>
  </si>
  <si>
    <t xml:space="preserve">HANNA SOFIA PASTRANA </t>
  </si>
  <si>
    <t xml:space="preserve">LAURA ALEJANDRA MARQUEZ </t>
  </si>
  <si>
    <t xml:space="preserve">FLOR ANGELA RODRIGUEZ </t>
  </si>
  <si>
    <t xml:space="preserve">MARÍA YOLANDA PRIETO </t>
  </si>
  <si>
    <t xml:space="preserve">CRISTIAN CAMILO BERNAL </t>
  </si>
  <si>
    <t xml:space="preserve">DIANA MARÍA LEON </t>
  </si>
  <si>
    <t xml:space="preserve">SANDRA PATRICIA CRUZ </t>
  </si>
  <si>
    <t xml:space="preserve">APELENDO RODRIGUEZ LOPEZ </t>
  </si>
  <si>
    <t xml:space="preserve">LUIS SANCHEZ CASALLAS </t>
  </si>
  <si>
    <t xml:space="preserve">ROSALBA HERRERA OVIEDO </t>
  </si>
  <si>
    <t xml:space="preserve">ANA ELISA PAEZ </t>
  </si>
  <si>
    <t xml:space="preserve">NINFA PEREZ NUÑEZ </t>
  </si>
  <si>
    <t xml:space="preserve">LUZ CLEMENCIA ESCOBAR </t>
  </si>
  <si>
    <t xml:space="preserve">MONICA JULIETH PARDO </t>
  </si>
  <si>
    <t xml:space="preserve">JOSEFINA HERNANDEZ CAVIEDES </t>
  </si>
  <si>
    <t xml:space="preserve">MERY PULIDO PRIETO </t>
  </si>
  <si>
    <t xml:space="preserve">NANCY ESPERANZA ESPINOZA </t>
  </si>
  <si>
    <t xml:space="preserve">ALFONSO CANO </t>
  </si>
  <si>
    <t xml:space="preserve">FABIOLA ROSARIO GARCIA </t>
  </si>
  <si>
    <t xml:space="preserve">MARTHA PULIDO PRIETO </t>
  </si>
  <si>
    <t xml:space="preserve">MARGOTH DUARTE ROMERO </t>
  </si>
  <si>
    <t xml:space="preserve">DIANA CAROLINA MARQUEZ </t>
  </si>
  <si>
    <t xml:space="preserve">EMILY LARA ROMERO </t>
  </si>
  <si>
    <t xml:space="preserve">MARÍA INES ARIAS </t>
  </si>
  <si>
    <t xml:space="preserve">BRAYAN SANTIAGO PARDO </t>
  </si>
  <si>
    <t xml:space="preserve">GABRIELA PASTRANA PEÑA </t>
  </si>
  <si>
    <t xml:space="preserve">JACKELINE HERRERA DÍAZ </t>
  </si>
  <si>
    <t xml:space="preserve">DIANA MARCELA RAMIREZ </t>
  </si>
  <si>
    <t xml:space="preserve">JOSE RAUL RODRIGUEZ </t>
  </si>
  <si>
    <t xml:space="preserve">LILIA PRIETO PULIDO </t>
  </si>
  <si>
    <t xml:space="preserve">OSCAR ALIRIO QUIROGA </t>
  </si>
  <si>
    <t xml:space="preserve">FABIO NELSON LUNA </t>
  </si>
  <si>
    <t xml:space="preserve">AMPARO HERRERA OVIEDO </t>
  </si>
  <si>
    <t xml:space="preserve">CLAUDIA MILENA AGUIRRE </t>
  </si>
  <si>
    <t xml:space="preserve">YESENIA MUÑOZ SALCEDO </t>
  </si>
  <si>
    <t xml:space="preserve">LUISA FERNANDA ROMERO </t>
  </si>
  <si>
    <t xml:space="preserve">NINI JOHANA VILLAMIL </t>
  </si>
  <si>
    <t xml:space="preserve">CLARA INES CIFUENTES </t>
  </si>
  <si>
    <t xml:space="preserve">LUZ MARY UPEGUI </t>
  </si>
  <si>
    <t xml:space="preserve">MARGARITA CORTÉS BETANCOUR </t>
  </si>
  <si>
    <t xml:space="preserve">ANDRES MAURICIO ACOSTA </t>
  </si>
  <si>
    <t xml:space="preserve">JUAN SEBASTIAN HERNANDEZ </t>
  </si>
  <si>
    <t xml:space="preserve">MARÍA SALOME CARRILLO </t>
  </si>
  <si>
    <t xml:space="preserve">MARY LUZ ESPINOSA </t>
  </si>
  <si>
    <t xml:space="preserve">SARA JULIANA LOZANO </t>
  </si>
  <si>
    <t xml:space="preserve">ANA LUCIA HERRERA </t>
  </si>
  <si>
    <t xml:space="preserve">PABLO LUIS CASTELLO </t>
  </si>
  <si>
    <t xml:space="preserve">GABRIEL CABRERA PINZÓN </t>
  </si>
  <si>
    <t xml:space="preserve">MARÍA CLEMENCIA GOMEZ PRIETO </t>
  </si>
  <si>
    <t xml:space="preserve">LEONOR LUNA PEREA </t>
  </si>
  <si>
    <t xml:space="preserve">MARTHA YANETH FISCAL </t>
  </si>
  <si>
    <t xml:space="preserve">HELBERTH VILLABÓN SABOGAL </t>
  </si>
  <si>
    <t xml:space="preserve">LUZ AMPARO LOPEZ </t>
  </si>
  <si>
    <t>N°</t>
  </si>
  <si>
    <t># DOCUMENTO</t>
  </si>
  <si>
    <t>NOMBRE</t>
  </si>
  <si>
    <t>COMISIONISTA</t>
  </si>
  <si>
    <t>FECHA NACI</t>
  </si>
  <si>
    <t>TELEFONO</t>
  </si>
  <si>
    <t xml:space="preserve">VALOR </t>
  </si>
  <si>
    <t>COMISIÓN</t>
  </si>
  <si>
    <t>GLORIA</t>
  </si>
  <si>
    <t>ISABEL</t>
  </si>
  <si>
    <t>EDITH</t>
  </si>
  <si>
    <t>MAFE</t>
  </si>
  <si>
    <t>TETE</t>
  </si>
  <si>
    <t>LAD</t>
  </si>
  <si>
    <t>BUS</t>
  </si>
  <si>
    <t>SEGURO</t>
  </si>
  <si>
    <t xml:space="preserve">EDITH </t>
  </si>
  <si>
    <t>PACHA MAMA + ALMUERZO</t>
  </si>
  <si>
    <t>TOTAL</t>
  </si>
  <si>
    <t>INGRESO</t>
  </si>
  <si>
    <t>UTILIDAD</t>
  </si>
  <si>
    <t>COSTOS Y GASTOS</t>
  </si>
  <si>
    <t>Total</t>
  </si>
  <si>
    <t>GASTOS DE REPRESENTACIÓN</t>
  </si>
  <si>
    <t>ERNESTO MARQUEZ</t>
  </si>
  <si>
    <t>JULIA ELEONOR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</si>
</sst>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44" fontId="0" fillId="0" borderId="0" xfId="0" applyNumberFormat="1"/>
    <xf numFmtId="0" fontId="0" fillId="0" borderId="4" xfId="0" applyBorder="1"/>
    <xf numFmtId="44" fontId="0" fillId="0" borderId="4" xfId="1" applyFont="1" applyBorder="1"/>
    <xf numFmtId="44" fontId="0" fillId="0" borderId="4" xfId="0" applyNumberFormat="1" applyBorder="1"/>
    <xf numFmtId="0" fontId="0" fillId="2" borderId="4" xfId="0" applyFill="1" applyBorder="1"/>
    <xf numFmtId="0" fontId="0" fillId="3" borderId="4" xfId="0" applyFill="1" applyBorder="1"/>
    <xf numFmtId="0" fontId="0" fillId="0" borderId="4" xfId="0" applyBorder="1" applyAlignment="1">
      <alignment horizontal="center"/>
    </xf>
    <xf numFmtId="0" fontId="0" fillId="0" borderId="4" xfId="0" applyFill="1" applyBorder="1"/>
    <xf numFmtId="0" fontId="0" fillId="4" borderId="4" xfId="0" applyFill="1" applyBorder="1"/>
    <xf numFmtId="44" fontId="2" fillId="0" borderId="2" xfId="0" applyNumberFormat="1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2">
    <cellStyle name="Moneda" xfId="1" builtinId="4"/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388EB-B0CF-4805-B68A-238C7354E2A4}" name="Tabla1" displayName="Tabla1" ref="B2:I110" totalsRowShown="0" headerRowDxfId="14">
  <autoFilter ref="B2:I110" xr:uid="{F96388EB-B0CF-4805-B68A-238C7354E2A4}"/>
  <tableColumns count="8">
    <tableColumn id="1" xr3:uid="{7D99F071-3082-4655-A76D-4B3F8D8E4879}" name="N°" dataDxfId="12" totalsRowDxfId="6"/>
    <tableColumn id="2" xr3:uid="{8EED748F-A7CF-447E-9266-6859BA40CC56}" name="# DOCUMENTO" dataDxfId="13" totalsRowDxfId="5"/>
    <tableColumn id="3" xr3:uid="{6B6929E0-D372-4898-B7D6-7AAE71B10CA4}" name="NOMBRE"/>
    <tableColumn id="4" xr3:uid="{3928656B-BA4F-468D-9AD9-D5A317702B36}" name="FECHA NACI" dataDxfId="11" totalsRowDxfId="4"/>
    <tableColumn id="5" xr3:uid="{701A5E99-2D9C-4B44-911B-F96ADEB2EB35}" name="TELEFONO" dataDxfId="10" totalsRowDxfId="3"/>
    <tableColumn id="6" xr3:uid="{027B339A-7CA9-4573-B98B-48A916505C32}" name="COMISIONISTA" dataDxfId="9" totalsRowDxfId="2"/>
    <tableColumn id="7" xr3:uid="{13FE456B-E1EA-476F-B338-5FE31ED138F4}" name="VALOR " dataDxfId="8" totalsRowDxfId="1"/>
    <tableColumn id="8" xr3:uid="{41FB52F7-86B6-4415-9DE9-AE7F2A1FBD3B}" name="COMISIÓN" dataDxfId="7" totalsRowDxfId="0" dataCellStyle="Moneda">
      <calculatedColumnFormula>Tabla1[[#This Row],[VALOR 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483-165E-467B-893C-5C543B440885}">
  <dimension ref="B2:M111"/>
  <sheetViews>
    <sheetView tabSelected="1" topLeftCell="C8" zoomScale="80" workbookViewId="0">
      <selection activeCell="K23" sqref="K23"/>
    </sheetView>
  </sheetViews>
  <sheetFormatPr baseColWidth="10" defaultRowHeight="15" x14ac:dyDescent="0.25"/>
  <cols>
    <col min="2" max="2" width="11.42578125" style="1"/>
    <col min="3" max="3" width="20.7109375" style="1" bestFit="1" customWidth="1"/>
    <col min="4" max="4" width="37.28515625" bestFit="1" customWidth="1"/>
    <col min="5" max="5" width="17.7109375" style="1" bestFit="1" customWidth="1"/>
    <col min="6" max="6" width="16.42578125" style="1" bestFit="1" customWidth="1"/>
    <col min="7" max="7" width="20.140625" style="1" bestFit="1" customWidth="1"/>
    <col min="8" max="9" width="16.5703125" style="1" bestFit="1" customWidth="1"/>
    <col min="11" max="11" width="28.85546875" bestFit="1" customWidth="1"/>
    <col min="12" max="12" width="16.5703125" bestFit="1" customWidth="1"/>
    <col min="13" max="13" width="15.5703125" bestFit="1" customWidth="1"/>
  </cols>
  <sheetData>
    <row r="2" spans="2:13" x14ac:dyDescent="0.25">
      <c r="B2" s="1" t="s">
        <v>106</v>
      </c>
      <c r="C2" s="1" t="s">
        <v>107</v>
      </c>
      <c r="D2" s="1" t="s">
        <v>108</v>
      </c>
      <c r="E2" s="1" t="s">
        <v>110</v>
      </c>
      <c r="F2" s="1" t="s">
        <v>111</v>
      </c>
      <c r="G2" s="1" t="s">
        <v>109</v>
      </c>
      <c r="H2" s="1" t="s">
        <v>112</v>
      </c>
      <c r="I2" s="1" t="s">
        <v>113</v>
      </c>
      <c r="K2" s="8" t="s">
        <v>117</v>
      </c>
      <c r="L2" s="8">
        <v>5</v>
      </c>
      <c r="M2" s="9">
        <f>L2*15000</f>
        <v>75000</v>
      </c>
    </row>
    <row r="3" spans="2:13" x14ac:dyDescent="0.25">
      <c r="B3" s="1">
        <v>1</v>
      </c>
      <c r="C3" s="1">
        <v>41472593</v>
      </c>
      <c r="D3" t="s">
        <v>0</v>
      </c>
      <c r="G3" s="1" t="s">
        <v>116</v>
      </c>
      <c r="H3" s="2">
        <v>155000</v>
      </c>
      <c r="I3" s="3">
        <f>Tabla1[[#This Row],[VALOR ]]-15000</f>
        <v>140000</v>
      </c>
      <c r="K3" s="8" t="s">
        <v>114</v>
      </c>
      <c r="L3" s="8">
        <v>14</v>
      </c>
      <c r="M3" s="9">
        <f t="shared" ref="M3:M6" si="0">L3*15000</f>
        <v>210000</v>
      </c>
    </row>
    <row r="4" spans="2:13" x14ac:dyDescent="0.25">
      <c r="B4" s="1">
        <v>2</v>
      </c>
      <c r="C4" s="1">
        <v>20871927</v>
      </c>
      <c r="D4" t="s">
        <v>1</v>
      </c>
      <c r="H4" s="2">
        <v>155000</v>
      </c>
      <c r="I4" s="3">
        <f>Tabla1[[#This Row],[VALOR ]]-15000</f>
        <v>140000</v>
      </c>
      <c r="K4" s="8" t="s">
        <v>115</v>
      </c>
      <c r="L4" s="8">
        <v>41</v>
      </c>
      <c r="M4" s="9">
        <f t="shared" si="0"/>
        <v>615000</v>
      </c>
    </row>
    <row r="5" spans="2:13" x14ac:dyDescent="0.25">
      <c r="B5" s="1">
        <v>3</v>
      </c>
      <c r="C5" s="1">
        <v>80386137</v>
      </c>
      <c r="D5" t="s">
        <v>2</v>
      </c>
      <c r="G5" s="1" t="s">
        <v>118</v>
      </c>
      <c r="H5" s="2">
        <v>155000</v>
      </c>
      <c r="I5" s="3">
        <f>Tabla1[[#This Row],[VALOR ]]-15000</f>
        <v>140000</v>
      </c>
      <c r="K5" s="8" t="s">
        <v>122</v>
      </c>
      <c r="L5" s="8">
        <v>21</v>
      </c>
      <c r="M5" s="9">
        <f t="shared" si="0"/>
        <v>315000</v>
      </c>
    </row>
    <row r="6" spans="2:13" x14ac:dyDescent="0.25">
      <c r="B6" s="1">
        <v>4</v>
      </c>
      <c r="C6" s="1">
        <v>1073629404</v>
      </c>
      <c r="D6" t="s">
        <v>3</v>
      </c>
      <c r="H6" s="2">
        <v>155000</v>
      </c>
      <c r="I6" s="3">
        <f>Tabla1[[#This Row],[VALOR ]]-15000</f>
        <v>140000</v>
      </c>
      <c r="K6" s="8" t="s">
        <v>119</v>
      </c>
      <c r="L6" s="8">
        <v>15</v>
      </c>
      <c r="M6" s="9">
        <f t="shared" si="0"/>
        <v>225000</v>
      </c>
    </row>
    <row r="7" spans="2:13" x14ac:dyDescent="0.25">
      <c r="B7" s="1">
        <v>5</v>
      </c>
      <c r="C7" s="1">
        <v>11450357</v>
      </c>
      <c r="D7" t="s">
        <v>4</v>
      </c>
      <c r="H7" s="2">
        <v>155000</v>
      </c>
      <c r="I7" s="3">
        <f>Tabla1[[#This Row],[VALOR ]]-15000</f>
        <v>140000</v>
      </c>
      <c r="K7" s="8" t="s">
        <v>118</v>
      </c>
      <c r="L7" s="8">
        <v>8</v>
      </c>
      <c r="M7" s="9">
        <f>L7*15000</f>
        <v>120000</v>
      </c>
    </row>
    <row r="8" spans="2:13" x14ac:dyDescent="0.25">
      <c r="B8" s="1">
        <v>6</v>
      </c>
      <c r="C8" s="1">
        <v>1028721279</v>
      </c>
      <c r="D8" t="s">
        <v>5</v>
      </c>
      <c r="H8" s="2">
        <v>155000</v>
      </c>
      <c r="I8" s="3">
        <f>Tabla1[[#This Row],[VALOR ]]-15000</f>
        <v>140000</v>
      </c>
      <c r="K8" s="8" t="s">
        <v>128</v>
      </c>
      <c r="L8" s="8">
        <f>SUM(L2:L7)</f>
        <v>104</v>
      </c>
      <c r="M8" s="9">
        <f>SUM(M2:M7)</f>
        <v>1560000</v>
      </c>
    </row>
    <row r="9" spans="2:13" x14ac:dyDescent="0.25">
      <c r="B9" s="1">
        <v>7</v>
      </c>
      <c r="C9" s="1">
        <v>65758051</v>
      </c>
      <c r="D9" t="s">
        <v>6</v>
      </c>
      <c r="G9" s="1" t="s">
        <v>116</v>
      </c>
      <c r="H9" s="2">
        <v>155000</v>
      </c>
      <c r="I9" s="3">
        <f>Tabla1[[#This Row],[VALOR ]]-15000</f>
        <v>140000</v>
      </c>
    </row>
    <row r="10" spans="2:13" x14ac:dyDescent="0.25">
      <c r="B10" s="1">
        <v>8</v>
      </c>
      <c r="C10" s="1">
        <v>20357480</v>
      </c>
      <c r="D10" t="s">
        <v>7</v>
      </c>
      <c r="G10" s="1" t="s">
        <v>114</v>
      </c>
      <c r="H10" s="2">
        <v>155000</v>
      </c>
      <c r="I10" s="3">
        <f>Tabla1[[#This Row],[VALOR ]]-15000</f>
        <v>140000</v>
      </c>
    </row>
    <row r="11" spans="2:13" x14ac:dyDescent="0.25">
      <c r="B11" s="1">
        <v>9</v>
      </c>
      <c r="C11" s="1">
        <v>11450342</v>
      </c>
      <c r="D11" t="s">
        <v>8</v>
      </c>
      <c r="G11" s="1" t="s">
        <v>116</v>
      </c>
      <c r="H11" s="2">
        <v>155000</v>
      </c>
      <c r="I11" s="3">
        <f>Tabla1[[#This Row],[VALOR ]]-15000</f>
        <v>140000</v>
      </c>
    </row>
    <row r="12" spans="2:13" x14ac:dyDescent="0.25">
      <c r="B12" s="1">
        <v>10</v>
      </c>
      <c r="C12" s="1">
        <v>3149176</v>
      </c>
      <c r="D12" t="s">
        <v>9</v>
      </c>
      <c r="G12" s="1" t="s">
        <v>116</v>
      </c>
      <c r="H12" s="2">
        <v>155000</v>
      </c>
      <c r="I12" s="3">
        <f>Tabla1[[#This Row],[VALOR ]]-15000</f>
        <v>140000</v>
      </c>
      <c r="K12" s="13" t="s">
        <v>127</v>
      </c>
      <c r="L12" s="13"/>
    </row>
    <row r="13" spans="2:13" x14ac:dyDescent="0.25">
      <c r="B13" s="1">
        <v>11</v>
      </c>
      <c r="C13" s="1">
        <v>80355465</v>
      </c>
      <c r="D13" t="s">
        <v>10</v>
      </c>
      <c r="G13" s="1" t="s">
        <v>117</v>
      </c>
      <c r="H13" s="2">
        <v>155000</v>
      </c>
      <c r="I13" s="3">
        <f>Tabla1[[#This Row],[VALOR ]]-15000</f>
        <v>140000</v>
      </c>
      <c r="K13" s="8" t="s">
        <v>120</v>
      </c>
      <c r="L13" s="9">
        <v>6300000</v>
      </c>
    </row>
    <row r="14" spans="2:13" x14ac:dyDescent="0.25">
      <c r="B14" s="1">
        <v>12</v>
      </c>
      <c r="C14" s="1">
        <v>1021691340</v>
      </c>
      <c r="D14" t="s">
        <v>11</v>
      </c>
      <c r="G14" s="1" t="s">
        <v>114</v>
      </c>
      <c r="H14" s="2">
        <v>155000</v>
      </c>
      <c r="I14" s="3">
        <f>Tabla1[[#This Row],[VALOR ]]-15000</f>
        <v>140000</v>
      </c>
      <c r="K14" s="8" t="s">
        <v>121</v>
      </c>
      <c r="L14" s="9">
        <v>324000</v>
      </c>
    </row>
    <row r="15" spans="2:13" x14ac:dyDescent="0.25">
      <c r="B15" s="1">
        <v>13</v>
      </c>
      <c r="C15" s="1">
        <v>35511678</v>
      </c>
      <c r="D15" t="s">
        <v>12</v>
      </c>
      <c r="H15" s="2">
        <v>155000</v>
      </c>
      <c r="I15" s="3">
        <f>Tabla1[[#This Row],[VALOR ]]-15000</f>
        <v>140000</v>
      </c>
      <c r="K15" s="8" t="s">
        <v>123</v>
      </c>
      <c r="L15" s="9">
        <f>38000*104</f>
        <v>3952000</v>
      </c>
    </row>
    <row r="16" spans="2:13" x14ac:dyDescent="0.25">
      <c r="B16" s="1">
        <v>14</v>
      </c>
      <c r="C16" s="1">
        <v>20872131</v>
      </c>
      <c r="D16" t="s">
        <v>13</v>
      </c>
      <c r="H16" s="2">
        <v>155000</v>
      </c>
      <c r="I16" s="3">
        <f>Tabla1[[#This Row],[VALOR ]]-15000</f>
        <v>140000</v>
      </c>
      <c r="K16" s="14" t="s">
        <v>129</v>
      </c>
      <c r="L16" s="9">
        <v>70000</v>
      </c>
    </row>
    <row r="17" spans="2:12" x14ac:dyDescent="0.25">
      <c r="B17" s="1">
        <v>15</v>
      </c>
      <c r="C17" s="1">
        <v>37815531</v>
      </c>
      <c r="D17" t="s">
        <v>14</v>
      </c>
      <c r="G17" s="1" t="s">
        <v>116</v>
      </c>
      <c r="H17" s="2">
        <v>155000</v>
      </c>
      <c r="I17" s="3">
        <f>Tabla1[[#This Row],[VALOR ]]-15000</f>
        <v>140000</v>
      </c>
      <c r="K17" s="12" t="s">
        <v>124</v>
      </c>
      <c r="L17" s="10">
        <f>SUM(L13:L15)</f>
        <v>10576000</v>
      </c>
    </row>
    <row r="18" spans="2:12" x14ac:dyDescent="0.25">
      <c r="B18" s="1">
        <v>16</v>
      </c>
      <c r="C18" s="1">
        <v>21015066</v>
      </c>
      <c r="D18" t="s">
        <v>15</v>
      </c>
      <c r="H18" s="2">
        <v>155000</v>
      </c>
      <c r="I18" s="3">
        <f>Tabla1[[#This Row],[VALOR ]]-15000</f>
        <v>140000</v>
      </c>
      <c r="K18" s="11" t="s">
        <v>125</v>
      </c>
      <c r="L18" s="9">
        <f>I111</f>
        <v>14560000</v>
      </c>
    </row>
    <row r="19" spans="2:12" x14ac:dyDescent="0.25">
      <c r="B19" s="1">
        <v>17</v>
      </c>
      <c r="C19" s="1">
        <v>1141513</v>
      </c>
      <c r="D19" t="s">
        <v>16</v>
      </c>
      <c r="H19" s="2">
        <v>155000</v>
      </c>
      <c r="I19" s="3">
        <f>Tabla1[[#This Row],[VALOR ]]-15000</f>
        <v>140000</v>
      </c>
      <c r="K19" s="15" t="s">
        <v>126</v>
      </c>
      <c r="L19" s="9">
        <f>L18-L17</f>
        <v>3984000</v>
      </c>
    </row>
    <row r="20" spans="2:12" s="5" customFormat="1" x14ac:dyDescent="0.25">
      <c r="B20" s="4">
        <v>18</v>
      </c>
      <c r="C20" s="4">
        <v>79538678</v>
      </c>
      <c r="D20" s="5" t="s">
        <v>17</v>
      </c>
      <c r="E20" s="4"/>
      <c r="F20" s="4"/>
      <c r="G20" s="4"/>
      <c r="H20" s="6"/>
      <c r="I20" s="3"/>
    </row>
    <row r="21" spans="2:12" x14ac:dyDescent="0.25">
      <c r="B21" s="1">
        <v>19</v>
      </c>
      <c r="C21" s="1">
        <v>79136434</v>
      </c>
      <c r="D21" t="s">
        <v>18</v>
      </c>
      <c r="G21" s="1" t="s">
        <v>116</v>
      </c>
      <c r="H21" s="2">
        <v>155000</v>
      </c>
      <c r="I21" s="3">
        <f>Tabla1[[#This Row],[VALOR ]]-15000</f>
        <v>140000</v>
      </c>
    </row>
    <row r="22" spans="2:12" x14ac:dyDescent="0.25">
      <c r="B22" s="1">
        <v>20</v>
      </c>
      <c r="C22" s="1">
        <v>1075624166</v>
      </c>
      <c r="D22" t="s">
        <v>19</v>
      </c>
      <c r="G22" s="1" t="s">
        <v>116</v>
      </c>
      <c r="H22" s="2">
        <v>155000</v>
      </c>
      <c r="I22" s="3">
        <f>Tabla1[[#This Row],[VALOR ]]-15000</f>
        <v>140000</v>
      </c>
      <c r="K22" s="7">
        <f>L18+M8</f>
        <v>16120000</v>
      </c>
      <c r="L22" s="7"/>
    </row>
    <row r="23" spans="2:12" x14ac:dyDescent="0.25">
      <c r="B23" s="1">
        <v>21</v>
      </c>
      <c r="C23" s="1">
        <v>51906112</v>
      </c>
      <c r="D23" t="s">
        <v>20</v>
      </c>
      <c r="G23" s="1" t="s">
        <v>116</v>
      </c>
      <c r="H23" s="2">
        <v>155000</v>
      </c>
      <c r="I23" s="3">
        <f>Tabla1[[#This Row],[VALOR ]]-15000</f>
        <v>140000</v>
      </c>
      <c r="K23" s="7"/>
    </row>
    <row r="24" spans="2:12" x14ac:dyDescent="0.25">
      <c r="B24" s="1">
        <v>22</v>
      </c>
      <c r="C24" s="1">
        <v>52323438</v>
      </c>
      <c r="D24" t="s">
        <v>21</v>
      </c>
      <c r="G24" s="1" t="s">
        <v>116</v>
      </c>
      <c r="H24" s="2">
        <v>155000</v>
      </c>
      <c r="I24" s="3">
        <f>Tabla1[[#This Row],[VALOR ]]-15000</f>
        <v>140000</v>
      </c>
      <c r="L24" s="7"/>
    </row>
    <row r="25" spans="2:12" x14ac:dyDescent="0.25">
      <c r="B25" s="1">
        <v>23</v>
      </c>
      <c r="C25" s="1">
        <v>1073630427</v>
      </c>
      <c r="D25" t="s">
        <v>22</v>
      </c>
      <c r="G25" s="1" t="s">
        <v>116</v>
      </c>
      <c r="H25" s="2">
        <v>155000</v>
      </c>
      <c r="I25" s="3">
        <f>Tabla1[[#This Row],[VALOR ]]-15000</f>
        <v>140000</v>
      </c>
    </row>
    <row r="26" spans="2:12" x14ac:dyDescent="0.25">
      <c r="B26" s="1">
        <v>24</v>
      </c>
      <c r="C26" s="1">
        <v>1072961097</v>
      </c>
      <c r="D26" t="s">
        <v>23</v>
      </c>
      <c r="H26" s="2">
        <v>155000</v>
      </c>
      <c r="I26" s="3">
        <f>Tabla1[[#This Row],[VALOR ]]-15000</f>
        <v>140000</v>
      </c>
    </row>
    <row r="27" spans="2:12" x14ac:dyDescent="0.25">
      <c r="B27" s="1">
        <v>25</v>
      </c>
      <c r="C27" s="1">
        <v>20358123</v>
      </c>
      <c r="D27" t="s">
        <v>24</v>
      </c>
      <c r="H27" s="2">
        <v>155000</v>
      </c>
      <c r="I27" s="3">
        <f>Tabla1[[#This Row],[VALOR ]]-15000</f>
        <v>140000</v>
      </c>
    </row>
    <row r="28" spans="2:12" x14ac:dyDescent="0.25">
      <c r="B28" s="1">
        <v>26</v>
      </c>
      <c r="C28" s="1">
        <v>39707458</v>
      </c>
      <c r="D28" t="s">
        <v>25</v>
      </c>
      <c r="G28" s="1" t="s">
        <v>118</v>
      </c>
      <c r="H28" s="2">
        <v>155000</v>
      </c>
      <c r="I28" s="3">
        <f>Tabla1[[#This Row],[VALOR ]]-15000</f>
        <v>140000</v>
      </c>
    </row>
    <row r="29" spans="2:12" x14ac:dyDescent="0.25">
      <c r="B29" s="1">
        <v>27</v>
      </c>
      <c r="C29" s="1">
        <v>20458022</v>
      </c>
      <c r="D29" t="s">
        <v>26</v>
      </c>
      <c r="H29" s="2">
        <v>155000</v>
      </c>
      <c r="I29" s="3">
        <f>Tabla1[[#This Row],[VALOR ]]-15000</f>
        <v>140000</v>
      </c>
    </row>
    <row r="30" spans="2:12" x14ac:dyDescent="0.25">
      <c r="B30" s="1">
        <v>28</v>
      </c>
      <c r="C30" s="1">
        <v>20871989</v>
      </c>
      <c r="D30" t="s">
        <v>27</v>
      </c>
      <c r="H30" s="2">
        <v>155000</v>
      </c>
      <c r="I30" s="3">
        <f>Tabla1[[#This Row],[VALOR ]]-15000</f>
        <v>140000</v>
      </c>
    </row>
    <row r="31" spans="2:12" x14ac:dyDescent="0.25">
      <c r="B31" s="1">
        <v>29</v>
      </c>
      <c r="C31" s="1">
        <v>41674634</v>
      </c>
      <c r="D31" t="s">
        <v>28</v>
      </c>
      <c r="G31" s="1" t="s">
        <v>114</v>
      </c>
      <c r="H31" s="2">
        <v>155000</v>
      </c>
      <c r="I31" s="3">
        <f>Tabla1[[#This Row],[VALOR ]]-15000</f>
        <v>140000</v>
      </c>
    </row>
    <row r="32" spans="2:12" x14ac:dyDescent="0.25">
      <c r="B32" s="1">
        <v>30</v>
      </c>
      <c r="C32" s="1">
        <v>11450873</v>
      </c>
      <c r="D32" t="s">
        <v>29</v>
      </c>
      <c r="H32" s="2">
        <v>155000</v>
      </c>
      <c r="I32" s="3">
        <f>Tabla1[[#This Row],[VALOR ]]-15000</f>
        <v>140000</v>
      </c>
    </row>
    <row r="33" spans="2:9" x14ac:dyDescent="0.25">
      <c r="B33" s="1">
        <v>31</v>
      </c>
      <c r="C33" s="1">
        <v>1010209180</v>
      </c>
      <c r="D33" t="s">
        <v>30</v>
      </c>
      <c r="H33" s="2">
        <v>155000</v>
      </c>
      <c r="I33" s="3">
        <f>Tabla1[[#This Row],[VALOR ]]-15000</f>
        <v>140000</v>
      </c>
    </row>
    <row r="34" spans="2:9" x14ac:dyDescent="0.25">
      <c r="B34" s="1">
        <v>32</v>
      </c>
      <c r="C34" s="1">
        <v>1073630149</v>
      </c>
      <c r="D34" t="s">
        <v>31</v>
      </c>
      <c r="G34" s="1" t="s">
        <v>116</v>
      </c>
      <c r="H34" s="2">
        <v>155000</v>
      </c>
      <c r="I34" s="3">
        <f>Tabla1[[#This Row],[VALOR ]]-15000</f>
        <v>140000</v>
      </c>
    </row>
    <row r="35" spans="2:9" x14ac:dyDescent="0.25">
      <c r="B35" s="1">
        <v>33</v>
      </c>
      <c r="C35" s="1">
        <v>1012344895</v>
      </c>
      <c r="D35" t="s">
        <v>32</v>
      </c>
      <c r="H35" s="2">
        <v>155000</v>
      </c>
      <c r="I35" s="3">
        <f>Tabla1[[#This Row],[VALOR ]]-15000</f>
        <v>140000</v>
      </c>
    </row>
    <row r="36" spans="2:9" x14ac:dyDescent="0.25">
      <c r="B36" s="1">
        <v>34</v>
      </c>
      <c r="C36" s="1">
        <v>20871840</v>
      </c>
      <c r="D36" t="s">
        <v>33</v>
      </c>
      <c r="G36" s="1" t="s">
        <v>116</v>
      </c>
      <c r="H36" s="2">
        <v>155000</v>
      </c>
      <c r="I36" s="3">
        <f>Tabla1[[#This Row],[VALOR ]]-15000</f>
        <v>140000</v>
      </c>
    </row>
    <row r="37" spans="2:9" x14ac:dyDescent="0.25">
      <c r="B37" s="1">
        <v>35</v>
      </c>
      <c r="C37" s="1">
        <v>20872056</v>
      </c>
      <c r="D37" t="s">
        <v>34</v>
      </c>
      <c r="G37" s="1" t="s">
        <v>116</v>
      </c>
      <c r="H37" s="2">
        <v>155000</v>
      </c>
      <c r="I37" s="3">
        <f>Tabla1[[#This Row],[VALOR ]]-15000</f>
        <v>140000</v>
      </c>
    </row>
    <row r="38" spans="2:9" x14ac:dyDescent="0.25">
      <c r="B38" s="1">
        <v>36</v>
      </c>
      <c r="C38" s="1">
        <v>1072960526</v>
      </c>
      <c r="D38" t="s">
        <v>35</v>
      </c>
      <c r="H38" s="2">
        <v>155000</v>
      </c>
      <c r="I38" s="3">
        <f>Tabla1[[#This Row],[VALOR ]]-15000</f>
        <v>140000</v>
      </c>
    </row>
    <row r="39" spans="2:9" x14ac:dyDescent="0.25">
      <c r="B39" s="1">
        <v>37</v>
      </c>
      <c r="C39" s="1">
        <v>1073629947</v>
      </c>
      <c r="D39" t="s">
        <v>36</v>
      </c>
      <c r="H39" s="2">
        <v>155000</v>
      </c>
      <c r="I39" s="3">
        <f>Tabla1[[#This Row],[VALOR ]]-15000</f>
        <v>140000</v>
      </c>
    </row>
    <row r="40" spans="2:9" x14ac:dyDescent="0.25">
      <c r="B40" s="1">
        <v>38</v>
      </c>
      <c r="C40" s="1">
        <v>1073630290</v>
      </c>
      <c r="D40" t="s">
        <v>37</v>
      </c>
      <c r="G40" s="1" t="s">
        <v>116</v>
      </c>
      <c r="H40" s="2">
        <v>155000</v>
      </c>
      <c r="I40" s="3">
        <f>Tabla1[[#This Row],[VALOR ]]-15000</f>
        <v>140000</v>
      </c>
    </row>
    <row r="41" spans="2:9" x14ac:dyDescent="0.25">
      <c r="B41" s="1">
        <v>39</v>
      </c>
      <c r="C41" s="1">
        <v>39763460</v>
      </c>
      <c r="D41" t="s">
        <v>38</v>
      </c>
      <c r="H41" s="2">
        <v>155000</v>
      </c>
      <c r="I41" s="3">
        <f>Tabla1[[#This Row],[VALOR ]]-15000</f>
        <v>140000</v>
      </c>
    </row>
    <row r="42" spans="2:9" x14ac:dyDescent="0.25">
      <c r="B42" s="1">
        <v>40</v>
      </c>
      <c r="C42" s="1">
        <v>11451254</v>
      </c>
      <c r="D42" t="s">
        <v>39</v>
      </c>
      <c r="H42" s="2">
        <v>155000</v>
      </c>
      <c r="I42" s="3">
        <f>Tabla1[[#This Row],[VALOR ]]-15000</f>
        <v>140000</v>
      </c>
    </row>
    <row r="43" spans="2:9" x14ac:dyDescent="0.25">
      <c r="B43" s="1">
        <v>41</v>
      </c>
      <c r="C43" s="1">
        <v>1074098078</v>
      </c>
      <c r="D43" t="s">
        <v>40</v>
      </c>
      <c r="H43" s="2">
        <v>155000</v>
      </c>
      <c r="I43" s="3">
        <f>Tabla1[[#This Row],[VALOR ]]-15000</f>
        <v>140000</v>
      </c>
    </row>
    <row r="44" spans="2:9" x14ac:dyDescent="0.25">
      <c r="B44" s="1">
        <v>42</v>
      </c>
      <c r="C44" s="1">
        <v>20871256</v>
      </c>
      <c r="D44" t="s">
        <v>41</v>
      </c>
      <c r="G44" s="1" t="s">
        <v>118</v>
      </c>
      <c r="H44" s="2">
        <v>155000</v>
      </c>
      <c r="I44" s="3">
        <f>Tabla1[[#This Row],[VALOR ]]-15000</f>
        <v>140000</v>
      </c>
    </row>
    <row r="45" spans="2:9" x14ac:dyDescent="0.25">
      <c r="B45" s="1">
        <v>43</v>
      </c>
      <c r="C45" s="1">
        <v>20358014</v>
      </c>
      <c r="D45" t="s">
        <v>42</v>
      </c>
      <c r="H45" s="2">
        <v>155000</v>
      </c>
      <c r="I45" s="3">
        <f>Tabla1[[#This Row],[VALOR ]]-15000</f>
        <v>140000</v>
      </c>
    </row>
    <row r="46" spans="2:9" x14ac:dyDescent="0.25">
      <c r="B46" s="1">
        <v>44</v>
      </c>
      <c r="C46" s="1">
        <v>38246966</v>
      </c>
      <c r="D46" t="s">
        <v>43</v>
      </c>
      <c r="G46" s="1" t="s">
        <v>119</v>
      </c>
      <c r="H46" s="2">
        <v>155000</v>
      </c>
      <c r="I46" s="3">
        <f>Tabla1[[#This Row],[VALOR ]]-15000</f>
        <v>140000</v>
      </c>
    </row>
    <row r="47" spans="2:9" s="5" customFormat="1" x14ac:dyDescent="0.25">
      <c r="B47" s="4">
        <v>45</v>
      </c>
      <c r="C47" s="4">
        <v>21016967</v>
      </c>
      <c r="D47" s="5" t="s">
        <v>44</v>
      </c>
      <c r="E47" s="4"/>
      <c r="F47" s="4"/>
      <c r="G47" s="4"/>
      <c r="H47" s="6"/>
      <c r="I47" s="3"/>
    </row>
    <row r="48" spans="2:9" x14ac:dyDescent="0.25">
      <c r="B48" s="1">
        <v>46</v>
      </c>
      <c r="C48" s="1">
        <v>52505200</v>
      </c>
      <c r="D48" t="s">
        <v>45</v>
      </c>
      <c r="G48" s="1" t="s">
        <v>117</v>
      </c>
      <c r="H48" s="2">
        <v>155000</v>
      </c>
      <c r="I48" s="3">
        <f>Tabla1[[#This Row],[VALOR ]]-15000</f>
        <v>140000</v>
      </c>
    </row>
    <row r="49" spans="2:9" x14ac:dyDescent="0.25">
      <c r="B49" s="1">
        <v>47</v>
      </c>
      <c r="C49" s="1">
        <v>41419349</v>
      </c>
      <c r="D49" t="s">
        <v>46</v>
      </c>
      <c r="G49" s="1" t="s">
        <v>114</v>
      </c>
      <c r="H49" s="2">
        <v>155000</v>
      </c>
      <c r="I49" s="3">
        <f>Tabla1[[#This Row],[VALOR ]]-15000</f>
        <v>140000</v>
      </c>
    </row>
    <row r="50" spans="2:9" x14ac:dyDescent="0.25">
      <c r="B50" s="1">
        <v>48</v>
      </c>
      <c r="C50" s="1">
        <v>21595418</v>
      </c>
      <c r="D50" t="s">
        <v>47</v>
      </c>
      <c r="H50" s="2">
        <v>155000</v>
      </c>
      <c r="I50" s="3">
        <f>Tabla1[[#This Row],[VALOR ]]-15000</f>
        <v>140000</v>
      </c>
    </row>
    <row r="51" spans="2:9" s="5" customFormat="1" x14ac:dyDescent="0.25">
      <c r="B51" s="4">
        <v>49</v>
      </c>
      <c r="C51" s="4">
        <v>51651341</v>
      </c>
      <c r="D51" s="5" t="s">
        <v>48</v>
      </c>
      <c r="E51" s="4"/>
      <c r="F51" s="4"/>
      <c r="G51" s="4"/>
      <c r="H51" s="6"/>
      <c r="I51" s="3"/>
    </row>
    <row r="52" spans="2:9" x14ac:dyDescent="0.25">
      <c r="B52" s="1">
        <v>50</v>
      </c>
      <c r="C52" s="1">
        <v>20870972</v>
      </c>
      <c r="D52" t="s">
        <v>49</v>
      </c>
      <c r="G52" s="1" t="s">
        <v>118</v>
      </c>
      <c r="H52" s="2">
        <v>155000</v>
      </c>
      <c r="I52" s="3">
        <f>Tabla1[[#This Row],[VALOR ]]-15000</f>
        <v>140000</v>
      </c>
    </row>
    <row r="53" spans="2:9" x14ac:dyDescent="0.25">
      <c r="B53" s="1">
        <v>51</v>
      </c>
      <c r="C53" s="1">
        <v>1075629383</v>
      </c>
      <c r="D53" t="s">
        <v>50</v>
      </c>
      <c r="H53" s="2">
        <v>155000</v>
      </c>
      <c r="I53" s="3">
        <f>Tabla1[[#This Row],[VALOR ]]-15000</f>
        <v>140000</v>
      </c>
    </row>
    <row r="54" spans="2:9" x14ac:dyDescent="0.25">
      <c r="B54" s="1">
        <v>52</v>
      </c>
      <c r="C54" s="1">
        <v>52502797</v>
      </c>
      <c r="D54" t="s">
        <v>51</v>
      </c>
      <c r="G54" s="1" t="s">
        <v>119</v>
      </c>
      <c r="H54" s="2">
        <v>155000</v>
      </c>
      <c r="I54" s="3">
        <f>Tabla1[[#This Row],[VALOR ]]-15000</f>
        <v>140000</v>
      </c>
    </row>
    <row r="55" spans="2:9" x14ac:dyDescent="0.25">
      <c r="B55" s="1">
        <v>53</v>
      </c>
      <c r="C55" s="1">
        <v>65739648</v>
      </c>
      <c r="D55" t="s">
        <v>52</v>
      </c>
      <c r="G55" s="1" t="s">
        <v>116</v>
      </c>
      <c r="H55" s="2">
        <v>155000</v>
      </c>
      <c r="I55" s="3">
        <f>Tabla1[[#This Row],[VALOR ]]-15000</f>
        <v>140000</v>
      </c>
    </row>
    <row r="56" spans="2:9" x14ac:dyDescent="0.25">
      <c r="B56" s="1">
        <v>54</v>
      </c>
      <c r="C56" s="1">
        <v>1031186085</v>
      </c>
      <c r="D56" t="s">
        <v>53</v>
      </c>
      <c r="G56" s="1" t="s">
        <v>119</v>
      </c>
      <c r="H56" s="2">
        <v>155000</v>
      </c>
      <c r="I56" s="3">
        <f>Tabla1[[#This Row],[VALOR ]]-15000</f>
        <v>140000</v>
      </c>
    </row>
    <row r="57" spans="2:9" x14ac:dyDescent="0.25">
      <c r="B57" s="1">
        <v>55</v>
      </c>
      <c r="C57" s="1">
        <v>1072962459</v>
      </c>
      <c r="D57" t="s">
        <v>54</v>
      </c>
      <c r="H57" s="2">
        <v>155000</v>
      </c>
      <c r="I57" s="3">
        <f>Tabla1[[#This Row],[VALOR ]]-15000</f>
        <v>140000</v>
      </c>
    </row>
    <row r="58" spans="2:9" x14ac:dyDescent="0.25">
      <c r="B58" s="1">
        <v>56</v>
      </c>
      <c r="C58" s="1">
        <v>20872325</v>
      </c>
      <c r="D58" t="s">
        <v>55</v>
      </c>
      <c r="H58" s="2">
        <v>155000</v>
      </c>
      <c r="I58" s="3">
        <f>Tabla1[[#This Row],[VALOR ]]-15000</f>
        <v>140000</v>
      </c>
    </row>
    <row r="59" spans="2:9" x14ac:dyDescent="0.25">
      <c r="B59" s="1">
        <v>57</v>
      </c>
      <c r="C59" s="1">
        <v>21013088</v>
      </c>
      <c r="D59" t="s">
        <v>56</v>
      </c>
      <c r="H59" s="2">
        <v>155000</v>
      </c>
      <c r="I59" s="3">
        <f>Tabla1[[#This Row],[VALOR ]]-15000</f>
        <v>140000</v>
      </c>
    </row>
    <row r="60" spans="2:9" x14ac:dyDescent="0.25">
      <c r="B60" s="1">
        <v>58</v>
      </c>
      <c r="C60" s="1">
        <v>1073629922</v>
      </c>
      <c r="D60" t="s">
        <v>57</v>
      </c>
      <c r="H60" s="2">
        <v>155000</v>
      </c>
      <c r="I60" s="3">
        <f>Tabla1[[#This Row],[VALOR ]]-15000</f>
        <v>140000</v>
      </c>
    </row>
    <row r="61" spans="2:9" x14ac:dyDescent="0.25">
      <c r="B61" s="1">
        <v>59</v>
      </c>
      <c r="C61" s="1">
        <v>20358597</v>
      </c>
      <c r="D61" t="s">
        <v>58</v>
      </c>
      <c r="G61" s="1" t="s">
        <v>118</v>
      </c>
      <c r="H61" s="2">
        <v>155000</v>
      </c>
      <c r="I61" s="3">
        <f>Tabla1[[#This Row],[VALOR ]]-15000</f>
        <v>140000</v>
      </c>
    </row>
    <row r="62" spans="2:9" x14ac:dyDescent="0.25">
      <c r="B62" s="1">
        <v>60</v>
      </c>
      <c r="C62" s="1">
        <v>21018152</v>
      </c>
      <c r="D62" t="s">
        <v>59</v>
      </c>
      <c r="H62" s="2">
        <v>155000</v>
      </c>
      <c r="I62" s="3">
        <f>Tabla1[[#This Row],[VALOR ]]-15000</f>
        <v>140000</v>
      </c>
    </row>
    <row r="63" spans="2:9" x14ac:dyDescent="0.25">
      <c r="B63" s="1">
        <v>61</v>
      </c>
      <c r="C63" s="1">
        <v>11451313</v>
      </c>
      <c r="D63" t="s">
        <v>60</v>
      </c>
      <c r="H63" s="2">
        <v>155000</v>
      </c>
      <c r="I63" s="3">
        <f>Tabla1[[#This Row],[VALOR ]]-15000</f>
        <v>140000</v>
      </c>
    </row>
    <row r="64" spans="2:9" x14ac:dyDescent="0.25">
      <c r="B64" s="1">
        <v>62</v>
      </c>
      <c r="C64" s="1">
        <v>19442454</v>
      </c>
      <c r="D64" t="s">
        <v>61</v>
      </c>
      <c r="H64" s="2">
        <v>155000</v>
      </c>
      <c r="I64" s="3">
        <f>Tabla1[[#This Row],[VALOR ]]-15000</f>
        <v>140000</v>
      </c>
    </row>
    <row r="65" spans="2:9" x14ac:dyDescent="0.25">
      <c r="B65" s="1">
        <v>63</v>
      </c>
      <c r="C65" s="1">
        <v>20871263</v>
      </c>
      <c r="D65" t="s">
        <v>62</v>
      </c>
      <c r="G65" s="1" t="s">
        <v>116</v>
      </c>
      <c r="H65" s="2">
        <v>155000</v>
      </c>
      <c r="I65" s="3">
        <f>Tabla1[[#This Row],[VALOR ]]-15000</f>
        <v>140000</v>
      </c>
    </row>
    <row r="66" spans="2:9" x14ac:dyDescent="0.25">
      <c r="B66" s="1">
        <v>64</v>
      </c>
      <c r="C66" s="1">
        <v>20869989</v>
      </c>
      <c r="D66" t="s">
        <v>63</v>
      </c>
      <c r="G66" s="1" t="s">
        <v>116</v>
      </c>
      <c r="H66" s="2">
        <v>155000</v>
      </c>
      <c r="I66" s="3">
        <f>Tabla1[[#This Row],[VALOR ]]-15000</f>
        <v>140000</v>
      </c>
    </row>
    <row r="67" spans="2:9" x14ac:dyDescent="0.25">
      <c r="B67" s="1">
        <v>65</v>
      </c>
      <c r="C67" s="1">
        <v>35511476</v>
      </c>
      <c r="D67" t="s">
        <v>64</v>
      </c>
      <c r="H67" s="2">
        <v>155000</v>
      </c>
      <c r="I67" s="3">
        <f>Tabla1[[#This Row],[VALOR ]]-15000</f>
        <v>140000</v>
      </c>
    </row>
    <row r="68" spans="2:9" x14ac:dyDescent="0.25">
      <c r="B68" s="1">
        <v>66</v>
      </c>
      <c r="C68" s="1">
        <v>51605989</v>
      </c>
      <c r="D68" t="s">
        <v>65</v>
      </c>
      <c r="G68" s="1" t="s">
        <v>114</v>
      </c>
      <c r="H68" s="2">
        <v>155000</v>
      </c>
      <c r="I68" s="3">
        <f>Tabla1[[#This Row],[VALOR ]]-15000</f>
        <v>140000</v>
      </c>
    </row>
    <row r="69" spans="2:9" x14ac:dyDescent="0.25">
      <c r="B69" s="1">
        <v>67</v>
      </c>
      <c r="C69" s="1">
        <v>1072960442</v>
      </c>
      <c r="D69" t="s">
        <v>66</v>
      </c>
      <c r="G69" s="1" t="s">
        <v>118</v>
      </c>
      <c r="H69" s="2">
        <v>155000</v>
      </c>
      <c r="I69" s="3">
        <f>Tabla1[[#This Row],[VALOR ]]-15000</f>
        <v>140000</v>
      </c>
    </row>
    <row r="70" spans="2:9" x14ac:dyDescent="0.25">
      <c r="B70" s="1">
        <v>68</v>
      </c>
      <c r="C70" s="1">
        <v>52616065</v>
      </c>
      <c r="D70" t="s">
        <v>67</v>
      </c>
      <c r="G70" s="1" t="s">
        <v>114</v>
      </c>
      <c r="H70" s="2">
        <v>155000</v>
      </c>
      <c r="I70" s="3">
        <f>Tabla1[[#This Row],[VALOR ]]-15000</f>
        <v>140000</v>
      </c>
    </row>
    <row r="71" spans="2:9" x14ac:dyDescent="0.25">
      <c r="B71" s="1">
        <v>69</v>
      </c>
      <c r="C71" s="1">
        <v>20384493</v>
      </c>
      <c r="D71" t="s">
        <v>68</v>
      </c>
      <c r="H71" s="2">
        <v>155000</v>
      </c>
      <c r="I71" s="3">
        <f>Tabla1[[#This Row],[VALOR ]]-15000</f>
        <v>140000</v>
      </c>
    </row>
    <row r="72" spans="2:9" x14ac:dyDescent="0.25">
      <c r="B72" s="1">
        <v>70</v>
      </c>
      <c r="C72" s="1">
        <v>20357610</v>
      </c>
      <c r="D72" t="s">
        <v>69</v>
      </c>
      <c r="H72" s="2">
        <v>155000</v>
      </c>
      <c r="I72" s="3">
        <f>Tabla1[[#This Row],[VALOR ]]-15000</f>
        <v>140000</v>
      </c>
    </row>
    <row r="73" spans="2:9" x14ac:dyDescent="0.25">
      <c r="B73" s="1">
        <v>71</v>
      </c>
      <c r="C73" s="1">
        <v>179539</v>
      </c>
      <c r="D73" t="s">
        <v>70</v>
      </c>
      <c r="H73" s="2">
        <v>155000</v>
      </c>
      <c r="I73" s="3">
        <f>Tabla1[[#This Row],[VALOR ]]-15000</f>
        <v>140000</v>
      </c>
    </row>
    <row r="74" spans="2:9" x14ac:dyDescent="0.25">
      <c r="B74" s="1">
        <v>72</v>
      </c>
      <c r="C74" s="1">
        <v>20871476</v>
      </c>
      <c r="D74" t="s">
        <v>71</v>
      </c>
      <c r="H74" s="2">
        <v>155000</v>
      </c>
      <c r="I74" s="3">
        <f>Tabla1[[#This Row],[VALOR ]]-15000</f>
        <v>140000</v>
      </c>
    </row>
    <row r="75" spans="2:9" x14ac:dyDescent="0.25">
      <c r="B75" s="1">
        <v>73</v>
      </c>
      <c r="C75" s="1">
        <v>20369186</v>
      </c>
      <c r="D75" t="s">
        <v>72</v>
      </c>
      <c r="H75" s="2">
        <v>155000</v>
      </c>
      <c r="I75" s="3">
        <f>Tabla1[[#This Row],[VALOR ]]-15000</f>
        <v>140000</v>
      </c>
    </row>
    <row r="76" spans="2:9" x14ac:dyDescent="0.25">
      <c r="B76" s="1">
        <v>74</v>
      </c>
      <c r="C76" s="1">
        <v>21018552</v>
      </c>
      <c r="D76" t="s">
        <v>73</v>
      </c>
      <c r="H76" s="2">
        <v>155000</v>
      </c>
      <c r="I76" s="3">
        <f>Tabla1[[#This Row],[VALOR ]]-15000</f>
        <v>140000</v>
      </c>
    </row>
    <row r="77" spans="2:9" x14ac:dyDescent="0.25">
      <c r="B77" s="1">
        <v>75</v>
      </c>
      <c r="C77" s="1">
        <v>1003672994</v>
      </c>
      <c r="D77" t="s">
        <v>74</v>
      </c>
      <c r="H77" s="2">
        <v>155000</v>
      </c>
      <c r="I77" s="3">
        <f>Tabla1[[#This Row],[VALOR ]]-15000</f>
        <v>140000</v>
      </c>
    </row>
    <row r="78" spans="2:9" x14ac:dyDescent="0.25">
      <c r="B78" s="1">
        <v>76</v>
      </c>
      <c r="C78" s="1">
        <v>1073629413</v>
      </c>
      <c r="D78" t="s">
        <v>75</v>
      </c>
      <c r="G78" s="1" t="s">
        <v>116</v>
      </c>
      <c r="H78" s="2">
        <v>155000</v>
      </c>
      <c r="I78" s="3">
        <f>Tabla1[[#This Row],[VALOR ]]-15000</f>
        <v>140000</v>
      </c>
    </row>
    <row r="79" spans="2:9" x14ac:dyDescent="0.25">
      <c r="B79" s="1">
        <v>77</v>
      </c>
      <c r="C79" s="1">
        <v>20357304</v>
      </c>
      <c r="D79" t="s">
        <v>76</v>
      </c>
      <c r="G79" s="1" t="s">
        <v>114</v>
      </c>
      <c r="H79" s="2">
        <v>155000</v>
      </c>
      <c r="I79" s="3">
        <f>Tabla1[[#This Row],[VALOR ]]-15000</f>
        <v>140000</v>
      </c>
    </row>
    <row r="80" spans="2:9" x14ac:dyDescent="0.25">
      <c r="B80" s="1">
        <v>78</v>
      </c>
      <c r="C80" s="1">
        <v>1007155741</v>
      </c>
      <c r="D80" t="s">
        <v>77</v>
      </c>
      <c r="G80" s="1" t="s">
        <v>118</v>
      </c>
      <c r="H80" s="2">
        <v>155000</v>
      </c>
      <c r="I80" s="3">
        <f>Tabla1[[#This Row],[VALOR ]]-15000</f>
        <v>140000</v>
      </c>
    </row>
    <row r="81" spans="2:9" x14ac:dyDescent="0.25">
      <c r="B81" s="1">
        <v>79</v>
      </c>
      <c r="C81" s="1">
        <v>1025561015</v>
      </c>
      <c r="D81" t="s">
        <v>78</v>
      </c>
      <c r="G81" s="1" t="s">
        <v>119</v>
      </c>
      <c r="H81" s="2">
        <v>155000</v>
      </c>
      <c r="I81" s="3">
        <f>Tabla1[[#This Row],[VALOR ]]-15000</f>
        <v>140000</v>
      </c>
    </row>
    <row r="82" spans="2:9" x14ac:dyDescent="0.25">
      <c r="B82" s="1">
        <v>80</v>
      </c>
      <c r="C82" s="1">
        <v>20872307</v>
      </c>
      <c r="D82" t="s">
        <v>79</v>
      </c>
      <c r="G82" s="1" t="s">
        <v>116</v>
      </c>
      <c r="H82" s="2">
        <v>155000</v>
      </c>
      <c r="I82" s="3">
        <f>Tabla1[[#This Row],[VALOR ]]-15000</f>
        <v>140000</v>
      </c>
    </row>
    <row r="83" spans="2:9" x14ac:dyDescent="0.25">
      <c r="B83" s="1">
        <v>81</v>
      </c>
      <c r="C83" s="1">
        <v>20923824</v>
      </c>
      <c r="D83" t="s">
        <v>80</v>
      </c>
      <c r="G83" s="1" t="s">
        <v>116</v>
      </c>
      <c r="H83" s="2">
        <v>155000</v>
      </c>
      <c r="I83" s="3">
        <f>Tabla1[[#This Row],[VALOR ]]-15000</f>
        <v>140000</v>
      </c>
    </row>
    <row r="84" spans="2:9" x14ac:dyDescent="0.25">
      <c r="B84" s="1">
        <v>82</v>
      </c>
      <c r="C84" s="1">
        <v>11451142</v>
      </c>
      <c r="D84" t="s">
        <v>81</v>
      </c>
      <c r="H84" s="2">
        <v>155000</v>
      </c>
      <c r="I84" s="3">
        <f>Tabla1[[#This Row],[VALOR ]]-15000</f>
        <v>140000</v>
      </c>
    </row>
    <row r="85" spans="2:9" x14ac:dyDescent="0.25">
      <c r="B85" s="1">
        <v>83</v>
      </c>
      <c r="C85" s="1">
        <v>28384413</v>
      </c>
      <c r="D85" t="s">
        <v>82</v>
      </c>
      <c r="H85" s="2">
        <v>155000</v>
      </c>
      <c r="I85" s="3">
        <f>Tabla1[[#This Row],[VALOR ]]-15000</f>
        <v>140000</v>
      </c>
    </row>
    <row r="86" spans="2:9" x14ac:dyDescent="0.25">
      <c r="B86" s="1">
        <v>84</v>
      </c>
      <c r="C86" s="1">
        <v>1141120119</v>
      </c>
      <c r="D86" t="s">
        <v>83</v>
      </c>
      <c r="H86" s="2">
        <v>155000</v>
      </c>
      <c r="I86" s="3">
        <f>Tabla1[[#This Row],[VALOR ]]-15000</f>
        <v>140000</v>
      </c>
    </row>
    <row r="87" spans="2:9" x14ac:dyDescent="0.25">
      <c r="B87" s="1">
        <v>85</v>
      </c>
      <c r="C87" s="1">
        <v>11451796</v>
      </c>
      <c r="D87" t="s">
        <v>84</v>
      </c>
      <c r="H87" s="2">
        <v>155000</v>
      </c>
      <c r="I87" s="3">
        <f>Tabla1[[#This Row],[VALOR ]]-15000</f>
        <v>140000</v>
      </c>
    </row>
    <row r="88" spans="2:9" x14ac:dyDescent="0.25">
      <c r="B88" s="1">
        <v>86</v>
      </c>
      <c r="C88" s="1">
        <v>39696691</v>
      </c>
      <c r="D88" t="s">
        <v>85</v>
      </c>
      <c r="G88" s="1" t="s">
        <v>116</v>
      </c>
      <c r="H88" s="2">
        <v>155000</v>
      </c>
      <c r="I88" s="3">
        <f>Tabla1[[#This Row],[VALOR ]]-15000</f>
        <v>140000</v>
      </c>
    </row>
    <row r="89" spans="2:9" x14ac:dyDescent="0.25">
      <c r="B89" s="1">
        <v>87</v>
      </c>
      <c r="C89" s="1">
        <v>52979603</v>
      </c>
      <c r="D89" t="s">
        <v>86</v>
      </c>
      <c r="G89" s="1" t="s">
        <v>118</v>
      </c>
      <c r="H89" s="2">
        <v>155000</v>
      </c>
      <c r="I89" s="3">
        <f>Tabla1[[#This Row],[VALOR ]]-15000</f>
        <v>140000</v>
      </c>
    </row>
    <row r="90" spans="2:9" x14ac:dyDescent="0.25">
      <c r="B90" s="1">
        <v>88</v>
      </c>
      <c r="C90" s="1">
        <v>20872146</v>
      </c>
      <c r="D90" t="s">
        <v>87</v>
      </c>
      <c r="H90" s="2">
        <v>155000</v>
      </c>
      <c r="I90" s="3">
        <f>Tabla1[[#This Row],[VALOR ]]-15000</f>
        <v>140000</v>
      </c>
    </row>
    <row r="91" spans="2:9" x14ac:dyDescent="0.25">
      <c r="B91" s="1">
        <v>89</v>
      </c>
      <c r="C91" s="1">
        <v>1031655167</v>
      </c>
      <c r="D91" t="s">
        <v>88</v>
      </c>
      <c r="H91" s="2">
        <v>155000</v>
      </c>
      <c r="I91" s="3">
        <f>Tabla1[[#This Row],[VALOR ]]-15000</f>
        <v>140000</v>
      </c>
    </row>
    <row r="92" spans="2:9" x14ac:dyDescent="0.25">
      <c r="B92" s="1">
        <v>90</v>
      </c>
      <c r="C92" s="1">
        <v>1075625313</v>
      </c>
      <c r="D92" t="s">
        <v>89</v>
      </c>
      <c r="G92" s="1" t="s">
        <v>117</v>
      </c>
      <c r="H92" s="2">
        <v>155000</v>
      </c>
      <c r="I92" s="3">
        <f>Tabla1[[#This Row],[VALOR ]]-15000</f>
        <v>140000</v>
      </c>
    </row>
    <row r="93" spans="2:9" x14ac:dyDescent="0.25">
      <c r="B93" s="1">
        <v>91</v>
      </c>
      <c r="C93" s="1">
        <v>41592275</v>
      </c>
      <c r="D93" t="s">
        <v>90</v>
      </c>
      <c r="G93" s="1" t="s">
        <v>114</v>
      </c>
      <c r="H93" s="2">
        <v>155000</v>
      </c>
      <c r="I93" s="3">
        <f>Tabla1[[#This Row],[VALOR ]]-15000</f>
        <v>140000</v>
      </c>
    </row>
    <row r="94" spans="2:9" x14ac:dyDescent="0.25">
      <c r="B94" s="1">
        <v>92</v>
      </c>
      <c r="C94" s="1">
        <v>38262118</v>
      </c>
      <c r="D94" t="s">
        <v>91</v>
      </c>
      <c r="G94" s="1" t="s">
        <v>119</v>
      </c>
      <c r="H94" s="2">
        <v>155000</v>
      </c>
      <c r="I94" s="3">
        <f>Tabla1[[#This Row],[VALOR ]]-15000</f>
        <v>140000</v>
      </c>
    </row>
    <row r="95" spans="2:9" x14ac:dyDescent="0.25">
      <c r="B95" s="1">
        <v>93</v>
      </c>
      <c r="C95" s="1">
        <v>39652614</v>
      </c>
      <c r="D95" t="s">
        <v>92</v>
      </c>
      <c r="H95" s="2">
        <v>155000</v>
      </c>
      <c r="I95" s="3">
        <f>Tabla1[[#This Row],[VALOR ]]-15000</f>
        <v>140000</v>
      </c>
    </row>
    <row r="96" spans="2:9" x14ac:dyDescent="0.25">
      <c r="B96" s="1">
        <v>94</v>
      </c>
      <c r="C96" s="1">
        <v>1016048600</v>
      </c>
      <c r="D96" t="s">
        <v>93</v>
      </c>
      <c r="G96" s="1" t="s">
        <v>118</v>
      </c>
      <c r="H96" s="2">
        <v>155000</v>
      </c>
      <c r="I96" s="3">
        <f>Tabla1[[#This Row],[VALOR ]]-15000</f>
        <v>140000</v>
      </c>
    </row>
    <row r="97" spans="2:9" x14ac:dyDescent="0.25">
      <c r="B97" s="1">
        <v>95</v>
      </c>
      <c r="C97" s="1">
        <v>1007159320</v>
      </c>
      <c r="D97" t="s">
        <v>94</v>
      </c>
      <c r="G97" s="1" t="s">
        <v>117</v>
      </c>
      <c r="H97" s="2">
        <v>155000</v>
      </c>
      <c r="I97" s="3">
        <f>Tabla1[[#This Row],[VALOR ]]-15000</f>
        <v>140000</v>
      </c>
    </row>
    <row r="98" spans="2:9" x14ac:dyDescent="0.25">
      <c r="B98" s="1">
        <v>96</v>
      </c>
      <c r="C98" s="1">
        <v>1075630345</v>
      </c>
      <c r="D98" t="s">
        <v>95</v>
      </c>
      <c r="G98" s="1" t="s">
        <v>117</v>
      </c>
      <c r="H98" s="2">
        <v>155000</v>
      </c>
      <c r="I98" s="3">
        <f>Tabla1[[#This Row],[VALOR ]]-15000</f>
        <v>140000</v>
      </c>
    </row>
    <row r="99" spans="2:9" x14ac:dyDescent="0.25">
      <c r="B99" s="1">
        <v>97</v>
      </c>
      <c r="C99" s="1">
        <v>20357982</v>
      </c>
      <c r="D99" t="s">
        <v>96</v>
      </c>
      <c r="H99" s="2">
        <v>155000</v>
      </c>
      <c r="I99" s="3">
        <f>Tabla1[[#This Row],[VALOR ]]-15000</f>
        <v>140000</v>
      </c>
    </row>
    <row r="100" spans="2:9" x14ac:dyDescent="0.25">
      <c r="B100" s="1">
        <v>98</v>
      </c>
      <c r="C100" s="1">
        <v>1072963010</v>
      </c>
      <c r="D100" t="s">
        <v>97</v>
      </c>
      <c r="H100" s="2">
        <v>155000</v>
      </c>
      <c r="I100" s="3">
        <f>Tabla1[[#This Row],[VALOR ]]-15000</f>
        <v>140000</v>
      </c>
    </row>
    <row r="101" spans="2:9" x14ac:dyDescent="0.25">
      <c r="B101" s="1">
        <v>99</v>
      </c>
      <c r="C101" s="1">
        <v>1073628734</v>
      </c>
      <c r="D101" t="s">
        <v>98</v>
      </c>
      <c r="G101" s="1" t="s">
        <v>116</v>
      </c>
      <c r="H101" s="2">
        <v>155000</v>
      </c>
      <c r="I101" s="3">
        <f>Tabla1[[#This Row],[VALOR ]]-15000</f>
        <v>140000</v>
      </c>
    </row>
    <row r="102" spans="2:9" x14ac:dyDescent="0.25">
      <c r="B102" s="1">
        <v>100</v>
      </c>
      <c r="C102" s="1">
        <v>19217465</v>
      </c>
      <c r="D102" t="s">
        <v>99</v>
      </c>
      <c r="H102" s="2">
        <v>155000</v>
      </c>
      <c r="I102" s="3">
        <f>Tabla1[[#This Row],[VALOR ]]-15000</f>
        <v>140000</v>
      </c>
    </row>
    <row r="103" spans="2:9" s="5" customFormat="1" x14ac:dyDescent="0.25">
      <c r="B103" s="4">
        <v>101</v>
      </c>
      <c r="C103" s="4">
        <v>79656808</v>
      </c>
      <c r="D103" s="5" t="s">
        <v>100</v>
      </c>
      <c r="E103" s="4"/>
      <c r="F103" s="4"/>
      <c r="G103" s="4"/>
      <c r="H103" s="6"/>
      <c r="I103" s="3"/>
    </row>
    <row r="104" spans="2:9" x14ac:dyDescent="0.25">
      <c r="B104" s="1">
        <v>102</v>
      </c>
      <c r="C104" s="1">
        <v>52615542</v>
      </c>
      <c r="D104" t="s">
        <v>101</v>
      </c>
      <c r="H104" s="2">
        <v>155000</v>
      </c>
      <c r="I104" s="3">
        <f>Tabla1[[#This Row],[VALOR ]]-15000</f>
        <v>140000</v>
      </c>
    </row>
    <row r="105" spans="2:9" x14ac:dyDescent="0.25">
      <c r="B105" s="1">
        <v>103</v>
      </c>
      <c r="C105" s="1">
        <v>51604452</v>
      </c>
      <c r="D105" t="s">
        <v>102</v>
      </c>
      <c r="G105" s="1" t="s">
        <v>114</v>
      </c>
      <c r="H105" s="2">
        <v>155000</v>
      </c>
      <c r="I105" s="3">
        <f>Tabla1[[#This Row],[VALOR ]]-15000</f>
        <v>140000</v>
      </c>
    </row>
    <row r="106" spans="2:9" x14ac:dyDescent="0.25">
      <c r="B106" s="1">
        <v>104</v>
      </c>
      <c r="C106" s="1">
        <v>28846291</v>
      </c>
      <c r="D106" t="s">
        <v>103</v>
      </c>
      <c r="H106" s="2">
        <v>155000</v>
      </c>
      <c r="I106" s="3">
        <f>Tabla1[[#This Row],[VALOR ]]-15000</f>
        <v>140000</v>
      </c>
    </row>
    <row r="107" spans="2:9" x14ac:dyDescent="0.25">
      <c r="B107" s="1">
        <v>105</v>
      </c>
      <c r="C107" s="1">
        <v>1016022731</v>
      </c>
      <c r="D107" t="s">
        <v>104</v>
      </c>
      <c r="H107" s="2">
        <v>155000</v>
      </c>
      <c r="I107" s="3">
        <f>Tabla1[[#This Row],[VALOR ]]-15000</f>
        <v>140000</v>
      </c>
    </row>
    <row r="108" spans="2:9" x14ac:dyDescent="0.25">
      <c r="B108" s="1">
        <v>106</v>
      </c>
      <c r="C108" s="1">
        <v>30372665</v>
      </c>
      <c r="D108" t="s">
        <v>105</v>
      </c>
      <c r="H108" s="2">
        <v>155000</v>
      </c>
      <c r="I108" s="3">
        <f>Tabla1[[#This Row],[VALOR ]]-15000</f>
        <v>140000</v>
      </c>
    </row>
    <row r="109" spans="2:9" x14ac:dyDescent="0.25">
      <c r="B109" s="1">
        <v>107</v>
      </c>
      <c r="C109" s="20">
        <v>17192569</v>
      </c>
      <c r="D109" s="18" t="s">
        <v>130</v>
      </c>
      <c r="E109" s="19"/>
      <c r="F109" s="20"/>
      <c r="H109" s="2">
        <v>155000</v>
      </c>
      <c r="I109" s="3">
        <f>Tabla1[[#This Row],[VALOR ]]-15000</f>
        <v>140000</v>
      </c>
    </row>
    <row r="110" spans="2:9" ht="15.75" thickBot="1" x14ac:dyDescent="0.3">
      <c r="B110" s="1">
        <v>108</v>
      </c>
      <c r="C110" s="20">
        <v>2087170717</v>
      </c>
      <c r="D110" s="18" t="s">
        <v>131</v>
      </c>
      <c r="E110" s="19"/>
      <c r="F110" s="20"/>
      <c r="H110" s="2">
        <v>155000</v>
      </c>
      <c r="I110" s="3">
        <f>Tabla1[[#This Row],[VALOR ]]-15000</f>
        <v>140000</v>
      </c>
    </row>
    <row r="111" spans="2:9" ht="15.75" thickTop="1" x14ac:dyDescent="0.25">
      <c r="H111" s="16">
        <f>SUBTOTAL(109,Tabla1[[VALOR ]])</f>
        <v>16120000</v>
      </c>
      <c r="I111" s="17">
        <f>SUBTOTAL(109,Tabla1[COMISIÓN])</f>
        <v>14560000</v>
      </c>
    </row>
  </sheetData>
  <mergeCells count="1">
    <mergeCell ref="K12:L12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2023-11-20T13:44:04Z</dcterms:created>
  <dcterms:modified xsi:type="dcterms:W3CDTF">2023-11-20T21:35:52Z</dcterms:modified>
</cp:coreProperties>
</file>