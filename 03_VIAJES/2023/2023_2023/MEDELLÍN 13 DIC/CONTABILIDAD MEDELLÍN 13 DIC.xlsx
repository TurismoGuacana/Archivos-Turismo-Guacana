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MEDELLÍN\MEDELLÍN 13 DIC\"/>
    </mc:Choice>
  </mc:AlternateContent>
  <xr:revisionPtr revIDLastSave="0" documentId="8_{49D819DD-D259-4CC5-9628-57D889525697}" xr6:coauthVersionLast="47" xr6:coauthVersionMax="47" xr10:uidLastSave="{00000000-0000-0000-0000-000000000000}"/>
  <bookViews>
    <workbookView xWindow="-120" yWindow="-120" windowWidth="20730" windowHeight="11040" xr2:uid="{C181B159-BA5D-4761-B660-5A44C105CA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1" l="1"/>
  <c r="L24" i="1"/>
  <c r="M24" i="1"/>
  <c r="L22" i="1"/>
  <c r="L21" i="1"/>
  <c r="L20" i="1"/>
  <c r="L19" i="1"/>
  <c r="L13" i="1"/>
  <c r="L12" i="1"/>
  <c r="L9" i="1"/>
  <c r="L8" i="1"/>
  <c r="L7" i="1"/>
  <c r="L6" i="1"/>
  <c r="I39" i="1"/>
  <c r="H39" i="1"/>
  <c r="I38" i="1"/>
  <c r="I11" i="1"/>
  <c r="I12" i="1"/>
  <c r="I13" i="1"/>
  <c r="I10" i="1"/>
  <c r="I2" i="1"/>
  <c r="I3" i="1"/>
  <c r="I4" i="1"/>
  <c r="I5" i="1"/>
  <c r="I6" i="1"/>
  <c r="I7" i="1"/>
  <c r="I8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</calcChain>
</file>

<file path=xl/sharedStrings.xml><?xml version="1.0" encoding="utf-8"?>
<sst xmlns="http://schemas.openxmlformats.org/spreadsheetml/2006/main" count="140" uniqueCount="71">
  <si>
    <t>N°</t>
  </si>
  <si>
    <t>NOMBRE</t>
  </si>
  <si>
    <t>TIPO DE DOCUMENTO</t>
  </si>
  <si>
    <t xml:space="preserve">N° DE DOCUMENTO </t>
  </si>
  <si>
    <t>FECHA DE NACIMIENTO</t>
  </si>
  <si>
    <t>TELÉFONO</t>
  </si>
  <si>
    <t>COMISIONISTA</t>
  </si>
  <si>
    <t>C.C</t>
  </si>
  <si>
    <t>JOHAN STIVEN NIÑO BARRERA</t>
  </si>
  <si>
    <t>AMYLEE ALEXANDRA CARDENAS BRICEÑO</t>
  </si>
  <si>
    <t>T.I</t>
  </si>
  <si>
    <t xml:space="preserve">ALISSON MICHEL CARDENAS BRICEÑO </t>
  </si>
  <si>
    <t>JOSE JOAQUIN CARDENAS ROMERO</t>
  </si>
  <si>
    <t xml:space="preserve">JULIETH TERESA BRICEÑO </t>
  </si>
  <si>
    <t>LUZ MIREYA RODRIGUEZ LEON</t>
  </si>
  <si>
    <t>DANIA FERNANDA RAMIREZ BEDOYA</t>
  </si>
  <si>
    <t>GLORIA</t>
  </si>
  <si>
    <t>MARÍA LEDY RONDON VELAZQUES</t>
  </si>
  <si>
    <t>MAYRETH ALEJANDRA ROMERO BEDOYA</t>
  </si>
  <si>
    <t>LINA CATHERINE BEDOYA RONDON</t>
  </si>
  <si>
    <t>ABIGAIL GOMEZ BEDOYA</t>
  </si>
  <si>
    <t>R.C</t>
  </si>
  <si>
    <t>JAISON FERNANDO RAMIREZ MONTILLA</t>
  </si>
  <si>
    <t>MARÍA VITELMA OVALLE CADENA</t>
  </si>
  <si>
    <t>ANGIE XIMENA ZARATE CARDENAS</t>
  </si>
  <si>
    <t>THANIA GUISED MELO RUEDA</t>
  </si>
  <si>
    <t>JHOANA CAROLINA SAAVEDRA OVALLE</t>
  </si>
  <si>
    <t>SHARICK MARIANA ROJAS SAAVEDRA</t>
  </si>
  <si>
    <t>JOSÉ YESID MORENO PEREIRA</t>
  </si>
  <si>
    <t>MARTHA CECILIA PARRA MUNAR</t>
  </si>
  <si>
    <t>LUIS ALBERTO DUARTE MOLINA</t>
  </si>
  <si>
    <t>JOSÉ GABRIEL CABRERA PINZÓN</t>
  </si>
  <si>
    <t>KAROL DAYANNE FRYE SAAVEDRA</t>
  </si>
  <si>
    <t>EDITH</t>
  </si>
  <si>
    <t xml:space="preserve">MARÍA FERNANDA BENAVIDES </t>
  </si>
  <si>
    <t>ISABEL MAPE</t>
  </si>
  <si>
    <t>JUANA VALENTINA RIVEROS ROA</t>
  </si>
  <si>
    <t>DIANA</t>
  </si>
  <si>
    <t>NICOLAS SILVESTRE MARIN ORTIZ</t>
  </si>
  <si>
    <t>DEYANIRA ORRIZ CARREÑO</t>
  </si>
  <si>
    <t>ERICA MUÑOS</t>
  </si>
  <si>
    <t xml:space="preserve">DARIO MUÑOS </t>
  </si>
  <si>
    <t xml:space="preserve">20.871 845 </t>
  </si>
  <si>
    <t>KAREN SOFIA VIVAS CARDENAS</t>
  </si>
  <si>
    <t>VALERY NATALIA DUARTE</t>
  </si>
  <si>
    <t>MARIA EDNA PENAGOS</t>
  </si>
  <si>
    <t>BRIYIT FARFAN</t>
  </si>
  <si>
    <t xml:space="preserve">SELSA INÉS FARFAN </t>
  </si>
  <si>
    <t>SERGIO TORRES NIÑO</t>
  </si>
  <si>
    <t>LUZ DARY BEDOYA RONDON</t>
  </si>
  <si>
    <t>TRANSPORTE</t>
  </si>
  <si>
    <t>SEGURO</t>
  </si>
  <si>
    <t>ALOJAMIENTO</t>
  </si>
  <si>
    <t>DESAYUNO</t>
  </si>
  <si>
    <t>ALMUERZO 1</t>
  </si>
  <si>
    <t>ALMUERZO 2</t>
  </si>
  <si>
    <t>FERRY</t>
  </si>
  <si>
    <t>GASTOS DE REPRESENTACIÓN</t>
  </si>
  <si>
    <t>TOTAL</t>
  </si>
  <si>
    <t>INGRESO</t>
  </si>
  <si>
    <t>MAFE</t>
  </si>
  <si>
    <t>EMPRESA</t>
  </si>
  <si>
    <t>ALVARO GARCIA</t>
  </si>
  <si>
    <t>VALOR</t>
  </si>
  <si>
    <t>COMISIÓN</t>
  </si>
  <si>
    <t xml:space="preserve">KAROL RUEDA </t>
  </si>
  <si>
    <t>COSTOS Y GASTOS MEDELLÍN 13</t>
  </si>
  <si>
    <t>PAX</t>
  </si>
  <si>
    <t>ALVARO</t>
  </si>
  <si>
    <t>GUÍA TURÍSTICO</t>
  </si>
  <si>
    <t>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</si>
</sst>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/>
    <xf numFmtId="0" fontId="0" fillId="0" borderId="0" xfId="0" applyFill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3" borderId="2" xfId="1" applyNumberFormat="1" applyFont="1" applyFill="1" applyBorder="1" applyAlignment="1">
      <alignment horizontal="center"/>
    </xf>
    <xf numFmtId="0" fontId="0" fillId="0" borderId="3" xfId="0" applyFont="1" applyFill="1" applyBorder="1"/>
    <xf numFmtId="0" fontId="0" fillId="0" borderId="3" xfId="0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14" fontId="0" fillId="0" borderId="3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0" borderId="3" xfId="0" applyFill="1" applyBorder="1" applyAlignment="1">
      <alignment horizontal="center"/>
    </xf>
    <xf numFmtId="3" fontId="0" fillId="10" borderId="3" xfId="0" applyNumberForma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3" fontId="0" fillId="11" borderId="0" xfId="0" applyNumberFormat="1" applyFill="1" applyAlignment="1">
      <alignment horizontal="center"/>
    </xf>
    <xf numFmtId="0" fontId="0" fillId="12" borderId="0" xfId="0" applyFill="1"/>
    <xf numFmtId="0" fontId="0" fillId="13" borderId="0" xfId="0" applyFill="1"/>
    <xf numFmtId="3" fontId="0" fillId="10" borderId="0" xfId="0" applyNumberFormat="1" applyFill="1" applyAlignment="1">
      <alignment horizontal="center"/>
    </xf>
    <xf numFmtId="0" fontId="0" fillId="14" borderId="0" xfId="0" applyFill="1"/>
    <xf numFmtId="44" fontId="0" fillId="0" borderId="0" xfId="2" applyFont="1" applyAlignment="1">
      <alignment horizontal="center"/>
    </xf>
    <xf numFmtId="44" fontId="0" fillId="0" borderId="0" xfId="2" applyFont="1"/>
    <xf numFmtId="44" fontId="0" fillId="0" borderId="0" xfId="0" applyNumberFormat="1" applyAlignment="1">
      <alignment horizontal="center"/>
    </xf>
    <xf numFmtId="44" fontId="0" fillId="0" borderId="0" xfId="0" applyNumberFormat="1" applyFill="1" applyAlignment="1">
      <alignment horizontal="center"/>
    </xf>
    <xf numFmtId="44" fontId="0" fillId="2" borderId="0" xfId="2" applyFont="1" applyFill="1"/>
    <xf numFmtId="0" fontId="0" fillId="0" borderId="4" xfId="0" applyBorder="1"/>
    <xf numFmtId="44" fontId="0" fillId="0" borderId="4" xfId="2" applyFont="1" applyBorder="1"/>
    <xf numFmtId="0" fontId="0" fillId="0" borderId="4" xfId="0" applyBorder="1" applyAlignment="1">
      <alignment horizontal="center"/>
    </xf>
    <xf numFmtId="44" fontId="0" fillId="0" borderId="4" xfId="2" applyFont="1" applyBorder="1" applyAlignment="1">
      <alignment horizontal="center"/>
    </xf>
    <xf numFmtId="0" fontId="2" fillId="0" borderId="4" xfId="0" applyFont="1" applyBorder="1"/>
    <xf numFmtId="44" fontId="2" fillId="0" borderId="4" xfId="2" applyFont="1" applyBorder="1"/>
    <xf numFmtId="0" fontId="0" fillId="0" borderId="0" xfId="2" applyNumberFormat="1" applyFont="1"/>
    <xf numFmtId="0" fontId="2" fillId="0" borderId="4" xfId="0" applyFont="1" applyBorder="1" applyAlignment="1">
      <alignment horizontal="center"/>
    </xf>
    <xf numFmtId="0" fontId="0" fillId="0" borderId="6" xfId="0" applyBorder="1"/>
    <xf numFmtId="0" fontId="0" fillId="0" borderId="5" xfId="0" applyBorder="1"/>
    <xf numFmtId="44" fontId="0" fillId="0" borderId="5" xfId="2" applyFont="1" applyBorder="1"/>
    <xf numFmtId="0" fontId="0" fillId="0" borderId="7" xfId="0" applyBorder="1"/>
    <xf numFmtId="44" fontId="0" fillId="14" borderId="7" xfId="2" applyFont="1" applyFill="1" applyBorder="1"/>
    <xf numFmtId="44" fontId="0" fillId="2" borderId="7" xfId="2" applyFont="1" applyFill="1" applyBorder="1"/>
    <xf numFmtId="44" fontId="0" fillId="4" borderId="6" xfId="2" applyFont="1" applyFill="1" applyBorder="1"/>
  </cellXfs>
  <cellStyles count="3">
    <cellStyle name="Millares" xfId="1" builtinId="3"/>
    <cellStyle name="Moneda" xfId="2" builtinId="4"/>
    <cellStyle name="Normal" xfId="0" builtinId="0"/>
  </cellStyles>
  <dxfs count="14">
    <dxf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EAA5B-D327-4A44-B1B6-3E4F96DE9F24}" name="Tabla1" displayName="Tabla1" ref="A1:I39" totalsRowCount="1" headerRowDxfId="13" dataDxfId="12">
  <autoFilter ref="A1:I38" xr:uid="{8DFEAA5B-D327-4A44-B1B6-3E4F96DE9F24}"/>
  <tableColumns count="9">
    <tableColumn id="1" xr3:uid="{649CF6A3-9BD3-4DA6-A0C7-2D211084C5FE}" name="N°"/>
    <tableColumn id="2" xr3:uid="{0CA6EA6C-B33E-4063-98BB-E7CB38EBC561}" name="NOMBRE"/>
    <tableColumn id="3" xr3:uid="{8FE24472-42C0-4EC4-BAF4-468CE1AB55C8}" name="TIPO DE DOCUMENTO" dataDxfId="11" totalsRowDxfId="5"/>
    <tableColumn id="4" xr3:uid="{500A876B-F13E-4220-8986-2D55A947D246}" name="N° DE DOCUMENTO " dataDxfId="10" totalsRowDxfId="4"/>
    <tableColumn id="5" xr3:uid="{778624E7-D6E7-4F14-89DC-C39AF9C8DABC}" name="FECHA DE NACIMIENTO" dataDxfId="9" totalsRowDxfId="3"/>
    <tableColumn id="6" xr3:uid="{D263968B-1933-4861-96E8-383B54A2C1D3}" name="TELÉFONO"/>
    <tableColumn id="7" xr3:uid="{D5DEBEB8-9750-49C7-B21F-AA242765F23B}" name="COMISIONISTA" dataDxfId="8" totalsRowDxfId="2"/>
    <tableColumn id="8" xr3:uid="{9D68ACF9-198B-40EC-9068-556A9B493F63}" name="VALOR" totalsRowFunction="sum" dataDxfId="7" totalsRowDxfId="1" dataCellStyle="Moneda" totalsRowCellStyle="Moneda"/>
    <tableColumn id="9" xr3:uid="{D155A751-88E7-402C-870B-80A9006110AC}" name="COMISIÓN" totalsRowFunction="sum" dataDxfId="6" totalsRowDxfId="0">
      <calculatedColumnFormula>Tabla1[[#This Row],[VALOR]]-30000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3AC6-3EF0-4595-99E7-C0D055DFDE96}">
  <dimension ref="A1:M45"/>
  <sheetViews>
    <sheetView tabSelected="1" topLeftCell="C2" zoomScale="87" workbookViewId="0">
      <selection activeCell="N2" sqref="N2"/>
    </sheetView>
  </sheetViews>
  <sheetFormatPr baseColWidth="10" defaultRowHeight="15" x14ac:dyDescent="0.25"/>
  <cols>
    <col min="1" max="1" width="5.28515625" customWidth="1"/>
    <col min="2" max="2" width="38" bestFit="1" customWidth="1"/>
    <col min="3" max="3" width="22.42578125" style="1" customWidth="1"/>
    <col min="4" max="4" width="20.85546875" style="1" customWidth="1"/>
    <col min="5" max="5" width="23.7109375" style="1" customWidth="1"/>
    <col min="6" max="6" width="18.7109375" bestFit="1" customWidth="1"/>
    <col min="7" max="7" width="16.42578125" style="1" customWidth="1"/>
    <col min="8" max="9" width="17" bestFit="1" customWidth="1"/>
    <col min="11" max="11" width="27.28515625" bestFit="1" customWidth="1"/>
    <col min="12" max="12" width="17" style="34" bestFit="1" customWidth="1"/>
    <col min="13" max="13" width="7.42578125" style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63</v>
      </c>
      <c r="I1" s="1" t="s">
        <v>64</v>
      </c>
      <c r="J1" s="1"/>
    </row>
    <row r="2" spans="1:13" x14ac:dyDescent="0.25">
      <c r="A2">
        <v>1</v>
      </c>
      <c r="B2" s="16" t="s">
        <v>8</v>
      </c>
      <c r="C2" s="1" t="s">
        <v>7</v>
      </c>
      <c r="D2" s="2">
        <v>1007856282</v>
      </c>
      <c r="E2" s="3">
        <v>36980</v>
      </c>
      <c r="G2" s="1" t="s">
        <v>16</v>
      </c>
      <c r="H2" s="33">
        <v>360000</v>
      </c>
      <c r="I2" s="35">
        <f>Tabla1[[#This Row],[VALOR]]-30000</f>
        <v>330000</v>
      </c>
      <c r="J2" s="1"/>
      <c r="K2" s="45" t="s">
        <v>66</v>
      </c>
      <c r="L2" s="45"/>
    </row>
    <row r="3" spans="1:13" x14ac:dyDescent="0.25">
      <c r="A3">
        <v>2</v>
      </c>
      <c r="B3" s="16" t="s">
        <v>9</v>
      </c>
      <c r="C3" s="1" t="s">
        <v>10</v>
      </c>
      <c r="D3" s="2">
        <v>1072961466</v>
      </c>
      <c r="E3" s="3">
        <v>39862</v>
      </c>
      <c r="G3" s="1" t="s">
        <v>16</v>
      </c>
      <c r="H3" s="33">
        <v>360000</v>
      </c>
      <c r="I3" s="35">
        <f>Tabla1[[#This Row],[VALOR]]-30000</f>
        <v>330000</v>
      </c>
      <c r="J3" s="1"/>
      <c r="K3" s="38" t="s">
        <v>50</v>
      </c>
      <c r="L3" s="39">
        <v>4900000</v>
      </c>
    </row>
    <row r="4" spans="1:13" x14ac:dyDescent="0.25">
      <c r="A4">
        <v>3</v>
      </c>
      <c r="B4" s="30" t="s">
        <v>11</v>
      </c>
      <c r="C4" s="1" t="s">
        <v>10</v>
      </c>
      <c r="D4" s="2">
        <v>1072962080</v>
      </c>
      <c r="E4" s="3">
        <v>40643</v>
      </c>
      <c r="G4" s="1" t="s">
        <v>16</v>
      </c>
      <c r="H4" s="33">
        <v>360000</v>
      </c>
      <c r="I4" s="35">
        <f>Tabla1[[#This Row],[VALOR]]-30000</f>
        <v>330000</v>
      </c>
      <c r="J4" s="1"/>
      <c r="K4" s="38" t="s">
        <v>51</v>
      </c>
      <c r="L4" s="39">
        <v>144000</v>
      </c>
    </row>
    <row r="5" spans="1:13" x14ac:dyDescent="0.25">
      <c r="A5">
        <v>4</v>
      </c>
      <c r="B5" s="16" t="s">
        <v>12</v>
      </c>
      <c r="C5" s="1" t="s">
        <v>7</v>
      </c>
      <c r="D5" s="2">
        <v>1072960513</v>
      </c>
      <c r="E5" s="3">
        <v>32130</v>
      </c>
      <c r="G5" s="1" t="s">
        <v>16</v>
      </c>
      <c r="H5" s="33">
        <v>360000</v>
      </c>
      <c r="I5" s="35">
        <f>Tabla1[[#This Row],[VALOR]]-30000</f>
        <v>330000</v>
      </c>
      <c r="J5" s="1"/>
      <c r="K5" s="38" t="s">
        <v>52</v>
      </c>
      <c r="L5" s="39">
        <v>2060000</v>
      </c>
    </row>
    <row r="6" spans="1:13" x14ac:dyDescent="0.25">
      <c r="A6">
        <v>5</v>
      </c>
      <c r="B6" s="16" t="s">
        <v>13</v>
      </c>
      <c r="C6" s="1" t="s">
        <v>7</v>
      </c>
      <c r="D6" s="2">
        <v>1072960335</v>
      </c>
      <c r="E6" s="3">
        <v>31643</v>
      </c>
      <c r="G6" s="1" t="s">
        <v>16</v>
      </c>
      <c r="H6" s="33">
        <v>360000</v>
      </c>
      <c r="I6" s="35">
        <f>Tabla1[[#This Row],[VALOR]]-30000</f>
        <v>330000</v>
      </c>
      <c r="J6" s="1"/>
      <c r="K6" s="38" t="s">
        <v>53</v>
      </c>
      <c r="L6" s="39">
        <f>16000*36</f>
        <v>576000</v>
      </c>
    </row>
    <row r="7" spans="1:13" x14ac:dyDescent="0.25">
      <c r="A7">
        <v>6</v>
      </c>
      <c r="B7" s="30" t="s">
        <v>43</v>
      </c>
      <c r="C7" s="1" t="s">
        <v>10</v>
      </c>
      <c r="D7" s="2">
        <v>1072961053</v>
      </c>
      <c r="E7" s="3">
        <v>39389</v>
      </c>
      <c r="G7" s="1" t="s">
        <v>16</v>
      </c>
      <c r="H7" s="33">
        <v>360000</v>
      </c>
      <c r="I7" s="35">
        <f>Tabla1[[#This Row],[VALOR]]-30000</f>
        <v>330000</v>
      </c>
      <c r="J7" s="1"/>
      <c r="K7" s="38" t="s">
        <v>54</v>
      </c>
      <c r="L7" s="39">
        <f>14000*36</f>
        <v>504000</v>
      </c>
    </row>
    <row r="8" spans="1:13" x14ac:dyDescent="0.25">
      <c r="A8">
        <v>7</v>
      </c>
      <c r="B8" s="4" t="s">
        <v>35</v>
      </c>
      <c r="C8" s="1" t="s">
        <v>7</v>
      </c>
      <c r="D8" s="2">
        <v>20713598</v>
      </c>
      <c r="E8" s="3"/>
      <c r="G8" s="1" t="s">
        <v>60</v>
      </c>
      <c r="H8" s="33">
        <v>360000</v>
      </c>
      <c r="I8" s="35">
        <f>Tabla1[[#This Row],[VALOR]]-30000</f>
        <v>330000</v>
      </c>
      <c r="J8" s="1"/>
      <c r="K8" s="38" t="s">
        <v>55</v>
      </c>
      <c r="L8" s="39">
        <f>21000*36</f>
        <v>756000</v>
      </c>
    </row>
    <row r="9" spans="1:13" x14ac:dyDescent="0.25">
      <c r="A9">
        <v>8</v>
      </c>
      <c r="B9" s="29" t="s">
        <v>44</v>
      </c>
      <c r="C9" s="1" t="s">
        <v>7</v>
      </c>
      <c r="D9" s="2">
        <v>1007953320</v>
      </c>
      <c r="E9" s="3"/>
      <c r="F9" s="1"/>
      <c r="G9" s="8" t="s">
        <v>61</v>
      </c>
      <c r="H9" s="33">
        <v>0</v>
      </c>
      <c r="I9" s="35">
        <v>0</v>
      </c>
      <c r="J9" s="1"/>
      <c r="K9" s="38" t="s">
        <v>56</v>
      </c>
      <c r="L9" s="39">
        <f>264000</f>
        <v>264000</v>
      </c>
    </row>
    <row r="10" spans="1:13" x14ac:dyDescent="0.25">
      <c r="A10">
        <v>9</v>
      </c>
      <c r="B10" s="32" t="s">
        <v>45</v>
      </c>
      <c r="C10" s="1" t="s">
        <v>7</v>
      </c>
      <c r="D10" s="2">
        <v>21012934</v>
      </c>
      <c r="E10" s="3"/>
      <c r="G10" s="1" t="s">
        <v>62</v>
      </c>
      <c r="H10" s="33">
        <v>360000</v>
      </c>
      <c r="I10" s="35">
        <f>Tabla1[[#This Row],[VALOR]]-36000</f>
        <v>324000</v>
      </c>
      <c r="J10" s="1"/>
      <c r="K10" s="38" t="s">
        <v>69</v>
      </c>
      <c r="L10" s="39">
        <v>100000</v>
      </c>
    </row>
    <row r="11" spans="1:13" ht="15.75" thickBot="1" x14ac:dyDescent="0.3">
      <c r="A11">
        <v>10</v>
      </c>
      <c r="B11" s="32" t="s">
        <v>46</v>
      </c>
      <c r="C11" s="1" t="s">
        <v>10</v>
      </c>
      <c r="D11" s="2">
        <v>1075627336</v>
      </c>
      <c r="E11" s="3"/>
      <c r="G11" s="1" t="s">
        <v>62</v>
      </c>
      <c r="H11" s="33">
        <v>360000</v>
      </c>
      <c r="I11" s="35">
        <f>Tabla1[[#This Row],[VALOR]]-36000</f>
        <v>324000</v>
      </c>
      <c r="J11" s="1"/>
      <c r="K11" s="47" t="s">
        <v>57</v>
      </c>
      <c r="L11" s="48">
        <v>70000</v>
      </c>
    </row>
    <row r="12" spans="1:13" ht="15.75" thickBot="1" x14ac:dyDescent="0.3">
      <c r="A12">
        <v>11</v>
      </c>
      <c r="B12" s="32" t="s">
        <v>47</v>
      </c>
      <c r="C12" s="1" t="s">
        <v>7</v>
      </c>
      <c r="D12" s="2">
        <v>21012906</v>
      </c>
      <c r="E12" s="3"/>
      <c r="G12" s="1" t="s">
        <v>62</v>
      </c>
      <c r="H12" s="33">
        <v>360000</v>
      </c>
      <c r="I12" s="35">
        <f>Tabla1[[#This Row],[VALOR]]-36000</f>
        <v>324000</v>
      </c>
      <c r="J12" s="1"/>
      <c r="K12" s="49" t="s">
        <v>58</v>
      </c>
      <c r="L12" s="50">
        <f>SUM(L3:L11)</f>
        <v>9374000</v>
      </c>
    </row>
    <row r="13" spans="1:13" ht="15.75" thickBot="1" x14ac:dyDescent="0.3">
      <c r="A13">
        <v>12</v>
      </c>
      <c r="B13" s="32" t="s">
        <v>48</v>
      </c>
      <c r="C13" s="1" t="s">
        <v>10</v>
      </c>
      <c r="D13" s="2">
        <v>1028892973</v>
      </c>
      <c r="E13" s="3"/>
      <c r="G13" s="1" t="s">
        <v>62</v>
      </c>
      <c r="H13" s="33">
        <v>360000</v>
      </c>
      <c r="I13" s="35">
        <f>Tabla1[[#This Row],[VALOR]]-36000</f>
        <v>324000</v>
      </c>
      <c r="J13" s="1"/>
      <c r="K13" s="49" t="s">
        <v>59</v>
      </c>
      <c r="L13" s="51">
        <f>Tabla1[[#Totals],[COMISIÓN]]</f>
        <v>10886000</v>
      </c>
    </row>
    <row r="14" spans="1:13" x14ac:dyDescent="0.25">
      <c r="A14">
        <v>13</v>
      </c>
      <c r="B14" s="4" t="s">
        <v>14</v>
      </c>
      <c r="C14" s="8" t="s">
        <v>7</v>
      </c>
      <c r="D14" s="9">
        <v>41792549</v>
      </c>
      <c r="E14" s="8"/>
      <c r="F14" s="4"/>
      <c r="G14" s="8" t="s">
        <v>37</v>
      </c>
      <c r="H14" s="33">
        <v>360000</v>
      </c>
      <c r="I14" s="35">
        <f>Tabla1[[#This Row],[VALOR]]-30000</f>
        <v>330000</v>
      </c>
      <c r="J14" s="1"/>
      <c r="K14" s="46" t="s">
        <v>70</v>
      </c>
      <c r="L14" s="52">
        <f>L13-L12</f>
        <v>1512000</v>
      </c>
    </row>
    <row r="15" spans="1:13" x14ac:dyDescent="0.25">
      <c r="A15">
        <v>14</v>
      </c>
      <c r="B15" s="4" t="s">
        <v>36</v>
      </c>
      <c r="C15" s="8" t="s">
        <v>10</v>
      </c>
      <c r="D15" s="9">
        <v>1028866370</v>
      </c>
      <c r="E15" s="3">
        <v>39800</v>
      </c>
      <c r="G15" s="1" t="s">
        <v>37</v>
      </c>
      <c r="H15" s="33">
        <v>360000</v>
      </c>
      <c r="I15" s="35">
        <f>Tabla1[[#This Row],[VALOR]]-30000</f>
        <v>330000</v>
      </c>
      <c r="J15" s="1"/>
    </row>
    <row r="16" spans="1:13" s="4" customFormat="1" x14ac:dyDescent="0.25">
      <c r="A16">
        <v>15</v>
      </c>
      <c r="B16" s="17" t="s">
        <v>15</v>
      </c>
      <c r="C16" s="1" t="s">
        <v>10</v>
      </c>
      <c r="D16" s="2">
        <v>1012923004</v>
      </c>
      <c r="E16" s="3">
        <v>40533</v>
      </c>
      <c r="F16"/>
      <c r="G16" s="1" t="s">
        <v>16</v>
      </c>
      <c r="H16" s="33">
        <v>360000</v>
      </c>
      <c r="I16" s="36">
        <f>Tabla1[[#This Row],[VALOR]]-30000</f>
        <v>330000</v>
      </c>
      <c r="J16" s="8"/>
      <c r="L16" s="37"/>
      <c r="M16" s="8"/>
    </row>
    <row r="17" spans="1:13" x14ac:dyDescent="0.25">
      <c r="A17">
        <v>16</v>
      </c>
      <c r="B17" s="17" t="s">
        <v>17</v>
      </c>
      <c r="C17" s="1" t="s">
        <v>7</v>
      </c>
      <c r="D17" s="2">
        <v>28575411</v>
      </c>
      <c r="E17" s="3">
        <v>21813</v>
      </c>
      <c r="G17" s="1" t="s">
        <v>16</v>
      </c>
      <c r="H17" s="33">
        <v>360000</v>
      </c>
      <c r="I17" s="35">
        <f>Tabla1[[#This Row],[VALOR]]-30000</f>
        <v>330000</v>
      </c>
      <c r="J17" s="1"/>
    </row>
    <row r="18" spans="1:13" x14ac:dyDescent="0.25">
      <c r="A18">
        <v>17</v>
      </c>
      <c r="B18" s="17" t="s">
        <v>18</v>
      </c>
      <c r="C18" s="1" t="s">
        <v>10</v>
      </c>
      <c r="D18" s="2">
        <v>1072961999</v>
      </c>
      <c r="E18" s="3">
        <v>41946</v>
      </c>
      <c r="G18" s="1" t="s">
        <v>16</v>
      </c>
      <c r="H18" s="33">
        <v>360000</v>
      </c>
      <c r="I18" s="35">
        <f>Tabla1[[#This Row],[VALOR]]-30000</f>
        <v>330000</v>
      </c>
      <c r="J18" s="1"/>
      <c r="K18" s="40" t="s">
        <v>6</v>
      </c>
      <c r="L18" s="41" t="s">
        <v>64</v>
      </c>
      <c r="M18" s="40" t="s">
        <v>67</v>
      </c>
    </row>
    <row r="19" spans="1:13" x14ac:dyDescent="0.25">
      <c r="A19">
        <v>18</v>
      </c>
      <c r="B19" s="17" t="s">
        <v>19</v>
      </c>
      <c r="C19" s="1" t="s">
        <v>7</v>
      </c>
      <c r="D19" s="2">
        <v>1072963050</v>
      </c>
      <c r="E19" s="3">
        <v>35453</v>
      </c>
      <c r="G19" s="1" t="s">
        <v>16</v>
      </c>
      <c r="H19" s="33">
        <v>360000</v>
      </c>
      <c r="I19" s="35">
        <f>Tabla1[[#This Row],[VALOR]]-30000</f>
        <v>330000</v>
      </c>
      <c r="J19" s="1"/>
      <c r="K19" s="38" t="s">
        <v>16</v>
      </c>
      <c r="L19" s="39">
        <f>30000*22</f>
        <v>660000</v>
      </c>
      <c r="M19" s="40">
        <v>22</v>
      </c>
    </row>
    <row r="20" spans="1:13" x14ac:dyDescent="0.25">
      <c r="A20">
        <v>19</v>
      </c>
      <c r="B20" s="17" t="s">
        <v>20</v>
      </c>
      <c r="C20" s="1" t="s">
        <v>21</v>
      </c>
      <c r="D20" s="2">
        <v>1072964020</v>
      </c>
      <c r="E20" s="3">
        <v>43749</v>
      </c>
      <c r="G20" s="1" t="s">
        <v>16</v>
      </c>
      <c r="H20" s="33">
        <v>360000</v>
      </c>
      <c r="I20" s="35">
        <f>Tabla1[[#This Row],[VALOR]]-30000</f>
        <v>330000</v>
      </c>
      <c r="J20" s="1"/>
      <c r="K20" s="38" t="s">
        <v>68</v>
      </c>
      <c r="L20" s="39">
        <f>36000*4</f>
        <v>144000</v>
      </c>
      <c r="M20" s="40">
        <v>4</v>
      </c>
    </row>
    <row r="21" spans="1:13" x14ac:dyDescent="0.25">
      <c r="A21">
        <v>20</v>
      </c>
      <c r="B21" s="17" t="s">
        <v>22</v>
      </c>
      <c r="C21" s="1" t="s">
        <v>7</v>
      </c>
      <c r="D21" s="2">
        <v>80126427</v>
      </c>
      <c r="E21" s="3">
        <v>30002</v>
      </c>
      <c r="G21" s="1" t="s">
        <v>16</v>
      </c>
      <c r="H21" s="33">
        <v>360000</v>
      </c>
      <c r="I21" s="35">
        <f>Tabla1[[#This Row],[VALOR]]-30000</f>
        <v>330000</v>
      </c>
      <c r="J21" s="1"/>
      <c r="K21" s="38" t="s">
        <v>37</v>
      </c>
      <c r="L21" s="39">
        <f>30000*2</f>
        <v>60000</v>
      </c>
      <c r="M21" s="40">
        <v>2</v>
      </c>
    </row>
    <row r="22" spans="1:13" x14ac:dyDescent="0.25">
      <c r="A22">
        <v>21</v>
      </c>
      <c r="B22" s="18" t="s">
        <v>49</v>
      </c>
      <c r="C22" s="1" t="s">
        <v>7</v>
      </c>
      <c r="D22" s="2">
        <v>1072691224</v>
      </c>
      <c r="E22" s="3">
        <v>32894</v>
      </c>
      <c r="G22" s="1" t="s">
        <v>16</v>
      </c>
      <c r="H22" s="33">
        <v>360000</v>
      </c>
      <c r="I22" s="35">
        <f>Tabla1[[#This Row],[VALOR]]-30000</f>
        <v>330000</v>
      </c>
      <c r="J22" s="1"/>
      <c r="K22" s="38" t="s">
        <v>33</v>
      </c>
      <c r="L22" s="39">
        <f>4*30000</f>
        <v>120000</v>
      </c>
      <c r="M22" s="40">
        <v>4</v>
      </c>
    </row>
    <row r="23" spans="1:13" x14ac:dyDescent="0.25">
      <c r="A23">
        <v>22</v>
      </c>
      <c r="B23" s="18" t="s">
        <v>23</v>
      </c>
      <c r="C23" s="1" t="s">
        <v>7</v>
      </c>
      <c r="D23" s="2">
        <v>39555516</v>
      </c>
      <c r="E23" s="3">
        <v>22718</v>
      </c>
      <c r="F23">
        <v>3</v>
      </c>
      <c r="G23" s="1" t="s">
        <v>16</v>
      </c>
      <c r="H23" s="33">
        <v>360000</v>
      </c>
      <c r="I23" s="35">
        <f>Tabla1[[#This Row],[VALOR]]-30000</f>
        <v>330000</v>
      </c>
      <c r="J23" s="1"/>
      <c r="K23" s="38" t="s">
        <v>60</v>
      </c>
      <c r="L23" s="39">
        <v>30000</v>
      </c>
      <c r="M23" s="40">
        <v>1</v>
      </c>
    </row>
    <row r="24" spans="1:13" x14ac:dyDescent="0.25">
      <c r="A24">
        <v>23</v>
      </c>
      <c r="B24" s="18" t="s">
        <v>24</v>
      </c>
      <c r="C24" s="1" t="s">
        <v>7</v>
      </c>
      <c r="D24" s="2">
        <v>1073328195</v>
      </c>
      <c r="E24" s="3">
        <v>36147</v>
      </c>
      <c r="F24">
        <v>4</v>
      </c>
      <c r="G24" s="1" t="s">
        <v>16</v>
      </c>
      <c r="H24" s="33">
        <v>360000</v>
      </c>
      <c r="I24" s="35">
        <f>Tabla1[[#This Row],[VALOR]]-30000</f>
        <v>330000</v>
      </c>
      <c r="J24" s="1"/>
      <c r="K24" s="42" t="s">
        <v>58</v>
      </c>
      <c r="L24" s="43">
        <f>SUM(L19:L23)</f>
        <v>1014000</v>
      </c>
      <c r="M24" s="40">
        <f>SUM(M19:M23)</f>
        <v>33</v>
      </c>
    </row>
    <row r="25" spans="1:13" x14ac:dyDescent="0.25">
      <c r="A25">
        <v>24</v>
      </c>
      <c r="B25" s="18" t="s">
        <v>25</v>
      </c>
      <c r="C25" s="1" t="s">
        <v>10</v>
      </c>
      <c r="D25" s="2">
        <v>1075626436</v>
      </c>
      <c r="E25" s="3">
        <v>39711</v>
      </c>
      <c r="F25">
        <v>5</v>
      </c>
      <c r="G25" s="1" t="s">
        <v>16</v>
      </c>
      <c r="H25" s="33">
        <v>360000</v>
      </c>
      <c r="I25" s="35">
        <f>Tabla1[[#This Row],[VALOR]]-30000</f>
        <v>330000</v>
      </c>
      <c r="J25" s="1"/>
    </row>
    <row r="26" spans="1:13" x14ac:dyDescent="0.25">
      <c r="A26">
        <v>25</v>
      </c>
      <c r="B26" s="19" t="s">
        <v>26</v>
      </c>
      <c r="C26" s="1" t="s">
        <v>7</v>
      </c>
      <c r="D26" s="2">
        <v>52900591</v>
      </c>
      <c r="E26" s="3">
        <v>29698</v>
      </c>
      <c r="F26">
        <v>6</v>
      </c>
      <c r="G26" s="1" t="s">
        <v>16</v>
      </c>
      <c r="H26" s="33">
        <v>360000</v>
      </c>
      <c r="I26" s="35">
        <f>Tabla1[[#This Row],[VALOR]]-30000</f>
        <v>330000</v>
      </c>
      <c r="J26" s="1"/>
      <c r="K26" t="s">
        <v>61</v>
      </c>
      <c r="L26" s="44">
        <v>4</v>
      </c>
    </row>
    <row r="27" spans="1:13" x14ac:dyDescent="0.25">
      <c r="A27">
        <v>26</v>
      </c>
      <c r="B27" s="19" t="s">
        <v>27</v>
      </c>
      <c r="C27" s="1" t="s">
        <v>10</v>
      </c>
      <c r="D27" s="2">
        <v>1073628379</v>
      </c>
      <c r="E27" s="3">
        <v>38794</v>
      </c>
      <c r="F27">
        <v>7</v>
      </c>
      <c r="G27" s="1" t="s">
        <v>16</v>
      </c>
      <c r="H27" s="33">
        <v>360000</v>
      </c>
      <c r="I27" s="35">
        <f>Tabla1[[#This Row],[VALOR]]-30000</f>
        <v>330000</v>
      </c>
      <c r="J27" s="1"/>
    </row>
    <row r="28" spans="1:13" x14ac:dyDescent="0.25">
      <c r="A28">
        <v>27</v>
      </c>
      <c r="B28" s="19" t="s">
        <v>32</v>
      </c>
      <c r="C28" s="1" t="s">
        <v>7</v>
      </c>
      <c r="D28" s="2">
        <v>1000332420</v>
      </c>
      <c r="E28" s="3">
        <v>36748</v>
      </c>
      <c r="F28">
        <v>8</v>
      </c>
      <c r="G28" s="1" t="s">
        <v>16</v>
      </c>
      <c r="H28" s="33">
        <v>360000</v>
      </c>
      <c r="I28" s="35">
        <f>Tabla1[[#This Row],[VALOR]]-30000</f>
        <v>330000</v>
      </c>
      <c r="J28" s="1"/>
    </row>
    <row r="29" spans="1:13" x14ac:dyDescent="0.25">
      <c r="A29">
        <v>28</v>
      </c>
      <c r="B29" s="26" t="s">
        <v>38</v>
      </c>
      <c r="C29" s="27" t="s">
        <v>10</v>
      </c>
      <c r="D29" s="28">
        <v>1072961800</v>
      </c>
      <c r="E29" s="3">
        <v>40291</v>
      </c>
      <c r="G29" s="1" t="s">
        <v>16</v>
      </c>
      <c r="H29" s="33">
        <v>360000</v>
      </c>
      <c r="I29" s="35">
        <f>Tabla1[[#This Row],[VALOR]]-30000</f>
        <v>330000</v>
      </c>
      <c r="J29" s="1"/>
    </row>
    <row r="30" spans="1:13" x14ac:dyDescent="0.25">
      <c r="A30">
        <v>29</v>
      </c>
      <c r="B30" s="26" t="s">
        <v>39</v>
      </c>
      <c r="C30" s="27" t="s">
        <v>7</v>
      </c>
      <c r="D30" s="28">
        <v>52305912</v>
      </c>
      <c r="E30" s="3">
        <v>28472</v>
      </c>
      <c r="G30" s="1" t="s">
        <v>16</v>
      </c>
      <c r="H30" s="33">
        <v>360000</v>
      </c>
      <c r="I30" s="35">
        <f>Tabla1[[#This Row],[VALOR]]-30000</f>
        <v>330000</v>
      </c>
      <c r="J30" s="1"/>
    </row>
    <row r="31" spans="1:13" x14ac:dyDescent="0.25">
      <c r="A31">
        <v>30</v>
      </c>
      <c r="B31" s="22" t="s">
        <v>40</v>
      </c>
      <c r="C31" s="23" t="s">
        <v>7</v>
      </c>
      <c r="D31" s="24" t="s">
        <v>42</v>
      </c>
      <c r="E31" s="3"/>
      <c r="G31" s="1" t="s">
        <v>33</v>
      </c>
      <c r="H31" s="33">
        <v>360000</v>
      </c>
      <c r="I31" s="35">
        <f>Tabla1[[#This Row],[VALOR]]-30000</f>
        <v>330000</v>
      </c>
      <c r="J31" s="1"/>
    </row>
    <row r="32" spans="1:13" x14ac:dyDescent="0.25">
      <c r="A32">
        <v>31</v>
      </c>
      <c r="B32" s="22" t="s">
        <v>41</v>
      </c>
      <c r="C32" s="25" t="s">
        <v>7</v>
      </c>
      <c r="D32" s="31">
        <v>3149291</v>
      </c>
      <c r="E32" s="3">
        <v>18128</v>
      </c>
      <c r="G32" s="1" t="s">
        <v>33</v>
      </c>
      <c r="H32" s="33">
        <v>360000</v>
      </c>
      <c r="I32" s="35">
        <f>Tabla1[[#This Row],[VALOR]]-30000</f>
        <v>330000</v>
      </c>
      <c r="J32" s="1"/>
    </row>
    <row r="33" spans="1:10" x14ac:dyDescent="0.25">
      <c r="A33">
        <v>32</v>
      </c>
      <c r="B33" s="20" t="s">
        <v>29</v>
      </c>
      <c r="C33" s="1" t="s">
        <v>7</v>
      </c>
      <c r="D33" s="2">
        <v>20871552</v>
      </c>
      <c r="E33" s="3">
        <v>24830</v>
      </c>
      <c r="G33" s="1" t="s">
        <v>33</v>
      </c>
      <c r="H33" s="33">
        <v>370000</v>
      </c>
      <c r="I33" s="35">
        <f>Tabla1[[#This Row],[VALOR]]-30000</f>
        <v>340000</v>
      </c>
      <c r="J33" s="1"/>
    </row>
    <row r="34" spans="1:10" x14ac:dyDescent="0.25">
      <c r="A34">
        <v>33</v>
      </c>
      <c r="B34" s="20" t="s">
        <v>28</v>
      </c>
      <c r="C34" s="1" t="s">
        <v>7</v>
      </c>
      <c r="D34" s="2">
        <v>3207618</v>
      </c>
      <c r="E34" s="3">
        <v>20858</v>
      </c>
      <c r="G34" s="1" t="s">
        <v>33</v>
      </c>
      <c r="H34" s="33">
        <v>370000</v>
      </c>
      <c r="I34" s="35">
        <f>Tabla1[[#This Row],[VALOR]]-30000</f>
        <v>340000</v>
      </c>
      <c r="J34" s="1"/>
    </row>
    <row r="35" spans="1:10" x14ac:dyDescent="0.25">
      <c r="A35">
        <v>34</v>
      </c>
      <c r="B35" s="29" t="s">
        <v>30</v>
      </c>
      <c r="C35" s="1" t="s">
        <v>7</v>
      </c>
      <c r="D35" s="2">
        <v>79538678</v>
      </c>
      <c r="G35" s="8"/>
      <c r="H35" s="33"/>
      <c r="I35" s="35"/>
      <c r="J35" s="1"/>
    </row>
    <row r="36" spans="1:10" x14ac:dyDescent="0.25">
      <c r="A36">
        <v>35</v>
      </c>
      <c r="B36" s="21" t="s">
        <v>31</v>
      </c>
      <c r="C36" s="6" t="s">
        <v>7</v>
      </c>
      <c r="D36" s="7">
        <v>1075628177</v>
      </c>
      <c r="G36" s="8"/>
      <c r="H36" s="33">
        <v>10000</v>
      </c>
      <c r="I36" s="35"/>
      <c r="J36" s="1"/>
    </row>
    <row r="37" spans="1:10" x14ac:dyDescent="0.25">
      <c r="A37">
        <v>36</v>
      </c>
      <c r="B37" s="21" t="s">
        <v>34</v>
      </c>
      <c r="C37" s="1" t="s">
        <v>7</v>
      </c>
      <c r="D37" s="10">
        <v>1075627540</v>
      </c>
      <c r="G37" s="8"/>
      <c r="H37" s="33">
        <v>10000</v>
      </c>
      <c r="I37" s="35"/>
      <c r="J37" s="1"/>
    </row>
    <row r="38" spans="1:10" x14ac:dyDescent="0.25">
      <c r="A38">
        <v>37</v>
      </c>
      <c r="B38" t="s">
        <v>65</v>
      </c>
      <c r="G38" s="1" t="s">
        <v>16</v>
      </c>
      <c r="H38" s="33">
        <v>360000</v>
      </c>
      <c r="I38" s="35">
        <f>Tabla1[[#This Row],[VALOR]]-30000</f>
        <v>330000</v>
      </c>
      <c r="J38" s="1"/>
    </row>
    <row r="39" spans="1:10" x14ac:dyDescent="0.25">
      <c r="H39" s="33">
        <f>SUBTOTAL(109,Tabla1[VALOR])</f>
        <v>11920000</v>
      </c>
      <c r="I39" s="35">
        <f>SUBTOTAL(109,Tabla1[COMISIÓN])</f>
        <v>10886000</v>
      </c>
    </row>
    <row r="42" spans="1:10" x14ac:dyDescent="0.25">
      <c r="B42" s="11"/>
      <c r="C42" s="12"/>
      <c r="D42" s="13"/>
      <c r="E42" s="14"/>
      <c r="F42" s="5"/>
      <c r="G42" s="15"/>
    </row>
    <row r="43" spans="1:10" x14ac:dyDescent="0.25">
      <c r="B43" s="11"/>
      <c r="C43" s="12"/>
      <c r="D43" s="13"/>
      <c r="E43" s="14"/>
      <c r="F43" s="5"/>
      <c r="G43" s="15"/>
    </row>
    <row r="44" spans="1:10" x14ac:dyDescent="0.25">
      <c r="B44" s="11"/>
      <c r="C44" s="12"/>
      <c r="D44" s="13"/>
      <c r="E44" s="14"/>
      <c r="F44" s="11"/>
      <c r="G44" s="12"/>
    </row>
    <row r="45" spans="1:10" x14ac:dyDescent="0.25">
      <c r="B45" s="5"/>
      <c r="C45" s="15"/>
      <c r="D45" s="15"/>
      <c r="E45" s="15"/>
      <c r="F45" s="5"/>
      <c r="G45" s="15"/>
    </row>
  </sheetData>
  <mergeCells count="1">
    <mergeCell ref="K2:L2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 STEFANI  CRUZ MORENO</cp:lastModifiedBy>
  <dcterms:created xsi:type="dcterms:W3CDTF">2023-10-12T22:00:14Z</dcterms:created>
  <dcterms:modified xsi:type="dcterms:W3CDTF">2023-12-17T19:47:37Z</dcterms:modified>
</cp:coreProperties>
</file>