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aniela\Downloads\"/>
    </mc:Choice>
  </mc:AlternateContent>
  <xr:revisionPtr revIDLastSave="0" documentId="13_ncr:1_{615559BC-06B8-4C78-A494-C4CC0EC1ED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OLU COVEÑA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1" l="1"/>
  <c r="K21" i="1"/>
  <c r="F46" i="1"/>
  <c r="G45" i="1"/>
  <c r="K50" i="1"/>
  <c r="K45" i="1"/>
  <c r="G3" i="1" l="1"/>
  <c r="G4" i="1"/>
  <c r="G5" i="1"/>
  <c r="G6" i="1"/>
  <c r="G7" i="1"/>
  <c r="G8" i="1"/>
  <c r="G9" i="1"/>
  <c r="G10" i="1"/>
  <c r="K15" i="1"/>
  <c r="G13" i="1"/>
  <c r="G14" i="1"/>
  <c r="G15" i="1"/>
  <c r="G16" i="1"/>
  <c r="G17" i="1"/>
  <c r="G18" i="1"/>
  <c r="G19" i="1"/>
  <c r="G20" i="1"/>
  <c r="G21" i="1"/>
  <c r="G22" i="1"/>
  <c r="G23" i="1"/>
  <c r="K27" i="1"/>
  <c r="K29" i="1" s="1"/>
  <c r="G24" i="1"/>
  <c r="G25" i="1"/>
  <c r="G26" i="1"/>
  <c r="G27" i="1"/>
  <c r="G28" i="1"/>
  <c r="D29" i="1"/>
  <c r="G29" i="1"/>
  <c r="G30" i="1"/>
  <c r="K32" i="1"/>
  <c r="G31" i="1"/>
  <c r="G32" i="1"/>
  <c r="G33" i="1"/>
  <c r="K35" i="1"/>
  <c r="G34" i="1"/>
  <c r="G35" i="1"/>
  <c r="G36" i="1"/>
  <c r="G37" i="1"/>
  <c r="G38" i="1"/>
  <c r="L41" i="1"/>
  <c r="G39" i="1"/>
  <c r="L42" i="1"/>
  <c r="L43" i="1"/>
  <c r="L44" i="1"/>
  <c r="D46" i="1"/>
  <c r="F47" i="1" s="1"/>
  <c r="G46" i="1" l="1"/>
  <c r="L45" i="1"/>
  <c r="K22" i="1"/>
  <c r="K23" i="1" s="1"/>
</calcChain>
</file>

<file path=xl/sharedStrings.xml><?xml version="1.0" encoding="utf-8"?>
<sst xmlns="http://schemas.openxmlformats.org/spreadsheetml/2006/main" count="147" uniqueCount="104">
  <si>
    <t>CLIENTES</t>
  </si>
  <si>
    <t>COMISIONISTAS</t>
  </si>
  <si>
    <t>EMPRESA</t>
  </si>
  <si>
    <t>NIÑOS</t>
  </si>
  <si>
    <t xml:space="preserve">EMPRESA </t>
  </si>
  <si>
    <t>TI 1014877742</t>
  </si>
  <si>
    <t>ISABELLA CABRERA</t>
  </si>
  <si>
    <t>MARIA FERNANDA BENAVIDES</t>
  </si>
  <si>
    <t>TOTAL</t>
  </si>
  <si>
    <t>GABRIEL CABRERA PINZON</t>
  </si>
  <si>
    <t>GLORIA</t>
  </si>
  <si>
    <t>LUIS ALBERTO DUARTE MOLINA</t>
  </si>
  <si>
    <t>ISABEL</t>
  </si>
  <si>
    <t>VALERY NATALIA DUARTE GOMEZ</t>
  </si>
  <si>
    <t>LAD</t>
  </si>
  <si>
    <t>20.871 845</t>
  </si>
  <si>
    <t xml:space="preserve">ERICA MUÑOZ MEDINA  </t>
  </si>
  <si>
    <t>EDITH</t>
  </si>
  <si>
    <t>FLORINDA DAZA MARIN</t>
  </si>
  <si>
    <t>MAFE</t>
  </si>
  <si>
    <t>TI 1073629166</t>
  </si>
  <si>
    <t>TALIANA BOCANEGRA FORERO</t>
  </si>
  <si>
    <t xml:space="preserve">GISELL DANIELA BOCANEGRA FORERO </t>
  </si>
  <si>
    <t>MARIA ISABEL FORERO GONZALÉZ</t>
  </si>
  <si>
    <t xml:space="preserve">JUAN CARLOS BOCANEGRA </t>
  </si>
  <si>
    <t>T.I 1073629356</t>
  </si>
  <si>
    <t xml:space="preserve">JAVIER STEVEN LEÓN BETANCOURT </t>
  </si>
  <si>
    <t>HABITACION PROB BOCANEGRA</t>
  </si>
  <si>
    <t xml:space="preserve">JAVIER HERNANDO LEÓN PINILLA </t>
  </si>
  <si>
    <t>7 TORITOS 10,000</t>
  </si>
  <si>
    <t xml:space="preserve">EUGENIA LLANOS GUZMAN </t>
  </si>
  <si>
    <t>GASTO 4 BOTELLAS WISKEY</t>
  </si>
  <si>
    <t xml:space="preserve">MARIA EUGENIA MAPE </t>
  </si>
  <si>
    <t>GABRIEL COGIO DEL PAGO DE MARIA E</t>
  </si>
  <si>
    <t xml:space="preserve">INGRESO </t>
  </si>
  <si>
    <t>XIOMARA MILENA GOMEZ CABRERA</t>
  </si>
  <si>
    <t>TI 1010964272</t>
  </si>
  <si>
    <t>MARIE ANNE LÓPEZ POVEDA</t>
  </si>
  <si>
    <t>YURY FENELLA POVEDA TORRES</t>
  </si>
  <si>
    <t>JUAN PABLO DUARTE TORRES</t>
  </si>
  <si>
    <t xml:space="preserve">ABONO UTILLIDAD GABRIEL </t>
  </si>
  <si>
    <t>JOSE YURY DUARTE MOLINA</t>
  </si>
  <si>
    <t xml:space="preserve">SALDO A FAVOR DE XIOMY </t>
  </si>
  <si>
    <t>T.I 107.362.9019</t>
  </si>
  <si>
    <t>JUAN ESTEBAN DIAZ MAEIN</t>
  </si>
  <si>
    <t>DIANA CAROLINA MARIN AGUIRRE</t>
  </si>
  <si>
    <t>SALDO DE LOS 500</t>
  </si>
  <si>
    <t>T.i VEZ 6647179</t>
  </si>
  <si>
    <t xml:space="preserve">REYNIER SERRUDO </t>
  </si>
  <si>
    <t xml:space="preserve">PRESTAMO DE LUIS A MAFE </t>
  </si>
  <si>
    <t>T.I 1.028.870.072</t>
  </si>
  <si>
    <t xml:space="preserve">DANNA SOFIA SANCHEZ BELTRAN </t>
  </si>
  <si>
    <t>CC VEZ  21597581</t>
  </si>
  <si>
    <t>REYNIER ALEXANDER SERRUDO MOLERO</t>
  </si>
  <si>
    <t>UTILIDAD</t>
  </si>
  <si>
    <t xml:space="preserve">MAGDA NURY BELTRAN MANCERA </t>
  </si>
  <si>
    <t>TOTAL INGRESOS</t>
  </si>
  <si>
    <t>LUIS SILVA MUÑOZ</t>
  </si>
  <si>
    <t>TOTAL GASTOS</t>
  </si>
  <si>
    <t>PABLO LUIS GARZON CASTELLO</t>
  </si>
  <si>
    <t>ISLAS DE SAN BERNARDO</t>
  </si>
  <si>
    <t xml:space="preserve">ANAPOIMA COMISION </t>
  </si>
  <si>
    <t xml:space="preserve">JOSE RICARDO VANEGAS ROJAS </t>
  </si>
  <si>
    <t>BICITOUR</t>
  </si>
  <si>
    <t xml:space="preserve">EDITH SALAZAR LOPEZ </t>
  </si>
  <si>
    <t>TUR MANGLARES</t>
  </si>
  <si>
    <t xml:space="preserve">LUIS HERNANDO ROMERO </t>
  </si>
  <si>
    <t>T.I 1.031.655.167</t>
  </si>
  <si>
    <t xml:space="preserve">LUISA FERNANDA ROMERO </t>
  </si>
  <si>
    <t>solo seguro**</t>
  </si>
  <si>
    <t>R.C 1.073.063.553</t>
  </si>
  <si>
    <t>MARIAM MORALES BAERRERO</t>
  </si>
  <si>
    <t>SILLA Y SEGURO</t>
  </si>
  <si>
    <t>T.I. 1.073.629.959</t>
  </si>
  <si>
    <t>WILLIAM MORALES BARRERO</t>
  </si>
  <si>
    <t>GASTOS DE REPRESENTACIÓN</t>
  </si>
  <si>
    <t>T.I. 1.073.628.694</t>
  </si>
  <si>
    <t xml:space="preserve">FERNANDA MORALES BARRERO </t>
  </si>
  <si>
    <t>PARRANDA</t>
  </si>
  <si>
    <t>SANDRA PATRICIA BARRERO</t>
  </si>
  <si>
    <t>SEGURO DE VIAJE</t>
  </si>
  <si>
    <t>ROSA YOLANDA MORENO SILVA</t>
  </si>
  <si>
    <t>ANA EDITH MORENO SILVA</t>
  </si>
  <si>
    <t xml:space="preserve">TRANSPORTE </t>
  </si>
  <si>
    <t>LEONOR SUAREZ PEÑA</t>
  </si>
  <si>
    <t>GLADYS SUAREZ PEÑA</t>
  </si>
  <si>
    <t>ANA ELISA PAEZ DE PORRAS</t>
  </si>
  <si>
    <t xml:space="preserve">MARIA GLADYS BELTRAN </t>
  </si>
  <si>
    <t xml:space="preserve">VALOR </t>
  </si>
  <si>
    <t xml:space="preserve">VENDEDOR </t>
  </si>
  <si>
    <t>ABONO</t>
  </si>
  <si>
    <t>IDENTIFICACION</t>
  </si>
  <si>
    <t xml:space="preserve">NOMBRES Y APELLIDOS </t>
  </si>
  <si>
    <t>N°</t>
  </si>
  <si>
    <t>CONTROL DE PASAJEROS Y SALDOS QUE ADEUDAN</t>
  </si>
  <si>
    <t>COSTOS Y GASTOS SALIDA CARTAGENA</t>
  </si>
  <si>
    <t>COMISIÓN</t>
  </si>
  <si>
    <t>JUAN CARLOS BOCANEGRA FORERO</t>
  </si>
  <si>
    <t>C.C 1073629738</t>
  </si>
  <si>
    <t>CENAS ADICIONALES</t>
  </si>
  <si>
    <t>HOTEL COVEÑAS #2</t>
  </si>
  <si>
    <t>HOTEL COVEÑAS</t>
  </si>
  <si>
    <t>CENA Y DESAYUNO EN CARTAGENA</t>
  </si>
  <si>
    <t>HOTEL CARTAGENA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</si>
</sst>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_-&quot;$&quot;* #,##0_-;\-&quot;$&quot;* #,##0_-;_-&quot;$&quot;* &quot;-&quot;??_-;_-@_-"/>
    <numFmt numFmtId="167" formatCode="_(* #,##0.00_);_(* \(#,##0.00\);_(* &quot;-&quot;??_);_(@_)"/>
    <numFmt numFmtId="168" formatCode="_(* #,##0_);_(* \(#,##0\);_(* &quot;-&quot;??_);_(@_)"/>
    <numFmt numFmtId="169" formatCode="&quot;$&quot;\ #,##0_);[Red]\(&quot;$&quot;\ #,##0\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9">
    <xf numFmtId="0" fontId="0" fillId="0" borderId="0" xfId="0"/>
    <xf numFmtId="166" fontId="0" fillId="0" borderId="0" xfId="2" applyNumberFormat="1" applyFont="1"/>
    <xf numFmtId="168" fontId="0" fillId="0" borderId="0" xfId="3" applyNumberFormat="1" applyFont="1"/>
    <xf numFmtId="0" fontId="0" fillId="2" borderId="0" xfId="0" applyFill="1"/>
    <xf numFmtId="164" fontId="0" fillId="2" borderId="0" xfId="1" applyFont="1" applyFill="1"/>
    <xf numFmtId="0" fontId="4" fillId="0" borderId="1" xfId="0" applyFont="1" applyBorder="1"/>
    <xf numFmtId="0" fontId="0" fillId="0" borderId="1" xfId="0" applyBorder="1"/>
    <xf numFmtId="0" fontId="0" fillId="0" borderId="2" xfId="0" applyFont="1" applyBorder="1"/>
    <xf numFmtId="166" fontId="0" fillId="0" borderId="1" xfId="2" applyNumberFormat="1" applyFont="1" applyBorder="1"/>
    <xf numFmtId="0" fontId="0" fillId="0" borderId="1" xfId="0" applyFont="1" applyBorder="1"/>
    <xf numFmtId="168" fontId="0" fillId="0" borderId="1" xfId="3" applyNumberFormat="1" applyFont="1" applyBorder="1"/>
    <xf numFmtId="166" fontId="2" fillId="0" borderId="1" xfId="2" applyNumberFormat="1" applyFont="1" applyBorder="1"/>
    <xf numFmtId="0" fontId="5" fillId="0" borderId="1" xfId="0" applyFont="1" applyBorder="1" applyAlignment="1">
      <alignment vertical="center"/>
    </xf>
    <xf numFmtId="164" fontId="6" fillId="2" borderId="1" xfId="0" applyNumberFormat="1" applyFont="1" applyFill="1" applyBorder="1"/>
    <xf numFmtId="164" fontId="6" fillId="2" borderId="1" xfId="1" applyFont="1" applyFill="1" applyBorder="1"/>
    <xf numFmtId="0" fontId="6" fillId="2" borderId="1" xfId="0" applyFont="1" applyFill="1" applyBorder="1"/>
    <xf numFmtId="164" fontId="0" fillId="2" borderId="1" xfId="0" applyNumberFormat="1" applyFill="1" applyBorder="1"/>
    <xf numFmtId="164" fontId="0" fillId="2" borderId="1" xfId="1" applyFont="1" applyFill="1" applyBorder="1"/>
    <xf numFmtId="0" fontId="0" fillId="2" borderId="1" xfId="0" applyFill="1" applyBorder="1"/>
    <xf numFmtId="166" fontId="0" fillId="0" borderId="1" xfId="0" applyNumberFormat="1" applyBorder="1"/>
    <xf numFmtId="168" fontId="0" fillId="0" borderId="1" xfId="3" applyNumberFormat="1" applyFont="1" applyBorder="1" applyAlignment="1">
      <alignment horizontal="right"/>
    </xf>
    <xf numFmtId="164" fontId="4" fillId="3" borderId="1" xfId="1" applyFont="1" applyFill="1" applyBorder="1"/>
    <xf numFmtId="0" fontId="7" fillId="4" borderId="1" xfId="0" applyFont="1" applyFill="1" applyBorder="1" applyAlignment="1">
      <alignment horizontal="center" vertical="center"/>
    </xf>
    <xf numFmtId="0" fontId="0" fillId="2" borderId="1" xfId="0" applyFont="1" applyFill="1" applyBorder="1"/>
    <xf numFmtId="166" fontId="0" fillId="2" borderId="1" xfId="2" applyNumberFormat="1" applyFont="1" applyFill="1" applyBorder="1"/>
    <xf numFmtId="166" fontId="0" fillId="5" borderId="1" xfId="2" applyNumberFormat="1" applyFont="1" applyFill="1" applyBorder="1"/>
    <xf numFmtId="0" fontId="0" fillId="0" borderId="1" xfId="0" applyBorder="1" applyAlignment="1">
      <alignment vertical="center"/>
    </xf>
    <xf numFmtId="169" fontId="0" fillId="2" borderId="0" xfId="0" applyNumberFormat="1" applyFill="1"/>
    <xf numFmtId="164" fontId="0" fillId="5" borderId="1" xfId="1" applyFont="1" applyFill="1" applyBorder="1"/>
    <xf numFmtId="164" fontId="0" fillId="6" borderId="1" xfId="1" applyFont="1" applyFill="1" applyBorder="1"/>
    <xf numFmtId="168" fontId="0" fillId="2" borderId="1" xfId="3" applyNumberFormat="1" applyFont="1" applyFill="1" applyBorder="1"/>
    <xf numFmtId="0" fontId="5" fillId="2" borderId="1" xfId="0" applyFont="1" applyFill="1" applyBorder="1" applyAlignment="1">
      <alignment vertical="center"/>
    </xf>
    <xf numFmtId="0" fontId="3" fillId="5" borderId="1" xfId="0" applyFont="1" applyFill="1" applyBorder="1"/>
    <xf numFmtId="164" fontId="0" fillId="7" borderId="1" xfId="1" applyFont="1" applyFill="1" applyBorder="1"/>
    <xf numFmtId="0" fontId="0" fillId="7" borderId="1" xfId="0" applyFill="1" applyBorder="1"/>
    <xf numFmtId="164" fontId="0" fillId="8" borderId="1" xfId="1" applyFont="1" applyFill="1" applyBorder="1"/>
    <xf numFmtId="166" fontId="0" fillId="8" borderId="1" xfId="2" applyNumberFormat="1" applyFont="1" applyFill="1" applyBorder="1"/>
    <xf numFmtId="0" fontId="0" fillId="8" borderId="1" xfId="0" applyFont="1" applyFill="1" applyBorder="1"/>
    <xf numFmtId="0" fontId="0" fillId="8" borderId="1" xfId="0" applyFill="1" applyBorder="1"/>
    <xf numFmtId="168" fontId="0" fillId="8" borderId="1" xfId="3" applyNumberFormat="1" applyFont="1" applyFill="1" applyBorder="1"/>
    <xf numFmtId="0" fontId="5" fillId="8" borderId="1" xfId="0" applyFont="1" applyFill="1" applyBorder="1" applyAlignment="1">
      <alignment vertical="center"/>
    </xf>
    <xf numFmtId="0" fontId="0" fillId="0" borderId="1" xfId="0" applyFill="1" applyBorder="1"/>
    <xf numFmtId="166" fontId="4" fillId="0" borderId="1" xfId="2" applyNumberFormat="1" applyFont="1" applyBorder="1"/>
    <xf numFmtId="168" fontId="4" fillId="0" borderId="1" xfId="3" applyNumberFormat="1" applyFont="1" applyBorder="1"/>
    <xf numFmtId="0" fontId="4" fillId="0" borderId="1" xfId="0" applyFont="1" applyBorder="1" applyAlignment="1">
      <alignment wrapText="1"/>
    </xf>
    <xf numFmtId="169" fontId="0" fillId="0" borderId="0" xfId="0" applyNumberFormat="1"/>
    <xf numFmtId="0" fontId="8" fillId="0" borderId="1" xfId="0" applyFont="1" applyBorder="1" applyAlignment="1">
      <alignment horizontal="center" wrapText="1"/>
    </xf>
    <xf numFmtId="0" fontId="0" fillId="8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8" fillId="0" borderId="0" xfId="0" applyFont="1" applyBorder="1" applyAlignment="1">
      <alignment horizontal="center" wrapText="1"/>
    </xf>
    <xf numFmtId="0" fontId="0" fillId="0" borderId="0" xfId="0" applyBorder="1"/>
    <xf numFmtId="166" fontId="0" fillId="0" borderId="0" xfId="0" applyNumberFormat="1" applyBorder="1"/>
    <xf numFmtId="166" fontId="2" fillId="0" borderId="0" xfId="2" applyNumberFormat="1" applyFont="1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4" applyFont="1" applyBorder="1"/>
    <xf numFmtId="44" fontId="0" fillId="2" borderId="1" xfId="4" applyFont="1" applyFill="1" applyBorder="1"/>
    <xf numFmtId="44" fontId="0" fillId="0" borderId="1" xfId="4" applyFont="1" applyFill="1" applyBorder="1"/>
    <xf numFmtId="0" fontId="0" fillId="2" borderId="5" xfId="0" applyFill="1" applyBorder="1"/>
  </cellXfs>
  <cellStyles count="5">
    <cellStyle name="Millares 2" xfId="3" xr:uid="{00000000-0005-0000-0000-000000000000}"/>
    <cellStyle name="Moneda" xfId="4" builtinId="4"/>
    <cellStyle name="Moneda [0]" xfId="1" builtinId="7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topLeftCell="A24" zoomScale="70" zoomScaleNormal="120" workbookViewId="0">
      <selection activeCell="H48" sqref="H48"/>
    </sheetView>
  </sheetViews>
  <sheetFormatPr baseColWidth="10" defaultRowHeight="15" x14ac:dyDescent="0.25"/>
  <cols>
    <col min="1" max="1" width="4.140625" bestFit="1" customWidth="1"/>
    <col min="2" max="2" width="39.7109375" customWidth="1"/>
    <col min="3" max="3" width="20" style="2" bestFit="1" customWidth="1"/>
    <col min="4" max="4" width="16.140625" style="1" bestFit="1" customWidth="1"/>
    <col min="5" max="5" width="22" style="1" bestFit="1" customWidth="1"/>
    <col min="6" max="6" width="15.7109375" style="1" bestFit="1" customWidth="1"/>
    <col min="7" max="7" width="21.5703125" bestFit="1" customWidth="1"/>
    <col min="8" max="8" width="21.5703125" customWidth="1"/>
    <col min="10" max="10" width="33.7109375" bestFit="1" customWidth="1"/>
    <col min="11" max="11" width="15.28515625" bestFit="1" customWidth="1"/>
    <col min="12" max="12" width="37" bestFit="1" customWidth="1"/>
    <col min="13" max="13" width="20.28515625" customWidth="1"/>
    <col min="14" max="14" width="18.85546875" customWidth="1"/>
  </cols>
  <sheetData>
    <row r="1" spans="1:13" ht="23.25" x14ac:dyDescent="0.35">
      <c r="A1" s="46" t="s">
        <v>94</v>
      </c>
      <c r="B1" s="46"/>
      <c r="C1" s="46"/>
      <c r="D1" s="46"/>
      <c r="E1" s="46"/>
      <c r="F1" s="46"/>
      <c r="G1" s="46"/>
      <c r="H1" s="49"/>
      <c r="I1" s="45">
        <v>830000</v>
      </c>
    </row>
    <row r="2" spans="1:13" ht="15" customHeight="1" x14ac:dyDescent="0.3">
      <c r="A2" s="5" t="s">
        <v>93</v>
      </c>
      <c r="B2" s="44" t="s">
        <v>92</v>
      </c>
      <c r="C2" s="43" t="s">
        <v>91</v>
      </c>
      <c r="D2" s="42" t="s">
        <v>90</v>
      </c>
      <c r="E2" s="5" t="s">
        <v>89</v>
      </c>
      <c r="F2" s="42" t="s">
        <v>88</v>
      </c>
      <c r="G2" s="54" t="s">
        <v>96</v>
      </c>
      <c r="H2" s="53"/>
    </row>
    <row r="3" spans="1:13" ht="15" customHeight="1" x14ac:dyDescent="0.25">
      <c r="A3" s="9">
        <v>1</v>
      </c>
      <c r="B3" s="12" t="s">
        <v>87</v>
      </c>
      <c r="C3" s="10">
        <v>20312992</v>
      </c>
      <c r="D3" s="8"/>
      <c r="E3" s="9" t="s">
        <v>17</v>
      </c>
      <c r="F3" s="8">
        <v>830000</v>
      </c>
      <c r="G3" s="19">
        <f t="shared" ref="G3:G10" si="0">+F3-50000</f>
        <v>780000</v>
      </c>
      <c r="H3" s="51"/>
    </row>
    <row r="4" spans="1:13" ht="15" customHeight="1" x14ac:dyDescent="0.25">
      <c r="A4" s="9">
        <v>2</v>
      </c>
      <c r="B4" s="12" t="s">
        <v>86</v>
      </c>
      <c r="C4" s="10">
        <v>20869989</v>
      </c>
      <c r="D4" s="8"/>
      <c r="E4" s="9" t="s">
        <v>17</v>
      </c>
      <c r="F4" s="8">
        <v>830000</v>
      </c>
      <c r="G4" s="19">
        <f t="shared" si="0"/>
        <v>780000</v>
      </c>
      <c r="H4" s="51"/>
      <c r="J4" s="3"/>
      <c r="K4" s="4"/>
      <c r="L4" s="3"/>
      <c r="M4" s="3"/>
    </row>
    <row r="5" spans="1:13" ht="15" customHeight="1" x14ac:dyDescent="0.25">
      <c r="A5" s="9">
        <v>3</v>
      </c>
      <c r="B5" s="12" t="s">
        <v>85</v>
      </c>
      <c r="C5" s="10">
        <v>52090679</v>
      </c>
      <c r="D5" s="8"/>
      <c r="E5" s="9" t="s">
        <v>17</v>
      </c>
      <c r="F5" s="8">
        <v>830000</v>
      </c>
      <c r="G5" s="19">
        <f t="shared" si="0"/>
        <v>780000</v>
      </c>
      <c r="H5" s="51"/>
      <c r="J5" s="47" t="s">
        <v>95</v>
      </c>
      <c r="K5" s="48"/>
      <c r="L5" s="3"/>
      <c r="M5" s="3"/>
    </row>
    <row r="6" spans="1:13" ht="15" customHeight="1" x14ac:dyDescent="0.25">
      <c r="A6" s="9">
        <v>4</v>
      </c>
      <c r="B6" s="12" t="s">
        <v>84</v>
      </c>
      <c r="C6" s="10">
        <v>20870830</v>
      </c>
      <c r="D6" s="8"/>
      <c r="E6" s="9" t="s">
        <v>17</v>
      </c>
      <c r="F6" s="8">
        <v>830000</v>
      </c>
      <c r="G6" s="19">
        <f t="shared" si="0"/>
        <v>780000</v>
      </c>
      <c r="H6" s="51"/>
      <c r="J6" s="18" t="s">
        <v>83</v>
      </c>
      <c r="K6" s="56">
        <v>8000000</v>
      </c>
      <c r="L6" s="3"/>
      <c r="M6" s="3"/>
    </row>
    <row r="7" spans="1:13" ht="15" customHeight="1" x14ac:dyDescent="0.25">
      <c r="A7" s="9">
        <v>5</v>
      </c>
      <c r="B7" s="12" t="s">
        <v>82</v>
      </c>
      <c r="C7" s="10">
        <v>51651341</v>
      </c>
      <c r="D7" s="8"/>
      <c r="E7" s="9" t="s">
        <v>17</v>
      </c>
      <c r="F7" s="8">
        <v>830000</v>
      </c>
      <c r="G7" s="19">
        <f t="shared" si="0"/>
        <v>780000</v>
      </c>
      <c r="H7" s="51"/>
      <c r="J7" s="18" t="s">
        <v>103</v>
      </c>
      <c r="K7" s="56">
        <v>2920000</v>
      </c>
      <c r="L7" s="3"/>
      <c r="M7" s="3"/>
    </row>
    <row r="8" spans="1:13" ht="15" customHeight="1" x14ac:dyDescent="0.25">
      <c r="A8" s="9">
        <v>6</v>
      </c>
      <c r="B8" s="12" t="s">
        <v>81</v>
      </c>
      <c r="C8" s="10">
        <v>20871197</v>
      </c>
      <c r="D8" s="8"/>
      <c r="E8" s="9" t="s">
        <v>17</v>
      </c>
      <c r="F8" s="8">
        <v>830000</v>
      </c>
      <c r="G8" s="19">
        <f t="shared" si="0"/>
        <v>780000</v>
      </c>
      <c r="H8" s="51"/>
      <c r="J8" s="6" t="s">
        <v>101</v>
      </c>
      <c r="K8" s="55">
        <v>7338000</v>
      </c>
      <c r="L8" s="3"/>
      <c r="M8" s="3"/>
    </row>
    <row r="9" spans="1:13" ht="15" customHeight="1" x14ac:dyDescent="0.25">
      <c r="A9" s="9">
        <v>7</v>
      </c>
      <c r="B9" s="12" t="s">
        <v>79</v>
      </c>
      <c r="C9" s="10">
        <v>20872197</v>
      </c>
      <c r="D9" s="8"/>
      <c r="E9" s="9" t="s">
        <v>14</v>
      </c>
      <c r="F9" s="8">
        <v>830000</v>
      </c>
      <c r="G9" s="19">
        <f t="shared" si="0"/>
        <v>780000</v>
      </c>
      <c r="H9" s="51"/>
      <c r="J9" s="18" t="s">
        <v>100</v>
      </c>
      <c r="K9" s="55">
        <v>1440000</v>
      </c>
      <c r="L9" s="3"/>
      <c r="M9" s="3"/>
    </row>
    <row r="10" spans="1:13" ht="15" customHeight="1" x14ac:dyDescent="0.25">
      <c r="A10" s="9">
        <v>8</v>
      </c>
      <c r="B10" s="12" t="s">
        <v>77</v>
      </c>
      <c r="C10" s="10" t="s">
        <v>76</v>
      </c>
      <c r="D10" s="8"/>
      <c r="E10" s="9" t="s">
        <v>14</v>
      </c>
      <c r="F10" s="8">
        <v>830000</v>
      </c>
      <c r="G10" s="19">
        <f t="shared" si="0"/>
        <v>780000</v>
      </c>
      <c r="H10" s="51"/>
      <c r="J10" s="18" t="s">
        <v>99</v>
      </c>
      <c r="K10" s="55">
        <v>75000</v>
      </c>
      <c r="L10" s="3"/>
    </row>
    <row r="11" spans="1:13" ht="15" customHeight="1" x14ac:dyDescent="0.25">
      <c r="A11" s="37">
        <v>9</v>
      </c>
      <c r="B11" s="40" t="s">
        <v>74</v>
      </c>
      <c r="C11" s="39" t="s">
        <v>73</v>
      </c>
      <c r="D11" s="38" t="s">
        <v>72</v>
      </c>
      <c r="E11" s="37"/>
      <c r="F11" s="36">
        <v>350000</v>
      </c>
      <c r="G11" s="6"/>
      <c r="H11" s="50"/>
      <c r="J11" s="58" t="s">
        <v>102</v>
      </c>
      <c r="K11" s="55">
        <v>1000000</v>
      </c>
    </row>
    <row r="12" spans="1:13" ht="15" customHeight="1" x14ac:dyDescent="0.25">
      <c r="A12" s="37">
        <v>10</v>
      </c>
      <c r="B12" s="40" t="s">
        <v>71</v>
      </c>
      <c r="C12" s="39" t="s">
        <v>70</v>
      </c>
      <c r="D12" s="38" t="s">
        <v>69</v>
      </c>
      <c r="E12" s="37"/>
      <c r="F12" s="36">
        <v>50000</v>
      </c>
      <c r="G12" s="6"/>
      <c r="H12" s="50"/>
      <c r="J12" s="18" t="s">
        <v>80</v>
      </c>
      <c r="K12" s="56">
        <v>238000</v>
      </c>
      <c r="L12" s="3"/>
    </row>
    <row r="13" spans="1:13" ht="15" customHeight="1" x14ac:dyDescent="0.25">
      <c r="A13" s="9">
        <v>11</v>
      </c>
      <c r="B13" s="12" t="s">
        <v>68</v>
      </c>
      <c r="C13" s="10" t="s">
        <v>67</v>
      </c>
      <c r="D13" s="8"/>
      <c r="E13" s="9" t="s">
        <v>14</v>
      </c>
      <c r="F13" s="8">
        <v>830000</v>
      </c>
      <c r="G13" s="19">
        <f t="shared" ref="G13:G39" si="1">+F13-50000</f>
        <v>780000</v>
      </c>
      <c r="H13" s="51"/>
      <c r="J13" s="41" t="s">
        <v>78</v>
      </c>
      <c r="K13" s="57">
        <v>300000</v>
      </c>
      <c r="L13" s="3"/>
    </row>
    <row r="14" spans="1:13" ht="15" customHeight="1" x14ac:dyDescent="0.25">
      <c r="A14" s="9">
        <v>12</v>
      </c>
      <c r="B14" s="12" t="s">
        <v>66</v>
      </c>
      <c r="C14" s="10">
        <v>11451254</v>
      </c>
      <c r="D14" s="8"/>
      <c r="E14" s="9" t="s">
        <v>14</v>
      </c>
      <c r="F14" s="8">
        <v>830000</v>
      </c>
      <c r="G14" s="19">
        <f t="shared" si="1"/>
        <v>780000</v>
      </c>
      <c r="H14" s="51"/>
      <c r="J14" s="18" t="s">
        <v>75</v>
      </c>
      <c r="K14" s="56">
        <v>100000</v>
      </c>
      <c r="L14" s="3"/>
      <c r="M14" s="3"/>
    </row>
    <row r="15" spans="1:13" ht="15" customHeight="1" x14ac:dyDescent="0.25">
      <c r="A15" s="9">
        <v>13</v>
      </c>
      <c r="B15" s="12" t="s">
        <v>64</v>
      </c>
      <c r="C15" s="10">
        <v>39562358</v>
      </c>
      <c r="D15" s="8"/>
      <c r="E15" s="9" t="s">
        <v>61</v>
      </c>
      <c r="F15" s="8">
        <v>830000</v>
      </c>
      <c r="G15" s="19">
        <f t="shared" si="1"/>
        <v>780000</v>
      </c>
      <c r="H15" s="51"/>
      <c r="J15" s="18" t="s">
        <v>31</v>
      </c>
      <c r="K15" s="17">
        <f>50000*4</f>
        <v>200000</v>
      </c>
      <c r="L15" s="3"/>
      <c r="M15" s="3"/>
    </row>
    <row r="16" spans="1:13" ht="15" customHeight="1" x14ac:dyDescent="0.25">
      <c r="A16" s="9">
        <v>14</v>
      </c>
      <c r="B16" s="12" t="s">
        <v>62</v>
      </c>
      <c r="C16" s="10">
        <v>79144190</v>
      </c>
      <c r="D16" s="8"/>
      <c r="E16" s="9" t="s">
        <v>61</v>
      </c>
      <c r="F16" s="8">
        <v>830000</v>
      </c>
      <c r="G16" s="19">
        <f t="shared" si="1"/>
        <v>780000</v>
      </c>
      <c r="H16" s="51"/>
      <c r="J16" s="18" t="s">
        <v>29</v>
      </c>
      <c r="K16" s="17">
        <v>70000</v>
      </c>
      <c r="L16" s="3"/>
      <c r="M16" s="3"/>
    </row>
    <row r="17" spans="1:15" ht="15" customHeight="1" x14ac:dyDescent="0.25">
      <c r="A17" s="9">
        <v>15</v>
      </c>
      <c r="B17" s="12" t="s">
        <v>59</v>
      </c>
      <c r="C17" s="10">
        <v>19217465</v>
      </c>
      <c r="D17" s="8"/>
      <c r="E17" s="9" t="s">
        <v>14</v>
      </c>
      <c r="F17" s="8">
        <v>830000</v>
      </c>
      <c r="G17" s="19">
        <f t="shared" si="1"/>
        <v>780000</v>
      </c>
      <c r="H17" s="51"/>
      <c r="J17" s="18" t="s">
        <v>27</v>
      </c>
      <c r="K17" s="17">
        <v>80000</v>
      </c>
      <c r="L17" s="3"/>
      <c r="M17" s="3"/>
    </row>
    <row r="18" spans="1:15" ht="15" customHeight="1" x14ac:dyDescent="0.25">
      <c r="A18" s="9">
        <v>16</v>
      </c>
      <c r="B18" s="12" t="s">
        <v>57</v>
      </c>
      <c r="C18" s="10">
        <v>1073629857</v>
      </c>
      <c r="D18" s="8"/>
      <c r="E18" s="9" t="s">
        <v>14</v>
      </c>
      <c r="F18" s="8">
        <v>830000</v>
      </c>
      <c r="G18" s="19">
        <f t="shared" si="1"/>
        <v>780000</v>
      </c>
      <c r="H18" s="51"/>
      <c r="J18" s="18" t="s">
        <v>65</v>
      </c>
      <c r="K18" s="17">
        <v>600000</v>
      </c>
      <c r="L18" s="3"/>
      <c r="M18" s="3"/>
    </row>
    <row r="19" spans="1:15" ht="15" customHeight="1" x14ac:dyDescent="0.25">
      <c r="A19" s="9">
        <v>17</v>
      </c>
      <c r="B19" s="31" t="s">
        <v>55</v>
      </c>
      <c r="C19" s="30">
        <v>52876946</v>
      </c>
      <c r="D19" s="8"/>
      <c r="E19" s="9" t="s">
        <v>14</v>
      </c>
      <c r="F19" s="8">
        <v>830000</v>
      </c>
      <c r="G19" s="19">
        <f t="shared" si="1"/>
        <v>780000</v>
      </c>
      <c r="H19" s="51"/>
      <c r="J19" s="18" t="s">
        <v>63</v>
      </c>
      <c r="K19" s="17">
        <v>240000</v>
      </c>
      <c r="L19" s="3"/>
      <c r="M19" s="3"/>
    </row>
    <row r="20" spans="1:15" ht="15" customHeight="1" x14ac:dyDescent="0.25">
      <c r="A20" s="9">
        <v>18</v>
      </c>
      <c r="B20" s="31" t="s">
        <v>53</v>
      </c>
      <c r="C20" s="30" t="s">
        <v>52</v>
      </c>
      <c r="D20" s="8"/>
      <c r="E20" s="9" t="s">
        <v>14</v>
      </c>
      <c r="F20" s="8">
        <v>830000</v>
      </c>
      <c r="G20" s="19">
        <f t="shared" si="1"/>
        <v>780000</v>
      </c>
      <c r="H20" s="51"/>
      <c r="J20" s="18" t="s">
        <v>60</v>
      </c>
      <c r="K20" s="17">
        <v>3680000</v>
      </c>
      <c r="L20" s="3"/>
      <c r="M20" s="3"/>
    </row>
    <row r="21" spans="1:15" ht="15" customHeight="1" x14ac:dyDescent="0.25">
      <c r="A21" s="9">
        <v>19</v>
      </c>
      <c r="B21" s="31" t="s">
        <v>51</v>
      </c>
      <c r="C21" s="30" t="s">
        <v>50</v>
      </c>
      <c r="D21" s="8"/>
      <c r="E21" s="9" t="s">
        <v>14</v>
      </c>
      <c r="F21" s="8">
        <v>830000</v>
      </c>
      <c r="G21" s="19">
        <f t="shared" si="1"/>
        <v>780000</v>
      </c>
      <c r="H21" s="51"/>
      <c r="J21" s="18" t="s">
        <v>58</v>
      </c>
      <c r="K21" s="35">
        <f>SUM(K6:K20)</f>
        <v>26281000</v>
      </c>
      <c r="L21" s="3"/>
      <c r="M21" s="3"/>
    </row>
    <row r="22" spans="1:15" ht="15" customHeight="1" x14ac:dyDescent="0.25">
      <c r="A22" s="9">
        <v>20</v>
      </c>
      <c r="B22" s="31" t="s">
        <v>48</v>
      </c>
      <c r="C22" s="30" t="s">
        <v>47</v>
      </c>
      <c r="D22" s="8"/>
      <c r="E22" s="9" t="s">
        <v>14</v>
      </c>
      <c r="F22" s="8">
        <v>830000</v>
      </c>
      <c r="G22" s="19">
        <f t="shared" si="1"/>
        <v>780000</v>
      </c>
      <c r="H22" s="51"/>
      <c r="J22" s="34" t="s">
        <v>56</v>
      </c>
      <c r="K22" s="33">
        <f>+G46</f>
        <v>28080000</v>
      </c>
      <c r="L22" s="3"/>
      <c r="M22" s="3"/>
    </row>
    <row r="23" spans="1:15" ht="15" customHeight="1" x14ac:dyDescent="0.25">
      <c r="A23" s="9">
        <v>21</v>
      </c>
      <c r="B23" s="12" t="s">
        <v>45</v>
      </c>
      <c r="C23" s="10">
        <v>11450535</v>
      </c>
      <c r="D23" s="8"/>
      <c r="E23" s="9" t="s">
        <v>14</v>
      </c>
      <c r="F23" s="8">
        <v>830000</v>
      </c>
      <c r="G23" s="19">
        <f t="shared" si="1"/>
        <v>780000</v>
      </c>
      <c r="H23" s="51"/>
      <c r="J23" s="32" t="s">
        <v>54</v>
      </c>
      <c r="K23" s="28">
        <f>K22-K21</f>
        <v>1799000</v>
      </c>
      <c r="L23" s="3"/>
      <c r="M23" s="3"/>
    </row>
    <row r="24" spans="1:15" ht="15" customHeight="1" x14ac:dyDescent="0.25">
      <c r="A24" s="9">
        <v>22</v>
      </c>
      <c r="B24" s="12" t="s">
        <v>44</v>
      </c>
      <c r="C24" s="10" t="s">
        <v>43</v>
      </c>
      <c r="D24" s="8"/>
      <c r="E24" s="9" t="s">
        <v>14</v>
      </c>
      <c r="F24" s="8">
        <v>830000</v>
      </c>
      <c r="G24" s="19">
        <f t="shared" si="1"/>
        <v>780000</v>
      </c>
      <c r="H24" s="51"/>
      <c r="L24" s="3"/>
      <c r="M24" s="3"/>
    </row>
    <row r="25" spans="1:15" ht="15" customHeight="1" x14ac:dyDescent="0.25">
      <c r="A25" s="9">
        <v>23</v>
      </c>
      <c r="B25" s="12" t="s">
        <v>41</v>
      </c>
      <c r="C25" s="10">
        <v>11450718</v>
      </c>
      <c r="D25" s="8"/>
      <c r="E25" s="9" t="s">
        <v>14</v>
      </c>
      <c r="F25" s="8">
        <v>830000</v>
      </c>
      <c r="G25" s="19">
        <f t="shared" si="1"/>
        <v>780000</v>
      </c>
      <c r="H25" s="51"/>
      <c r="J25" s="18" t="s">
        <v>49</v>
      </c>
      <c r="K25" s="17">
        <v>120000</v>
      </c>
      <c r="L25" s="3"/>
      <c r="M25" s="3"/>
    </row>
    <row r="26" spans="1:15" ht="15" customHeight="1" x14ac:dyDescent="0.25">
      <c r="A26" s="9">
        <v>24</v>
      </c>
      <c r="B26" s="12" t="s">
        <v>39</v>
      </c>
      <c r="C26" s="10">
        <v>1070584824</v>
      </c>
      <c r="D26" s="8"/>
      <c r="E26" s="9" t="s">
        <v>14</v>
      </c>
      <c r="F26" s="8">
        <v>830000</v>
      </c>
      <c r="G26" s="19">
        <f t="shared" si="1"/>
        <v>780000</v>
      </c>
      <c r="H26" s="51"/>
      <c r="J26" s="18" t="s">
        <v>46</v>
      </c>
      <c r="K26" s="17">
        <v>150000</v>
      </c>
      <c r="L26" s="3"/>
      <c r="M26" s="3"/>
    </row>
    <row r="27" spans="1:15" ht="15" customHeight="1" x14ac:dyDescent="0.25">
      <c r="A27" s="9">
        <v>25</v>
      </c>
      <c r="B27" s="26" t="s">
        <v>38</v>
      </c>
      <c r="C27" s="10">
        <v>1018419110</v>
      </c>
      <c r="D27" s="8"/>
      <c r="E27" s="9" t="s">
        <v>19</v>
      </c>
      <c r="F27" s="8">
        <v>830000</v>
      </c>
      <c r="G27" s="19">
        <f t="shared" si="1"/>
        <v>780000</v>
      </c>
      <c r="H27" s="51"/>
      <c r="I27" s="27"/>
      <c r="J27" s="18"/>
      <c r="K27" s="29">
        <f>+K25+K26</f>
        <v>270000</v>
      </c>
      <c r="L27" s="3"/>
      <c r="M27" s="3"/>
    </row>
    <row r="28" spans="1:15" ht="15" customHeight="1" x14ac:dyDescent="0.25">
      <c r="A28" s="9">
        <v>26</v>
      </c>
      <c r="B28" s="26" t="s">
        <v>37</v>
      </c>
      <c r="C28" s="10" t="s">
        <v>36</v>
      </c>
      <c r="D28" s="8"/>
      <c r="E28" s="9" t="s">
        <v>19</v>
      </c>
      <c r="F28" s="8">
        <v>830000</v>
      </c>
      <c r="G28" s="19">
        <f t="shared" si="1"/>
        <v>780000</v>
      </c>
      <c r="H28" s="51"/>
      <c r="I28" s="27"/>
      <c r="J28" s="18" t="s">
        <v>42</v>
      </c>
      <c r="K28" s="17">
        <v>170000</v>
      </c>
      <c r="L28" s="3"/>
      <c r="M28" s="3"/>
    </row>
    <row r="29" spans="1:15" ht="15" customHeight="1" x14ac:dyDescent="0.25">
      <c r="A29" s="9">
        <v>27</v>
      </c>
      <c r="B29" s="12" t="s">
        <v>35</v>
      </c>
      <c r="C29" s="10">
        <v>1075626956</v>
      </c>
      <c r="D29" s="25">
        <f>1000000-830000</f>
        <v>170000</v>
      </c>
      <c r="E29" s="9" t="s">
        <v>19</v>
      </c>
      <c r="F29" s="8">
        <v>830000</v>
      </c>
      <c r="G29" s="19">
        <f t="shared" si="1"/>
        <v>780000</v>
      </c>
      <c r="H29" s="51"/>
      <c r="I29" s="3"/>
      <c r="J29" s="18" t="s">
        <v>40</v>
      </c>
      <c r="K29" s="28">
        <f>+K27-K28</f>
        <v>100000</v>
      </c>
      <c r="L29" s="3"/>
      <c r="M29" s="3"/>
    </row>
    <row r="30" spans="1:15" s="3" customFormat="1" ht="15" customHeight="1" x14ac:dyDescent="0.25">
      <c r="A30" s="9">
        <v>28</v>
      </c>
      <c r="B30" s="12" t="s">
        <v>32</v>
      </c>
      <c r="C30" s="10">
        <v>21016967</v>
      </c>
      <c r="D30" s="24"/>
      <c r="E30" s="23" t="s">
        <v>19</v>
      </c>
      <c r="F30" s="8">
        <v>830000</v>
      </c>
      <c r="G30" s="19">
        <f t="shared" si="1"/>
        <v>780000</v>
      </c>
      <c r="H30" s="51"/>
      <c r="J30"/>
      <c r="K30"/>
      <c r="L30"/>
      <c r="N30"/>
      <c r="O30"/>
    </row>
    <row r="31" spans="1:15" s="3" customFormat="1" ht="15" customHeight="1" x14ac:dyDescent="0.25">
      <c r="A31" s="9">
        <v>29</v>
      </c>
      <c r="B31" s="12" t="s">
        <v>30</v>
      </c>
      <c r="C31" s="10">
        <v>21015197</v>
      </c>
      <c r="D31" s="24"/>
      <c r="E31" s="23" t="s">
        <v>19</v>
      </c>
      <c r="F31" s="8">
        <v>830000</v>
      </c>
      <c r="G31" s="19">
        <f t="shared" si="1"/>
        <v>780000</v>
      </c>
      <c r="H31" s="51"/>
      <c r="I31"/>
      <c r="J31" s="18" t="s">
        <v>34</v>
      </c>
      <c r="K31" s="17">
        <v>500000</v>
      </c>
      <c r="L31" t="s">
        <v>33</v>
      </c>
      <c r="N31"/>
      <c r="O31"/>
    </row>
    <row r="32" spans="1:15" s="3" customFormat="1" ht="15" customHeight="1" x14ac:dyDescent="0.25">
      <c r="A32" s="9">
        <v>30</v>
      </c>
      <c r="B32" s="6" t="s">
        <v>28</v>
      </c>
      <c r="C32" s="10">
        <v>11317430</v>
      </c>
      <c r="D32" s="24"/>
      <c r="E32" s="23" t="s">
        <v>14</v>
      </c>
      <c r="F32" s="8">
        <v>830000</v>
      </c>
      <c r="G32" s="19">
        <f t="shared" si="1"/>
        <v>780000</v>
      </c>
      <c r="H32" s="51"/>
      <c r="I32"/>
      <c r="J32" s="18" t="s">
        <v>31</v>
      </c>
      <c r="K32" s="17">
        <f>50000*4</f>
        <v>200000</v>
      </c>
      <c r="N32"/>
      <c r="O32"/>
    </row>
    <row r="33" spans="1:15" s="3" customFormat="1" ht="15" customHeight="1" x14ac:dyDescent="0.25">
      <c r="A33" s="9">
        <v>31</v>
      </c>
      <c r="B33" s="6" t="s">
        <v>26</v>
      </c>
      <c r="C33" s="10" t="s">
        <v>25</v>
      </c>
      <c r="D33" s="24"/>
      <c r="E33" s="23" t="s">
        <v>14</v>
      </c>
      <c r="F33" s="8">
        <v>830000</v>
      </c>
      <c r="G33" s="19">
        <f t="shared" si="1"/>
        <v>780000</v>
      </c>
      <c r="H33" s="51"/>
      <c r="I33"/>
      <c r="J33" s="18" t="s">
        <v>29</v>
      </c>
      <c r="K33" s="17">
        <v>70000</v>
      </c>
      <c r="N33"/>
    </row>
    <row r="34" spans="1:15" ht="15" customHeight="1" x14ac:dyDescent="0.25">
      <c r="A34" s="9">
        <v>32</v>
      </c>
      <c r="B34" s="6" t="s">
        <v>24</v>
      </c>
      <c r="C34" s="10">
        <v>11451112</v>
      </c>
      <c r="D34" s="8"/>
      <c r="E34" s="9" t="s">
        <v>14</v>
      </c>
      <c r="F34" s="8">
        <v>830000</v>
      </c>
      <c r="G34" s="19">
        <f t="shared" si="1"/>
        <v>780000</v>
      </c>
      <c r="H34" s="51"/>
      <c r="J34" s="18" t="s">
        <v>27</v>
      </c>
      <c r="K34" s="17">
        <v>80000</v>
      </c>
      <c r="L34" s="3"/>
      <c r="M34" s="3"/>
      <c r="O34" s="3"/>
    </row>
    <row r="35" spans="1:15" ht="15" customHeight="1" x14ac:dyDescent="0.25">
      <c r="A35" s="9">
        <v>33</v>
      </c>
      <c r="B35" s="6" t="s">
        <v>23</v>
      </c>
      <c r="C35" s="10">
        <v>20872094</v>
      </c>
      <c r="D35" s="8"/>
      <c r="E35" s="9" t="s">
        <v>14</v>
      </c>
      <c r="F35" s="8">
        <v>830000</v>
      </c>
      <c r="G35" s="19">
        <f t="shared" si="1"/>
        <v>780000</v>
      </c>
      <c r="H35" s="51"/>
      <c r="J35" s="18"/>
      <c r="K35" s="17">
        <f>+K31-K32-K33-K34</f>
        <v>150000</v>
      </c>
      <c r="L35" s="3"/>
      <c r="M35" s="3"/>
      <c r="O35" s="3"/>
    </row>
    <row r="36" spans="1:15" ht="15" customHeight="1" x14ac:dyDescent="0.25">
      <c r="A36" s="9">
        <v>34</v>
      </c>
      <c r="B36" s="6" t="s">
        <v>22</v>
      </c>
      <c r="C36" s="10">
        <v>1003706516</v>
      </c>
      <c r="D36" s="8"/>
      <c r="E36" s="9" t="s">
        <v>14</v>
      </c>
      <c r="F36" s="8">
        <v>830000</v>
      </c>
      <c r="G36" s="19">
        <f t="shared" si="1"/>
        <v>780000</v>
      </c>
      <c r="H36" s="51"/>
      <c r="M36" s="3"/>
      <c r="O36" s="3"/>
    </row>
    <row r="37" spans="1:15" ht="15" customHeight="1" x14ac:dyDescent="0.25">
      <c r="A37" s="9">
        <v>35</v>
      </c>
      <c r="B37" s="6" t="s">
        <v>21</v>
      </c>
      <c r="C37" s="6" t="s">
        <v>20</v>
      </c>
      <c r="D37" s="8"/>
      <c r="E37" s="9" t="s">
        <v>14</v>
      </c>
      <c r="F37" s="8">
        <v>830000</v>
      </c>
      <c r="G37" s="19">
        <f t="shared" si="1"/>
        <v>780000</v>
      </c>
      <c r="H37" s="51"/>
      <c r="M37" s="3"/>
    </row>
    <row r="38" spans="1:15" ht="15" customHeight="1" x14ac:dyDescent="0.25">
      <c r="A38" s="9">
        <v>36</v>
      </c>
      <c r="B38" s="6" t="s">
        <v>18</v>
      </c>
      <c r="C38" s="10">
        <v>65739648</v>
      </c>
      <c r="D38" s="8"/>
      <c r="E38" s="9" t="s">
        <v>17</v>
      </c>
      <c r="F38" s="8">
        <v>830000</v>
      </c>
      <c r="G38" s="19">
        <f t="shared" si="1"/>
        <v>780000</v>
      </c>
      <c r="H38" s="51"/>
      <c r="M38" s="3"/>
    </row>
    <row r="39" spans="1:15" ht="15" customHeight="1" x14ac:dyDescent="0.3">
      <c r="A39" s="9">
        <v>37</v>
      </c>
      <c r="B39" s="6" t="s">
        <v>16</v>
      </c>
      <c r="C39" s="20" t="s">
        <v>15</v>
      </c>
      <c r="D39" s="8"/>
      <c r="E39" s="9" t="s">
        <v>17</v>
      </c>
      <c r="F39" s="8">
        <v>830000</v>
      </c>
      <c r="G39" s="19">
        <f t="shared" si="1"/>
        <v>780000</v>
      </c>
      <c r="H39" s="51"/>
      <c r="J39" s="22" t="s">
        <v>1</v>
      </c>
      <c r="K39" s="22"/>
      <c r="L39" s="21">
        <v>50000</v>
      </c>
      <c r="M39" s="3"/>
    </row>
    <row r="40" spans="1:15" ht="15" customHeight="1" x14ac:dyDescent="0.25">
      <c r="A40" s="9">
        <v>38</v>
      </c>
      <c r="B40" s="12" t="s">
        <v>13</v>
      </c>
      <c r="C40" s="10">
        <v>1007953320</v>
      </c>
      <c r="D40" s="8"/>
      <c r="E40" s="9" t="s">
        <v>4</v>
      </c>
      <c r="F40" s="8">
        <v>0</v>
      </c>
      <c r="G40" s="6"/>
      <c r="H40" s="50"/>
      <c r="J40" s="18" t="s">
        <v>19</v>
      </c>
      <c r="K40" s="17">
        <v>5</v>
      </c>
      <c r="L40" s="16">
        <f>+K40*$L$39</f>
        <v>250000</v>
      </c>
      <c r="M40" s="3"/>
    </row>
    <row r="41" spans="1:15" ht="15" customHeight="1" x14ac:dyDescent="0.25">
      <c r="A41" s="9">
        <v>39</v>
      </c>
      <c r="B41" s="12" t="s">
        <v>11</v>
      </c>
      <c r="C41" s="10">
        <v>79538678</v>
      </c>
      <c r="D41" s="8"/>
      <c r="E41" s="9" t="s">
        <v>4</v>
      </c>
      <c r="F41" s="8">
        <v>0</v>
      </c>
      <c r="G41" s="6"/>
      <c r="H41" s="50"/>
      <c r="J41" s="18" t="s">
        <v>17</v>
      </c>
      <c r="K41" s="17">
        <v>8</v>
      </c>
      <c r="L41" s="16">
        <f>+K41*$L$39</f>
        <v>400000</v>
      </c>
      <c r="M41" s="3"/>
    </row>
    <row r="42" spans="1:15" ht="15" customHeight="1" x14ac:dyDescent="0.25">
      <c r="A42" s="9">
        <v>40</v>
      </c>
      <c r="B42" s="12" t="s">
        <v>9</v>
      </c>
      <c r="C42" s="10">
        <v>79656808</v>
      </c>
      <c r="D42" s="8"/>
      <c r="E42" s="9" t="s">
        <v>4</v>
      </c>
      <c r="F42" s="8">
        <v>0</v>
      </c>
      <c r="G42" s="6"/>
      <c r="H42" s="50"/>
      <c r="J42" s="18" t="s">
        <v>14</v>
      </c>
      <c r="K42" s="17">
        <v>20</v>
      </c>
      <c r="L42" s="16">
        <f>+K42*$L$39</f>
        <v>1000000</v>
      </c>
      <c r="M42" s="3"/>
    </row>
    <row r="43" spans="1:15" ht="15" customHeight="1" x14ac:dyDescent="0.25">
      <c r="A43" s="9">
        <v>41</v>
      </c>
      <c r="B43" s="12" t="s">
        <v>7</v>
      </c>
      <c r="C43" s="10">
        <v>1075628177</v>
      </c>
      <c r="D43" s="8"/>
      <c r="E43" s="9" t="s">
        <v>4</v>
      </c>
      <c r="F43" s="8">
        <v>0</v>
      </c>
      <c r="G43" s="6"/>
      <c r="H43" s="50"/>
      <c r="J43" s="18" t="s">
        <v>12</v>
      </c>
      <c r="K43" s="17">
        <v>0</v>
      </c>
      <c r="L43" s="16">
        <f>+K43*$L$39</f>
        <v>0</v>
      </c>
      <c r="M43" s="3"/>
    </row>
    <row r="44" spans="1:15" ht="15" customHeight="1" x14ac:dyDescent="0.25">
      <c r="A44" s="9">
        <v>42</v>
      </c>
      <c r="B44" s="12" t="s">
        <v>6</v>
      </c>
      <c r="C44" s="10" t="s">
        <v>5</v>
      </c>
      <c r="D44" s="8"/>
      <c r="E44" s="9" t="s">
        <v>4</v>
      </c>
      <c r="F44" s="8">
        <v>0</v>
      </c>
      <c r="G44" s="6"/>
      <c r="H44" s="50"/>
      <c r="J44" s="18" t="s">
        <v>10</v>
      </c>
      <c r="K44" s="17">
        <v>2</v>
      </c>
      <c r="L44" s="16">
        <f>+K44*$L$39</f>
        <v>100000</v>
      </c>
      <c r="M44" s="3"/>
    </row>
    <row r="45" spans="1:15" ht="15" customHeight="1" x14ac:dyDescent="0.25">
      <c r="A45" s="9">
        <v>43</v>
      </c>
      <c r="B45" s="12" t="s">
        <v>97</v>
      </c>
      <c r="C45" s="10" t="s">
        <v>98</v>
      </c>
      <c r="D45" s="8"/>
      <c r="E45" s="9" t="s">
        <v>14</v>
      </c>
      <c r="F45" s="8">
        <v>830000</v>
      </c>
      <c r="G45" s="19">
        <f>F45-50000</f>
        <v>780000</v>
      </c>
      <c r="H45" s="50"/>
      <c r="J45" s="15" t="s">
        <v>8</v>
      </c>
      <c r="K45" s="14">
        <f>SUM(K40:K44)</f>
        <v>35</v>
      </c>
      <c r="L45" s="13">
        <f>SUM(L40:L44)</f>
        <v>1750000</v>
      </c>
      <c r="M45" s="3"/>
    </row>
    <row r="46" spans="1:15" x14ac:dyDescent="0.25">
      <c r="A46" s="9"/>
      <c r="B46" s="9"/>
      <c r="C46" s="10"/>
      <c r="D46" s="8">
        <f>SUM(D3:D44)</f>
        <v>170000</v>
      </c>
      <c r="E46" s="9"/>
      <c r="F46" s="11">
        <f>SUM(F3:F45)</f>
        <v>30280000</v>
      </c>
      <c r="G46" s="11">
        <f>SUM(G3:G45)</f>
        <v>28080000</v>
      </c>
      <c r="H46" s="52"/>
      <c r="J46" s="3"/>
      <c r="K46" s="4"/>
      <c r="L46" s="3"/>
      <c r="M46" s="3"/>
      <c r="N46" s="3"/>
    </row>
    <row r="47" spans="1:15" x14ac:dyDescent="0.25">
      <c r="A47" s="9"/>
      <c r="B47" s="9"/>
      <c r="C47" s="10"/>
      <c r="D47" s="8"/>
      <c r="E47" s="9"/>
      <c r="F47" s="8">
        <f>+F46+D46</f>
        <v>30450000</v>
      </c>
      <c r="G47" s="6"/>
      <c r="H47" s="50"/>
      <c r="J47" s="6" t="s">
        <v>3</v>
      </c>
      <c r="K47" s="6">
        <v>6</v>
      </c>
      <c r="L47" s="3"/>
      <c r="M47" s="3"/>
      <c r="N47" s="3"/>
    </row>
    <row r="48" spans="1:15" ht="15.75" thickBot="1" x14ac:dyDescent="0.3">
      <c r="A48" s="7"/>
      <c r="J48" s="6" t="s">
        <v>2</v>
      </c>
      <c r="K48" s="6">
        <v>5</v>
      </c>
      <c r="L48" s="3"/>
      <c r="M48" s="3"/>
      <c r="N48" s="3"/>
    </row>
    <row r="49" spans="10:14" x14ac:dyDescent="0.25">
      <c r="J49" s="6" t="s">
        <v>1</v>
      </c>
      <c r="K49" s="6">
        <v>2</v>
      </c>
      <c r="L49" s="3"/>
      <c r="M49" s="3"/>
      <c r="N49" s="3"/>
    </row>
    <row r="50" spans="10:14" ht="18.75" x14ac:dyDescent="0.3">
      <c r="J50" s="5" t="s">
        <v>0</v>
      </c>
      <c r="K50" s="5" t="e">
        <f>+#REF!-K47-K48-K49</f>
        <v>#REF!</v>
      </c>
      <c r="L50" s="3"/>
      <c r="M50" s="3"/>
    </row>
    <row r="51" spans="10:14" x14ac:dyDescent="0.25">
      <c r="J51" s="3"/>
      <c r="K51" s="4"/>
      <c r="L51" s="3"/>
      <c r="M51" s="3"/>
    </row>
    <row r="52" spans="10:14" x14ac:dyDescent="0.25">
      <c r="J52" s="3"/>
      <c r="K52" s="4"/>
      <c r="L52" s="3"/>
    </row>
    <row r="53" spans="10:14" x14ac:dyDescent="0.25">
      <c r="J53" s="3"/>
      <c r="K53" s="4"/>
      <c r="L53" s="3"/>
    </row>
  </sheetData>
  <mergeCells count="2">
    <mergeCell ref="A1:G1"/>
    <mergeCell ref="J5:K5"/>
  </mergeCells>
  <pageMargins left="0.70866141732283472" right="0.70866141732283472" top="0.74803149606299213" bottom="0.74803149606299213" header="0.31496062992125984" footer="0.31496062992125984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TOLU COVEÑAS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DANIELA STEFANI  CRUZ MORENO</cp:lastModifiedBy>
  <dcterms:created xsi:type="dcterms:W3CDTF">2023-11-18T01:18:45Z</dcterms:created>
  <dcterms:modified xsi:type="dcterms:W3CDTF">2023-11-20T16:00:36Z</dcterms:modified>
</cp:coreProperties>
</file>