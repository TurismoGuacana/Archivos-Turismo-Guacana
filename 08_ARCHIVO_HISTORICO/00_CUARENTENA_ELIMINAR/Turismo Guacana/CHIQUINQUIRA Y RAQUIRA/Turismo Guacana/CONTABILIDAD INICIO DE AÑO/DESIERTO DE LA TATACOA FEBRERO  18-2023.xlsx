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53A1345A-562A-4F91-9AB6-8A6EF837035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BUS Y SALDOS " sheetId="4" r:id="rId1"/>
    <sheet name="COSTOS Y GASTOS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G8" i="2"/>
  <c r="H6" i="2"/>
  <c r="H7" i="2"/>
  <c r="H62" i="4"/>
  <c r="H50" i="4"/>
  <c r="H51" i="4"/>
  <c r="H52" i="4"/>
  <c r="H53" i="4"/>
  <c r="H54" i="4"/>
  <c r="H55" i="4"/>
  <c r="H56" i="4"/>
  <c r="H49" i="4"/>
  <c r="H47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30" i="4"/>
  <c r="H28" i="4"/>
  <c r="H26" i="4"/>
  <c r="H24" i="4"/>
  <c r="H25" i="4"/>
  <c r="H2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3" i="4"/>
  <c r="G62" i="4"/>
  <c r="F23" i="4"/>
  <c r="F24" i="4"/>
  <c r="F25" i="4"/>
  <c r="F26" i="4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8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9" i="4"/>
  <c r="F50" i="4"/>
  <c r="F51" i="4"/>
  <c r="F52" i="4"/>
  <c r="F53" i="4"/>
  <c r="F54" i="4"/>
  <c r="F55" i="4"/>
  <c r="F56" i="4"/>
  <c r="E62" i="4"/>
  <c r="E13" i="2"/>
  <c r="F62" i="4" l="1"/>
  <c r="F63" i="4" s="1"/>
  <c r="H5" i="2"/>
  <c r="H3" i="2" l="1"/>
  <c r="H4" i="2"/>
  <c r="E15" i="2"/>
  <c r="H8" i="2" l="1"/>
  <c r="C10" i="2" s="1"/>
  <c r="C11" i="2" l="1"/>
</calcChain>
</file>

<file path=xl/sharedStrings.xml><?xml version="1.0" encoding="utf-8"?>
<sst xmlns="http://schemas.openxmlformats.org/spreadsheetml/2006/main" count="204" uniqueCount="121">
  <si>
    <t xml:space="preserve">NOMBRES Y APELLIDOS </t>
  </si>
  <si>
    <t>IDENTIFICACION</t>
  </si>
  <si>
    <t>ABONO</t>
  </si>
  <si>
    <t>SALDO</t>
  </si>
  <si>
    <t xml:space="preserve">EMPRESA </t>
  </si>
  <si>
    <t>TOTAL</t>
  </si>
  <si>
    <t>VALOR TOTAL</t>
  </si>
  <si>
    <t xml:space="preserve">VENDEDOR </t>
  </si>
  <si>
    <t>CONTROL DE PASAJEROS Y SALDOS QUE ADEUDAN</t>
  </si>
  <si>
    <t xml:space="preserve">COSTOS Y GASTOS </t>
  </si>
  <si>
    <t xml:space="preserve">COMISIONES </t>
  </si>
  <si>
    <t>BUS</t>
  </si>
  <si>
    <t>SEGURO</t>
  </si>
  <si>
    <t xml:space="preserve">TOTAL </t>
  </si>
  <si>
    <t xml:space="preserve">INGRESO </t>
  </si>
  <si>
    <t>UTILIDAD</t>
  </si>
  <si>
    <t>N°</t>
  </si>
  <si>
    <t>PERSONAS</t>
  </si>
  <si>
    <t>EMPRESA</t>
  </si>
  <si>
    <t>LUIS ALBERTO DUARTE MOLINA</t>
  </si>
  <si>
    <t>GABRIEL CABRERA PINZON</t>
  </si>
  <si>
    <t>EDITH APULO</t>
  </si>
  <si>
    <t xml:space="preserve">DIANA VIOTA </t>
  </si>
  <si>
    <t>DIANA CAROLINA CÓRDOBA SANTOFIMIO</t>
  </si>
  <si>
    <t>ASHLY JURLEY LOZANO CÓRDOBA</t>
  </si>
  <si>
    <t xml:space="preserve">ANGIE LORENA CORDOBA SANTOFIMIO </t>
  </si>
  <si>
    <t>EDWIN SANTIAGO ROMERO CORDOBA</t>
  </si>
  <si>
    <t xml:space="preserve">  RC 1075630433</t>
  </si>
  <si>
    <t>LEIDY CATERINE VARGAS MEDINA</t>
  </si>
  <si>
    <t>ANTHONY MARTIN REINA VARGAS</t>
  </si>
  <si>
    <t>RC 1243758489</t>
  </si>
  <si>
    <t xml:space="preserve">3 AÑOS EN ADELANTE </t>
  </si>
  <si>
    <t xml:space="preserve">FERNANDO BENAVIDES </t>
  </si>
  <si>
    <t>CONSUELO VAQUERO</t>
  </si>
  <si>
    <t xml:space="preserve">DORIS RAMIREZ DE SIERRA </t>
  </si>
  <si>
    <t>JASMIN CAICEDO QUIROGA</t>
  </si>
  <si>
    <t>JAIME BERNAL MARENTES</t>
  </si>
  <si>
    <t>NUIP1075630345</t>
  </si>
  <si>
    <t>MARIA SALOME CARRILLO VILLAMIL</t>
  </si>
  <si>
    <t>4 AÑOS</t>
  </si>
  <si>
    <t>SEGURO Y PLAYA $60</t>
  </si>
  <si>
    <t>VALERY TALIANA CÓRDOBA MOYA</t>
  </si>
  <si>
    <t>TI. 1.075.626.616</t>
  </si>
  <si>
    <t>TI. 1.078.827.884</t>
  </si>
  <si>
    <t>SOLO SEGURO MENORES DE 3 AÑOS $15</t>
  </si>
  <si>
    <t xml:space="preserve">CABRERA </t>
  </si>
  <si>
    <t>R.C 1.073.630,018</t>
  </si>
  <si>
    <t>C.E 422419</t>
  </si>
  <si>
    <t>T.I 1.072.962.061</t>
  </si>
  <si>
    <t>T.I 1.072.962.514</t>
  </si>
  <si>
    <t>T.I 1.072.962.324</t>
  </si>
  <si>
    <t>R.C 1.072.964.287</t>
  </si>
  <si>
    <t xml:space="preserve">JULY MORENO OME </t>
  </si>
  <si>
    <t>APULO</t>
  </si>
  <si>
    <t>MARIA CECILIA OME</t>
  </si>
  <si>
    <t>MARIA ANTONIA GARCIA FUENTES</t>
  </si>
  <si>
    <t>MARIA BRIÑEZ CABALLERO</t>
  </si>
  <si>
    <t>MARIO FERNANDO GARCIA OSMA</t>
  </si>
  <si>
    <t>JUAN GARCIA ROMERO</t>
  </si>
  <si>
    <t>BURKHARD HALLMAN</t>
  </si>
  <si>
    <t xml:space="preserve">SOFIA HALLMAN </t>
  </si>
  <si>
    <t>ANAPOIMA</t>
  </si>
  <si>
    <t>ALEXANDRA RODRIGUEZ</t>
  </si>
  <si>
    <t>JUAN ANDRES MOLINA</t>
  </si>
  <si>
    <t>DIANA CAROLINA RODRIGUEZ</t>
  </si>
  <si>
    <t>ANGEL MIRO CANO</t>
  </si>
  <si>
    <t xml:space="preserve">OSCAR EDUARDO SANCHEZ </t>
  </si>
  <si>
    <t>NANCY CASTRO</t>
  </si>
  <si>
    <t>BECCI GISELL SANCHEZ</t>
  </si>
  <si>
    <t>CECILIA RODRIGUEZ</t>
  </si>
  <si>
    <t>JOSUE SANTIAGO BARRIOS SANCHEZ</t>
  </si>
  <si>
    <t>JUAN DIEGO AREVALO DIAZ</t>
  </si>
  <si>
    <t>NICOLE KATERIN SANCHEZ CASTRO</t>
  </si>
  <si>
    <t>KAROL ESTEFANI SANCEZ CASTRO</t>
  </si>
  <si>
    <t>ELSY LOPEZ LOPEZ</t>
  </si>
  <si>
    <t>1.073.297.28</t>
  </si>
  <si>
    <t>T.I 1.032.800.380</t>
  </si>
  <si>
    <t xml:space="preserve">LUISA MARIA FERNANDA BENAVIDES MAPE </t>
  </si>
  <si>
    <t xml:space="preserve">MUNICIPIO </t>
  </si>
  <si>
    <t>ANPOIMA</t>
  </si>
  <si>
    <t xml:space="preserve">DE ALEMANIA </t>
  </si>
  <si>
    <t xml:space="preserve">SEGURO - BEBE </t>
  </si>
  <si>
    <t>SEGURO - 2 AÑOS</t>
  </si>
  <si>
    <t xml:space="preserve">SEGURO - 3 AÑOS </t>
  </si>
  <si>
    <t xml:space="preserve">TOCAIMA </t>
  </si>
  <si>
    <t>OLIVA RUBIO LAVERDE</t>
  </si>
  <si>
    <t>ROSALBA OSMA DE GARCIA</t>
  </si>
  <si>
    <t>LAUREANO GARIA ESCOBAR</t>
  </si>
  <si>
    <t>ALIX LIZETH GARCIA OSMA</t>
  </si>
  <si>
    <t>LUZ HELENA GARCIA OSMA</t>
  </si>
  <si>
    <t>JACKELINE HERRERA DIAZ</t>
  </si>
  <si>
    <t>NICOLAS ALEJANDRO RUIZ GARCIA</t>
  </si>
  <si>
    <t>JUAN ESTEBAN RUIZ GARCIA</t>
  </si>
  <si>
    <t>MARTHA LUCIA MUR</t>
  </si>
  <si>
    <t>DANY FERNANDO TORRES</t>
  </si>
  <si>
    <t>JOSE CALDERON</t>
  </si>
  <si>
    <t>ANA EDITH MORENO SILVA</t>
  </si>
  <si>
    <t>ORIANA NATHALIA GIRON MORENO</t>
  </si>
  <si>
    <t>MARIA ANGEL DURAN GIRON  BEBE</t>
  </si>
  <si>
    <t>GUSTAVO ADOLFO GIRON MORENO</t>
  </si>
  <si>
    <t>GLADYS TORRES BERRIO</t>
  </si>
  <si>
    <t xml:space="preserve">      20.87.792</t>
  </si>
  <si>
    <t>SONIA AYALA DE LOPEZ</t>
  </si>
  <si>
    <t>JORGE ENRIQUE GIRON MENDOZA</t>
  </si>
  <si>
    <t>GABRIELA ALZATE</t>
  </si>
  <si>
    <t>LUZ STELLA RODRIGUEZ</t>
  </si>
  <si>
    <t>FANNY SEQUERA SEPULVEDA</t>
  </si>
  <si>
    <t>ADELAIDA SANCHEZ CHARA</t>
  </si>
  <si>
    <t>1.000.522.84</t>
  </si>
  <si>
    <t xml:space="preserve">EDIHT </t>
  </si>
  <si>
    <t xml:space="preserve">JUAN CARLOS PATIÑO SOSA </t>
  </si>
  <si>
    <t>TELEFONO</t>
  </si>
  <si>
    <t>VALOR</t>
  </si>
  <si>
    <t>COMISIÓN</t>
  </si>
  <si>
    <t xml:space="preserve">GUÍA TURÍSTICO </t>
  </si>
  <si>
    <t xml:space="preserve"> PLAYA JUNCAL Y ALMUERZO </t>
  </si>
  <si>
    <t>REFRIGERIO</t>
  </si>
  <si>
    <t>TETE</t>
  </si>
  <si>
    <t>LAD</t>
  </si>
  <si>
    <t>GLORIA</t>
  </si>
  <si>
    <t>GASTOS DE REPRESENTACIÓN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</si>
</sst>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\ #,##0_);[Red]\(&quot;$&quot;\ #,##0\)"/>
    <numFmt numFmtId="165" formatCode="_(&quot;$&quot;\ * #,##0_);_(&quot;$&quot;\ * \(#,##0\);_(&quot;$&quot;\ * &quot;-&quot;_);_(@_)"/>
    <numFmt numFmtId="166" formatCode="_(* #,##0.00_);_(* \(#,##0.00\);_(* &quot;-&quot;??_);_(@_)"/>
    <numFmt numFmtId="167" formatCode="&quot;$&quot;#,##0;[Red]\-&quot;$&quot;#,##0"/>
    <numFmt numFmtId="168" formatCode="_-&quot;$&quot;* #,##0.00_-;\-&quot;$&quot;* #,##0.00_-;_-&quot;$&quot;* &quot;-&quot;??_-;_-@_-"/>
    <numFmt numFmtId="169" formatCode="_-&quot;$&quot;* #,##0_-;\-&quot;$&quot;* #,##0_-;_-&quot;$&quot;* &quot;-&quot;??_-;_-@_-"/>
    <numFmt numFmtId="170" formatCode="_(* #,##0_);_(* \(#,##0\);_(* &quot;-&quot;??_);_(@_)"/>
    <numFmt numFmtId="171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7">
    <xf numFmtId="0" fontId="0" fillId="0" borderId="0" xfId="0"/>
    <xf numFmtId="169" fontId="0" fillId="0" borderId="0" xfId="1" applyNumberFormat="1" applyFont="1"/>
    <xf numFmtId="0" fontId="3" fillId="0" borderId="1" xfId="0" applyFont="1" applyBorder="1"/>
    <xf numFmtId="0" fontId="3" fillId="0" borderId="3" xfId="0" applyFont="1" applyBorder="1"/>
    <xf numFmtId="0" fontId="4" fillId="0" borderId="0" xfId="0" applyFont="1"/>
    <xf numFmtId="0" fontId="4" fillId="0" borderId="1" xfId="0" applyFont="1" applyBorder="1"/>
    <xf numFmtId="171" fontId="0" fillId="0" borderId="0" xfId="2" applyNumberFormat="1" applyFont="1"/>
    <xf numFmtId="171" fontId="4" fillId="2" borderId="1" xfId="2" applyNumberFormat="1" applyFont="1" applyFill="1" applyBorder="1"/>
    <xf numFmtId="169" fontId="4" fillId="0" borderId="1" xfId="1" applyNumberFormat="1" applyFont="1" applyBorder="1"/>
    <xf numFmtId="171" fontId="4" fillId="0" borderId="1" xfId="2" applyNumberFormat="1" applyFont="1" applyBorder="1"/>
    <xf numFmtId="167" fontId="4" fillId="0" borderId="1" xfId="0" applyNumberFormat="1" applyFont="1" applyBorder="1"/>
    <xf numFmtId="166" fontId="4" fillId="0" borderId="0" xfId="2" applyFont="1"/>
    <xf numFmtId="0" fontId="4" fillId="0" borderId="0" xfId="0" applyFont="1" applyBorder="1" applyAlignment="1">
      <alignment horizontal="center"/>
    </xf>
    <xf numFmtId="171" fontId="4" fillId="0" borderId="0" xfId="2" applyNumberFormat="1" applyFont="1" applyBorder="1" applyAlignment="1">
      <alignment horizontal="center"/>
    </xf>
    <xf numFmtId="167" fontId="4" fillId="0" borderId="0" xfId="0" applyNumberFormat="1" applyFont="1" applyBorder="1"/>
    <xf numFmtId="171" fontId="4" fillId="0" borderId="0" xfId="2" applyNumberFormat="1" applyFont="1"/>
    <xf numFmtId="169" fontId="4" fillId="0" borderId="0" xfId="1" applyNumberFormat="1" applyFont="1"/>
    <xf numFmtId="167" fontId="4" fillId="0" borderId="0" xfId="0" applyNumberFormat="1" applyFont="1"/>
    <xf numFmtId="169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169" fontId="2" fillId="0" borderId="1" xfId="1" applyNumberFormat="1" applyFont="1" applyBorder="1"/>
    <xf numFmtId="0" fontId="2" fillId="0" borderId="1" xfId="0" applyFont="1" applyBorder="1" applyAlignment="1">
      <alignment horizontal="center"/>
    </xf>
    <xf numFmtId="0" fontId="5" fillId="3" borderId="1" xfId="0" applyFont="1" applyFill="1" applyBorder="1"/>
    <xf numFmtId="3" fontId="5" fillId="3" borderId="1" xfId="0" applyNumberFormat="1" applyFont="1" applyFill="1" applyBorder="1" applyAlignment="1">
      <alignment horizontal="right"/>
    </xf>
    <xf numFmtId="165" fontId="5" fillId="3" borderId="1" xfId="3" applyFont="1" applyFill="1" applyBorder="1"/>
    <xf numFmtId="0" fontId="2" fillId="3" borderId="0" xfId="0" applyFont="1" applyFill="1"/>
    <xf numFmtId="0" fontId="5" fillId="3" borderId="0" xfId="0" applyFont="1" applyFill="1"/>
    <xf numFmtId="0" fontId="5" fillId="4" borderId="1" xfId="0" applyFont="1" applyFill="1" applyBorder="1"/>
    <xf numFmtId="3" fontId="5" fillId="4" borderId="1" xfId="0" applyNumberFormat="1" applyFont="1" applyFill="1" applyBorder="1" applyAlignment="1">
      <alignment horizontal="right"/>
    </xf>
    <xf numFmtId="165" fontId="5" fillId="4" borderId="1" xfId="3" applyFont="1" applyFill="1" applyBorder="1"/>
    <xf numFmtId="0" fontId="5" fillId="4" borderId="0" xfId="0" applyFont="1" applyFill="1"/>
    <xf numFmtId="0" fontId="5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4" fontId="5" fillId="0" borderId="0" xfId="0" applyNumberFormat="1" applyFont="1"/>
    <xf numFmtId="0" fontId="5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vertical="center"/>
    </xf>
    <xf numFmtId="170" fontId="5" fillId="0" borderId="1" xfId="2" applyNumberFormat="1" applyFont="1" applyBorder="1"/>
    <xf numFmtId="169" fontId="5" fillId="0" borderId="1" xfId="1" applyNumberFormat="1" applyFont="1" applyBorder="1"/>
    <xf numFmtId="169" fontId="7" fillId="0" borderId="1" xfId="1" applyNumberFormat="1" applyFont="1" applyBorder="1"/>
    <xf numFmtId="0" fontId="5" fillId="0" borderId="2" xfId="0" applyFont="1" applyBorder="1"/>
    <xf numFmtId="170" fontId="5" fillId="0" borderId="3" xfId="2" applyNumberFormat="1" applyFont="1" applyBorder="1"/>
    <xf numFmtId="169" fontId="5" fillId="0" borderId="3" xfId="1" applyNumberFormat="1" applyFont="1" applyBorder="1"/>
    <xf numFmtId="170" fontId="5" fillId="0" borderId="0" xfId="2" applyNumberFormat="1" applyFont="1"/>
    <xf numFmtId="169" fontId="5" fillId="0" borderId="0" xfId="1" applyNumberFormat="1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169" fontId="5" fillId="4" borderId="1" xfId="1" applyNumberFormat="1" applyFont="1" applyFill="1" applyBorder="1"/>
    <xf numFmtId="0" fontId="5" fillId="4" borderId="1" xfId="0" applyFont="1" applyFill="1" applyBorder="1" applyAlignment="1">
      <alignment wrapText="1"/>
    </xf>
    <xf numFmtId="0" fontId="0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170" fontId="2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0" fontId="6" fillId="0" borderId="1" xfId="2" applyNumberFormat="1" applyFont="1" applyBorder="1" applyAlignment="1">
      <alignment horizontal="center" vertical="center"/>
    </xf>
    <xf numFmtId="0" fontId="5" fillId="0" borderId="4" xfId="0" applyFont="1" applyBorder="1"/>
    <xf numFmtId="0" fontId="5" fillId="4" borderId="0" xfId="0" applyFont="1" applyFill="1" applyBorder="1"/>
    <xf numFmtId="0" fontId="2" fillId="4" borderId="1" xfId="0" applyFont="1" applyFill="1" applyBorder="1"/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170" fontId="5" fillId="0" borderId="1" xfId="2" applyNumberFormat="1" applyFont="1" applyBorder="1" applyAlignment="1">
      <alignment vertical="center"/>
    </xf>
    <xf numFmtId="0" fontId="5" fillId="0" borderId="6" xfId="0" applyFont="1" applyBorder="1"/>
    <xf numFmtId="0" fontId="5" fillId="0" borderId="7" xfId="0" applyFont="1" applyBorder="1"/>
    <xf numFmtId="0" fontId="2" fillId="3" borderId="1" xfId="0" applyFont="1" applyFill="1" applyBorder="1"/>
    <xf numFmtId="170" fontId="5" fillId="4" borderId="1" xfId="2" applyNumberFormat="1" applyFont="1" applyFill="1" applyBorder="1"/>
    <xf numFmtId="169" fontId="5" fillId="0" borderId="6" xfId="1" applyNumberFormat="1" applyFont="1" applyBorder="1"/>
    <xf numFmtId="0" fontId="6" fillId="0" borderId="4" xfId="0" applyFont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169" fontId="2" fillId="0" borderId="0" xfId="1" applyNumberFormat="1" applyFont="1" applyBorder="1"/>
    <xf numFmtId="0" fontId="2" fillId="0" borderId="0" xfId="0" applyFont="1" applyBorder="1"/>
    <xf numFmtId="169" fontId="2" fillId="4" borderId="0" xfId="1" applyNumberFormat="1" applyFont="1" applyFill="1" applyBorder="1"/>
    <xf numFmtId="0" fontId="2" fillId="4" borderId="0" xfId="0" applyFont="1" applyFill="1" applyBorder="1"/>
    <xf numFmtId="0" fontId="2" fillId="2" borderId="1" xfId="0" applyFont="1" applyFill="1" applyBorder="1"/>
    <xf numFmtId="0" fontId="6" fillId="2" borderId="1" xfId="0" applyFont="1" applyFill="1" applyBorder="1" applyAlignment="1">
      <alignment vertical="center"/>
    </xf>
    <xf numFmtId="170" fontId="5" fillId="2" borderId="1" xfId="2" applyNumberFormat="1" applyFont="1" applyFill="1" applyBorder="1"/>
    <xf numFmtId="0" fontId="5" fillId="2" borderId="1" xfId="0" applyFont="1" applyFill="1" applyBorder="1"/>
    <xf numFmtId="169" fontId="5" fillId="2" borderId="1" xfId="1" applyNumberFormat="1" applyFont="1" applyFill="1" applyBorder="1"/>
    <xf numFmtId="169" fontId="5" fillId="2" borderId="4" xfId="1" applyNumberFormat="1" applyFont="1" applyFill="1" applyBorder="1"/>
    <xf numFmtId="0" fontId="5" fillId="2" borderId="4" xfId="0" applyFont="1" applyFill="1" applyBorder="1"/>
    <xf numFmtId="0" fontId="5" fillId="2" borderId="0" xfId="0" applyFont="1" applyFill="1"/>
    <xf numFmtId="3" fontId="6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170" fontId="2" fillId="2" borderId="1" xfId="2" applyNumberFormat="1" applyFont="1" applyFill="1" applyBorder="1"/>
    <xf numFmtId="170" fontId="2" fillId="2" borderId="4" xfId="2" applyNumberFormat="1" applyFont="1" applyFill="1" applyBorder="1"/>
    <xf numFmtId="169" fontId="2" fillId="2" borderId="5" xfId="1" applyNumberFormat="1" applyFont="1" applyFill="1" applyBorder="1"/>
    <xf numFmtId="169" fontId="2" fillId="2" borderId="1" xfId="1" applyNumberFormat="1" applyFont="1" applyFill="1" applyBorder="1"/>
    <xf numFmtId="169" fontId="8" fillId="0" borderId="4" xfId="1" applyNumberFormat="1" applyFont="1" applyBorder="1"/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69" fontId="4" fillId="2" borderId="1" xfId="1" applyNumberFormat="1" applyFont="1" applyFill="1" applyBorder="1"/>
    <xf numFmtId="168" fontId="4" fillId="0" borderId="1" xfId="1" applyFont="1" applyBorder="1"/>
    <xf numFmtId="0" fontId="4" fillId="0" borderId="1" xfId="0" applyFont="1" applyFill="1" applyBorder="1"/>
    <xf numFmtId="0" fontId="4" fillId="0" borderId="1" xfId="0" applyFont="1" applyBorder="1" applyAlignment="1"/>
    <xf numFmtId="171" fontId="4" fillId="0" borderId="1" xfId="0" applyNumberFormat="1" applyFont="1" applyBorder="1" applyAlignment="1"/>
    <xf numFmtId="171" fontId="4" fillId="0" borderId="0" xfId="0" applyNumberFormat="1" applyFont="1"/>
  </cellXfs>
  <cellStyles count="4">
    <cellStyle name="Millares" xfId="2" builtinId="3"/>
    <cellStyle name="Moneda" xfId="1" builtinId="4"/>
    <cellStyle name="Moneda [0]" xfId="3" builtinId="7"/>
    <cellStyle name="Normal" xfId="0" builtinId="0"/>
  </cellStyles>
  <dxfs count="0"/>
  <tableStyles count="0" defaultTableStyle="TableStyleMedium2" defaultPivotStyle="PivotStyleLight16"/>
  <colors>
    <mruColors>
      <color rgb="FF5CB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opLeftCell="B30" zoomScale="59" zoomScaleNormal="120" workbookViewId="0">
      <selection activeCell="G62" sqref="G62"/>
    </sheetView>
  </sheetViews>
  <sheetFormatPr baseColWidth="10" defaultRowHeight="18.75" x14ac:dyDescent="0.3"/>
  <cols>
    <col min="1" max="1" width="5.5703125" style="35" bestFit="1" customWidth="1"/>
    <col min="2" max="2" width="49.140625" style="35" bestFit="1" customWidth="1"/>
    <col min="3" max="3" width="21.85546875" style="44" bestFit="1" customWidth="1"/>
    <col min="4" max="4" width="29.42578125" style="35" bestFit="1" customWidth="1"/>
    <col min="5" max="5" width="16.28515625" style="45" bestFit="1" customWidth="1"/>
    <col min="6" max="6" width="15.85546875" style="45" bestFit="1" customWidth="1"/>
    <col min="7" max="7" width="15.85546875" style="45" customWidth="1"/>
    <col min="8" max="8" width="20.42578125" style="45" bestFit="1" customWidth="1"/>
    <col min="9" max="9" width="23.5703125" style="35" customWidth="1"/>
    <col min="10" max="10" width="21.28515625" style="35" customWidth="1"/>
    <col min="11" max="11" width="14.140625" style="35" bestFit="1" customWidth="1"/>
    <col min="12" max="16384" width="11.42578125" style="35"/>
  </cols>
  <sheetData>
    <row r="1" spans="1:13" x14ac:dyDescent="0.3">
      <c r="A1" s="89" t="s">
        <v>8</v>
      </c>
      <c r="B1" s="89"/>
      <c r="C1" s="89"/>
      <c r="D1" s="89"/>
      <c r="E1" s="89"/>
      <c r="F1" s="89"/>
      <c r="G1" s="89"/>
      <c r="H1" s="89"/>
      <c r="I1" s="89"/>
      <c r="J1" s="52"/>
      <c r="K1" s="34">
        <v>158000</v>
      </c>
    </row>
    <row r="2" spans="1:13" ht="15" customHeight="1" x14ac:dyDescent="0.3">
      <c r="A2" s="19" t="s">
        <v>16</v>
      </c>
      <c r="B2" s="20" t="s">
        <v>0</v>
      </c>
      <c r="C2" s="53" t="s">
        <v>1</v>
      </c>
      <c r="D2" s="22" t="s">
        <v>111</v>
      </c>
      <c r="E2" s="21" t="s">
        <v>2</v>
      </c>
      <c r="F2" s="21" t="s">
        <v>3</v>
      </c>
      <c r="G2" s="21" t="s">
        <v>112</v>
      </c>
      <c r="H2" s="21" t="s">
        <v>113</v>
      </c>
      <c r="I2" s="19" t="s">
        <v>7</v>
      </c>
      <c r="J2" s="19" t="s">
        <v>78</v>
      </c>
    </row>
    <row r="3" spans="1:13" ht="15" customHeight="1" x14ac:dyDescent="0.3">
      <c r="A3" s="19">
        <v>1</v>
      </c>
      <c r="B3" s="37" t="s">
        <v>52</v>
      </c>
      <c r="C3" s="54" t="s">
        <v>75</v>
      </c>
      <c r="D3" s="36"/>
      <c r="E3" s="20"/>
      <c r="F3" s="39">
        <f t="shared" ref="F3:F21" si="0">+$K$1-E3</f>
        <v>158000</v>
      </c>
      <c r="G3" s="39">
        <v>158000</v>
      </c>
      <c r="H3" s="39">
        <f>G3-15000</f>
        <v>143000</v>
      </c>
      <c r="I3" s="36"/>
      <c r="J3" s="68" t="s">
        <v>53</v>
      </c>
      <c r="K3" s="70"/>
      <c r="L3" s="70"/>
      <c r="M3" s="71"/>
    </row>
    <row r="4" spans="1:13" ht="15" customHeight="1" x14ac:dyDescent="0.3">
      <c r="A4" s="19">
        <v>2</v>
      </c>
      <c r="B4" s="37" t="s">
        <v>54</v>
      </c>
      <c r="C4" s="55">
        <v>40776177</v>
      </c>
      <c r="D4" s="36"/>
      <c r="E4" s="20"/>
      <c r="F4" s="39">
        <f t="shared" si="0"/>
        <v>158000</v>
      </c>
      <c r="G4" s="39">
        <v>158000</v>
      </c>
      <c r="H4" s="39">
        <f t="shared" ref="H4:H21" si="1">G4-15000</f>
        <v>143000</v>
      </c>
      <c r="I4" s="36"/>
      <c r="J4" s="68" t="s">
        <v>53</v>
      </c>
      <c r="K4" s="70"/>
      <c r="L4" s="70"/>
      <c r="M4" s="71"/>
    </row>
    <row r="5" spans="1:13" ht="15" customHeight="1" x14ac:dyDescent="0.3">
      <c r="A5" s="19">
        <v>3</v>
      </c>
      <c r="B5" s="37" t="s">
        <v>55</v>
      </c>
      <c r="C5" s="55">
        <v>20871211</v>
      </c>
      <c r="D5" s="36"/>
      <c r="E5" s="20"/>
      <c r="F5" s="39">
        <f t="shared" si="0"/>
        <v>158000</v>
      </c>
      <c r="G5" s="39">
        <v>158000</v>
      </c>
      <c r="H5" s="39">
        <f t="shared" si="1"/>
        <v>143000</v>
      </c>
      <c r="I5" s="36"/>
      <c r="J5" s="68" t="s">
        <v>53</v>
      </c>
      <c r="K5" s="70"/>
      <c r="L5" s="70"/>
      <c r="M5" s="71"/>
    </row>
    <row r="6" spans="1:13" ht="15" customHeight="1" x14ac:dyDescent="0.3">
      <c r="A6" s="19">
        <v>4</v>
      </c>
      <c r="B6" s="37" t="s">
        <v>56</v>
      </c>
      <c r="C6" s="54" t="s">
        <v>46</v>
      </c>
      <c r="D6" s="36"/>
      <c r="E6" s="20"/>
      <c r="F6" s="39">
        <f t="shared" si="0"/>
        <v>158000</v>
      </c>
      <c r="G6" s="39">
        <v>158000</v>
      </c>
      <c r="H6" s="39">
        <f t="shared" si="1"/>
        <v>143000</v>
      </c>
      <c r="I6" s="36"/>
      <c r="J6" s="68" t="s">
        <v>53</v>
      </c>
      <c r="K6" s="70"/>
      <c r="L6" s="70"/>
      <c r="M6" s="71"/>
    </row>
    <row r="7" spans="1:13" ht="15" customHeight="1" x14ac:dyDescent="0.3">
      <c r="A7" s="19">
        <v>5</v>
      </c>
      <c r="B7" s="37" t="s">
        <v>57</v>
      </c>
      <c r="C7" s="55">
        <v>11451011</v>
      </c>
      <c r="D7" s="36"/>
      <c r="E7" s="20"/>
      <c r="F7" s="39">
        <f t="shared" si="0"/>
        <v>158000</v>
      </c>
      <c r="G7" s="39">
        <v>158000</v>
      </c>
      <c r="H7" s="39">
        <f t="shared" si="1"/>
        <v>143000</v>
      </c>
      <c r="I7" s="36"/>
      <c r="J7" s="68" t="s">
        <v>53</v>
      </c>
      <c r="K7" s="70"/>
      <c r="L7" s="70"/>
      <c r="M7" s="71"/>
    </row>
    <row r="8" spans="1:13" ht="15" customHeight="1" x14ac:dyDescent="0.3">
      <c r="A8" s="19">
        <v>6</v>
      </c>
      <c r="B8" s="37" t="s">
        <v>58</v>
      </c>
      <c r="C8" s="56">
        <v>1001057037</v>
      </c>
      <c r="D8" s="36"/>
      <c r="E8" s="20"/>
      <c r="F8" s="39">
        <f t="shared" si="0"/>
        <v>158000</v>
      </c>
      <c r="G8" s="39">
        <v>158000</v>
      </c>
      <c r="H8" s="39">
        <f t="shared" si="1"/>
        <v>143000</v>
      </c>
      <c r="I8" s="36"/>
      <c r="J8" s="68" t="s">
        <v>53</v>
      </c>
      <c r="K8" s="70"/>
      <c r="L8" s="70"/>
      <c r="M8" s="71"/>
    </row>
    <row r="9" spans="1:13" ht="15" customHeight="1" x14ac:dyDescent="0.3">
      <c r="A9" s="19">
        <v>7</v>
      </c>
      <c r="B9" s="37" t="s">
        <v>59</v>
      </c>
      <c r="C9" s="54" t="s">
        <v>47</v>
      </c>
      <c r="D9" s="36"/>
      <c r="E9" s="20"/>
      <c r="F9" s="39">
        <f t="shared" si="0"/>
        <v>158000</v>
      </c>
      <c r="G9" s="39">
        <v>158000</v>
      </c>
      <c r="H9" s="39">
        <f t="shared" si="1"/>
        <v>143000</v>
      </c>
      <c r="I9" s="37" t="s">
        <v>80</v>
      </c>
      <c r="J9" s="68" t="s">
        <v>79</v>
      </c>
      <c r="K9" s="70"/>
      <c r="L9" s="70"/>
      <c r="M9" s="71"/>
    </row>
    <row r="10" spans="1:13" ht="15" customHeight="1" x14ac:dyDescent="0.3">
      <c r="A10" s="19">
        <v>8</v>
      </c>
      <c r="B10" s="37" t="s">
        <v>60</v>
      </c>
      <c r="C10" s="54" t="s">
        <v>76</v>
      </c>
      <c r="D10" s="36"/>
      <c r="E10" s="20"/>
      <c r="F10" s="39">
        <f t="shared" si="0"/>
        <v>158000</v>
      </c>
      <c r="G10" s="39">
        <v>158000</v>
      </c>
      <c r="H10" s="39">
        <f t="shared" si="1"/>
        <v>143000</v>
      </c>
      <c r="I10" s="36"/>
      <c r="J10" s="68" t="s">
        <v>61</v>
      </c>
      <c r="K10" s="70"/>
      <c r="L10" s="70"/>
      <c r="M10" s="71"/>
    </row>
    <row r="11" spans="1:13" ht="15" customHeight="1" x14ac:dyDescent="0.3">
      <c r="A11" s="19">
        <v>9</v>
      </c>
      <c r="B11" s="37" t="s">
        <v>62</v>
      </c>
      <c r="C11" s="55">
        <v>52323528</v>
      </c>
      <c r="D11" s="36"/>
      <c r="E11" s="20"/>
      <c r="F11" s="39">
        <f t="shared" si="0"/>
        <v>158000</v>
      </c>
      <c r="G11" s="39">
        <v>158000</v>
      </c>
      <c r="H11" s="39">
        <f t="shared" si="1"/>
        <v>143000</v>
      </c>
      <c r="I11" s="36"/>
      <c r="J11" s="68" t="s">
        <v>61</v>
      </c>
      <c r="K11" s="70"/>
      <c r="L11" s="70"/>
      <c r="M11" s="71"/>
    </row>
    <row r="12" spans="1:13" ht="15" customHeight="1" x14ac:dyDescent="0.3">
      <c r="A12" s="19">
        <v>10</v>
      </c>
      <c r="B12" s="37" t="s">
        <v>63</v>
      </c>
      <c r="C12" s="55">
        <v>1073628082</v>
      </c>
      <c r="D12" s="36"/>
      <c r="E12" s="20"/>
      <c r="F12" s="39">
        <f t="shared" si="0"/>
        <v>158000</v>
      </c>
      <c r="G12" s="39">
        <v>158000</v>
      </c>
      <c r="H12" s="39">
        <f t="shared" si="1"/>
        <v>143000</v>
      </c>
      <c r="I12" s="36"/>
      <c r="J12" s="68" t="s">
        <v>53</v>
      </c>
      <c r="K12" s="70"/>
      <c r="L12" s="70"/>
      <c r="M12" s="71"/>
    </row>
    <row r="13" spans="1:13" ht="15" customHeight="1" x14ac:dyDescent="0.3">
      <c r="A13" s="19">
        <v>11</v>
      </c>
      <c r="B13" s="37" t="s">
        <v>64</v>
      </c>
      <c r="C13" s="55">
        <v>1111335535</v>
      </c>
      <c r="D13" s="36"/>
      <c r="E13" s="20"/>
      <c r="F13" s="39">
        <f t="shared" si="0"/>
        <v>158000</v>
      </c>
      <c r="G13" s="39">
        <v>158000</v>
      </c>
      <c r="H13" s="39">
        <f t="shared" si="1"/>
        <v>143000</v>
      </c>
      <c r="I13" s="36"/>
      <c r="J13" s="68" t="s">
        <v>61</v>
      </c>
      <c r="K13" s="70"/>
      <c r="L13" s="70"/>
      <c r="M13" s="71"/>
    </row>
    <row r="14" spans="1:13" ht="15" customHeight="1" x14ac:dyDescent="0.3">
      <c r="A14" s="19">
        <v>12</v>
      </c>
      <c r="B14" s="37" t="s">
        <v>65</v>
      </c>
      <c r="C14" s="54">
        <v>2950716</v>
      </c>
      <c r="D14" s="36"/>
      <c r="E14" s="20"/>
      <c r="F14" s="39">
        <f t="shared" si="0"/>
        <v>158000</v>
      </c>
      <c r="G14" s="39">
        <v>158000</v>
      </c>
      <c r="H14" s="39">
        <f t="shared" si="1"/>
        <v>143000</v>
      </c>
      <c r="I14" s="36"/>
      <c r="J14" s="68" t="s">
        <v>61</v>
      </c>
      <c r="K14" s="70"/>
      <c r="L14" s="70"/>
      <c r="M14" s="71"/>
    </row>
    <row r="15" spans="1:13" ht="15" customHeight="1" x14ac:dyDescent="0.3">
      <c r="A15" s="19">
        <v>13</v>
      </c>
      <c r="B15" s="37" t="s">
        <v>66</v>
      </c>
      <c r="C15" s="55">
        <v>79095224</v>
      </c>
      <c r="D15" s="36"/>
      <c r="E15" s="20"/>
      <c r="F15" s="39">
        <f t="shared" si="0"/>
        <v>158000</v>
      </c>
      <c r="G15" s="39">
        <v>158000</v>
      </c>
      <c r="H15" s="39">
        <f t="shared" si="1"/>
        <v>143000</v>
      </c>
      <c r="I15" s="36"/>
      <c r="J15" s="68" t="s">
        <v>61</v>
      </c>
      <c r="K15" s="70"/>
      <c r="L15" s="70"/>
      <c r="M15" s="71"/>
    </row>
    <row r="16" spans="1:13" ht="15" customHeight="1" x14ac:dyDescent="0.3">
      <c r="A16" s="19">
        <v>14</v>
      </c>
      <c r="B16" s="37" t="s">
        <v>67</v>
      </c>
      <c r="C16" s="55">
        <v>1069282255</v>
      </c>
      <c r="D16" s="36"/>
      <c r="E16" s="20"/>
      <c r="F16" s="39">
        <f t="shared" si="0"/>
        <v>158000</v>
      </c>
      <c r="G16" s="39">
        <v>158000</v>
      </c>
      <c r="H16" s="39">
        <f t="shared" si="1"/>
        <v>143000</v>
      </c>
      <c r="I16" s="36"/>
      <c r="J16" s="68" t="s">
        <v>61</v>
      </c>
      <c r="K16" s="70"/>
      <c r="L16" s="70"/>
      <c r="M16" s="71"/>
    </row>
    <row r="17" spans="1:13" ht="15" customHeight="1" x14ac:dyDescent="0.3">
      <c r="A17" s="19">
        <v>15</v>
      </c>
      <c r="B17" s="37" t="s">
        <v>68</v>
      </c>
      <c r="C17" s="55">
        <v>20358967</v>
      </c>
      <c r="D17" s="36"/>
      <c r="E17" s="20"/>
      <c r="F17" s="39">
        <f t="shared" si="0"/>
        <v>158000</v>
      </c>
      <c r="G17" s="39">
        <v>158000</v>
      </c>
      <c r="H17" s="39">
        <f t="shared" si="1"/>
        <v>143000</v>
      </c>
      <c r="I17" s="36"/>
      <c r="J17" s="68" t="s">
        <v>61</v>
      </c>
      <c r="K17" s="70"/>
      <c r="L17" s="70"/>
      <c r="M17" s="71"/>
    </row>
    <row r="18" spans="1:13" ht="15" customHeight="1" x14ac:dyDescent="0.3">
      <c r="A18" s="19">
        <v>16</v>
      </c>
      <c r="B18" s="37" t="s">
        <v>69</v>
      </c>
      <c r="C18" s="55">
        <v>39556168</v>
      </c>
      <c r="D18" s="36"/>
      <c r="E18" s="20"/>
      <c r="F18" s="39">
        <f t="shared" si="0"/>
        <v>158000</v>
      </c>
      <c r="G18" s="39">
        <v>158000</v>
      </c>
      <c r="H18" s="39">
        <f t="shared" si="1"/>
        <v>143000</v>
      </c>
      <c r="I18" s="36"/>
      <c r="J18" s="68" t="s">
        <v>61</v>
      </c>
      <c r="K18" s="70"/>
      <c r="L18" s="70"/>
      <c r="M18" s="71"/>
    </row>
    <row r="19" spans="1:13" ht="15" customHeight="1" x14ac:dyDescent="0.3">
      <c r="A19" s="19">
        <v>17</v>
      </c>
      <c r="B19" s="37" t="s">
        <v>70</v>
      </c>
      <c r="C19" s="54" t="s">
        <v>48</v>
      </c>
      <c r="D19" s="36"/>
      <c r="E19" s="20"/>
      <c r="F19" s="39">
        <f t="shared" si="0"/>
        <v>158000</v>
      </c>
      <c r="G19" s="39">
        <v>158000</v>
      </c>
      <c r="H19" s="39">
        <f t="shared" si="1"/>
        <v>143000</v>
      </c>
      <c r="I19" s="36"/>
      <c r="J19" s="68" t="s">
        <v>61</v>
      </c>
      <c r="K19" s="70"/>
      <c r="L19" s="70"/>
      <c r="M19" s="71"/>
    </row>
    <row r="20" spans="1:13" ht="15" customHeight="1" x14ac:dyDescent="0.3">
      <c r="A20" s="19">
        <v>18</v>
      </c>
      <c r="B20" s="37" t="s">
        <v>71</v>
      </c>
      <c r="C20" s="54" t="s">
        <v>49</v>
      </c>
      <c r="D20" s="36"/>
      <c r="E20" s="20"/>
      <c r="F20" s="39">
        <f t="shared" si="0"/>
        <v>158000</v>
      </c>
      <c r="G20" s="39">
        <v>158000</v>
      </c>
      <c r="H20" s="39">
        <f t="shared" si="1"/>
        <v>143000</v>
      </c>
      <c r="I20" s="36"/>
      <c r="J20" s="68" t="s">
        <v>61</v>
      </c>
      <c r="K20" s="70"/>
      <c r="L20" s="70"/>
      <c r="M20" s="71"/>
    </row>
    <row r="21" spans="1:13" ht="15" customHeight="1" x14ac:dyDescent="0.3">
      <c r="A21" s="19">
        <v>19</v>
      </c>
      <c r="B21" s="37" t="s">
        <v>72</v>
      </c>
      <c r="C21" s="54" t="s">
        <v>50</v>
      </c>
      <c r="D21" s="36"/>
      <c r="E21" s="20"/>
      <c r="F21" s="39">
        <f t="shared" si="0"/>
        <v>158000</v>
      </c>
      <c r="G21" s="39">
        <v>158000</v>
      </c>
      <c r="H21" s="39">
        <f t="shared" si="1"/>
        <v>143000</v>
      </c>
      <c r="I21" s="36"/>
      <c r="J21" s="68" t="s">
        <v>61</v>
      </c>
      <c r="K21" s="70"/>
      <c r="L21" s="70"/>
      <c r="M21" s="71"/>
    </row>
    <row r="22" spans="1:13" s="31" customFormat="1" ht="15" customHeight="1" x14ac:dyDescent="0.3">
      <c r="A22" s="59"/>
      <c r="B22" s="60" t="s">
        <v>73</v>
      </c>
      <c r="C22" s="61" t="s">
        <v>51</v>
      </c>
      <c r="D22" s="28"/>
      <c r="E22" s="29">
        <v>15000</v>
      </c>
      <c r="F22" s="48"/>
      <c r="G22" s="48">
        <v>15000</v>
      </c>
      <c r="H22" s="48">
        <v>15000</v>
      </c>
      <c r="I22" s="60" t="s">
        <v>81</v>
      </c>
      <c r="J22" s="69" t="s">
        <v>61</v>
      </c>
      <c r="K22" s="72"/>
      <c r="L22" s="72"/>
      <c r="M22" s="73"/>
    </row>
    <row r="23" spans="1:13" s="26" customFormat="1" x14ac:dyDescent="0.3">
      <c r="A23" s="19">
        <v>20</v>
      </c>
      <c r="B23" s="32" t="s">
        <v>23</v>
      </c>
      <c r="C23" s="24">
        <v>1075627483</v>
      </c>
      <c r="D23" s="65"/>
      <c r="E23" s="24">
        <v>158000</v>
      </c>
      <c r="F23" s="39">
        <f>+$K$1-E23</f>
        <v>0</v>
      </c>
      <c r="G23" s="39">
        <v>158000</v>
      </c>
      <c r="H23" s="39">
        <f>G23-15000</f>
        <v>143000</v>
      </c>
      <c r="I23" s="25" t="s">
        <v>22</v>
      </c>
      <c r="J23" s="25" t="s">
        <v>84</v>
      </c>
    </row>
    <row r="24" spans="1:13" s="26" customFormat="1" x14ac:dyDescent="0.3">
      <c r="A24" s="19">
        <v>21</v>
      </c>
      <c r="B24" s="32" t="s">
        <v>24</v>
      </c>
      <c r="C24" s="24" t="s">
        <v>43</v>
      </c>
      <c r="D24" s="65"/>
      <c r="E24" s="24">
        <v>158000</v>
      </c>
      <c r="F24" s="39">
        <f>+$K$1-E24</f>
        <v>0</v>
      </c>
      <c r="G24" s="39">
        <v>158000</v>
      </c>
      <c r="H24" s="39">
        <f t="shared" ref="H24:H25" si="2">G24-15000</f>
        <v>143000</v>
      </c>
      <c r="I24" s="25" t="s">
        <v>22</v>
      </c>
      <c r="J24" s="25" t="s">
        <v>84</v>
      </c>
    </row>
    <row r="25" spans="1:13" s="26" customFormat="1" x14ac:dyDescent="0.3">
      <c r="A25" s="19">
        <v>22</v>
      </c>
      <c r="B25" s="32" t="s">
        <v>41</v>
      </c>
      <c r="C25" s="24" t="s">
        <v>42</v>
      </c>
      <c r="D25" s="65"/>
      <c r="E25" s="24">
        <v>158000</v>
      </c>
      <c r="F25" s="39">
        <f>+$K$1-E25</f>
        <v>0</v>
      </c>
      <c r="G25" s="39">
        <v>158000</v>
      </c>
      <c r="H25" s="39">
        <f t="shared" si="2"/>
        <v>143000</v>
      </c>
      <c r="I25" s="25" t="s">
        <v>22</v>
      </c>
      <c r="J25" s="25" t="s">
        <v>84</v>
      </c>
    </row>
    <row r="26" spans="1:13" s="27" customFormat="1" x14ac:dyDescent="0.3">
      <c r="A26" s="19">
        <v>23</v>
      </c>
      <c r="B26" s="32" t="s">
        <v>25</v>
      </c>
      <c r="C26" s="24">
        <v>1075629463</v>
      </c>
      <c r="D26" s="23"/>
      <c r="E26" s="24">
        <v>158000</v>
      </c>
      <c r="F26" s="39">
        <f>+$K$1-E26</f>
        <v>0</v>
      </c>
      <c r="G26" s="39">
        <v>158000</v>
      </c>
      <c r="H26" s="39">
        <f>G26-15000</f>
        <v>143000</v>
      </c>
      <c r="I26" s="25" t="s">
        <v>22</v>
      </c>
      <c r="J26" s="25" t="s">
        <v>84</v>
      </c>
    </row>
    <row r="27" spans="1:13" s="31" customFormat="1" x14ac:dyDescent="0.3">
      <c r="A27" s="59"/>
      <c r="B27" s="33" t="s">
        <v>26</v>
      </c>
      <c r="C27" s="29" t="s">
        <v>27</v>
      </c>
      <c r="D27" s="28"/>
      <c r="E27" s="29">
        <v>15000</v>
      </c>
      <c r="F27" s="48"/>
      <c r="G27" s="48">
        <v>15000</v>
      </c>
      <c r="H27" s="48">
        <v>15000</v>
      </c>
      <c r="I27" s="60" t="s">
        <v>82</v>
      </c>
      <c r="J27" s="30" t="s">
        <v>84</v>
      </c>
    </row>
    <row r="28" spans="1:13" s="27" customFormat="1" x14ac:dyDescent="0.3">
      <c r="A28" s="19">
        <v>24</v>
      </c>
      <c r="B28" s="23" t="s">
        <v>28</v>
      </c>
      <c r="C28" s="62">
        <v>1075628972</v>
      </c>
      <c r="D28" s="23"/>
      <c r="E28" s="24">
        <v>158000</v>
      </c>
      <c r="F28" s="39">
        <f>+$K$1-E28</f>
        <v>0</v>
      </c>
      <c r="G28" s="39">
        <v>158000</v>
      </c>
      <c r="H28" s="39">
        <f>G28-15000</f>
        <v>143000</v>
      </c>
      <c r="I28" s="25" t="s">
        <v>22</v>
      </c>
      <c r="J28" s="25" t="s">
        <v>84</v>
      </c>
    </row>
    <row r="29" spans="1:13" s="31" customFormat="1" x14ac:dyDescent="0.3">
      <c r="A29" s="59"/>
      <c r="B29" s="28" t="s">
        <v>29</v>
      </c>
      <c r="C29" s="29" t="s">
        <v>30</v>
      </c>
      <c r="E29" s="29">
        <v>15000</v>
      </c>
      <c r="F29" s="48"/>
      <c r="G29" s="48">
        <v>15000</v>
      </c>
      <c r="H29" s="48">
        <v>15000</v>
      </c>
      <c r="I29" s="60" t="s">
        <v>83</v>
      </c>
      <c r="J29" s="30" t="s">
        <v>84</v>
      </c>
    </row>
    <row r="30" spans="1:13" ht="13.5" customHeight="1" x14ac:dyDescent="0.3">
      <c r="A30" s="19">
        <v>25</v>
      </c>
      <c r="B30" s="46" t="s">
        <v>32</v>
      </c>
      <c r="C30" s="38">
        <v>19379613</v>
      </c>
      <c r="D30" s="47"/>
      <c r="E30" s="39"/>
      <c r="F30" s="39">
        <f t="shared" ref="F30:F47" si="3">+$K$1-E30</f>
        <v>158000</v>
      </c>
      <c r="G30" s="39">
        <v>158000</v>
      </c>
      <c r="H30" s="39">
        <f>G30-15000</f>
        <v>143000</v>
      </c>
      <c r="I30" s="36" t="s">
        <v>45</v>
      </c>
      <c r="J30" s="25" t="s">
        <v>84</v>
      </c>
    </row>
    <row r="31" spans="1:13" ht="15" customHeight="1" x14ac:dyDescent="0.3">
      <c r="A31" s="19">
        <v>26</v>
      </c>
      <c r="B31" s="46" t="s">
        <v>33</v>
      </c>
      <c r="C31" s="38">
        <v>20617454</v>
      </c>
      <c r="D31" s="47">
        <v>3118391625</v>
      </c>
      <c r="E31" s="39">
        <v>158000</v>
      </c>
      <c r="F31" s="39">
        <f t="shared" si="3"/>
        <v>0</v>
      </c>
      <c r="G31" s="39">
        <v>158000</v>
      </c>
      <c r="H31" s="39">
        <f t="shared" ref="H31:H46" si="4">G31-15000</f>
        <v>143000</v>
      </c>
      <c r="I31" s="36"/>
      <c r="J31" s="36" t="s">
        <v>53</v>
      </c>
    </row>
    <row r="32" spans="1:13" ht="15" customHeight="1" x14ac:dyDescent="0.3">
      <c r="A32" s="19">
        <v>27</v>
      </c>
      <c r="B32" s="46" t="s">
        <v>34</v>
      </c>
      <c r="C32" s="38">
        <v>21013189</v>
      </c>
      <c r="D32" s="47">
        <v>3005487923</v>
      </c>
      <c r="E32" s="39">
        <v>158000</v>
      </c>
      <c r="F32" s="39">
        <f t="shared" si="3"/>
        <v>0</v>
      </c>
      <c r="G32" s="39">
        <v>158000</v>
      </c>
      <c r="H32" s="39">
        <f t="shared" si="4"/>
        <v>143000</v>
      </c>
      <c r="I32" s="36"/>
      <c r="J32" s="36" t="s">
        <v>53</v>
      </c>
    </row>
    <row r="33" spans="1:10" ht="15" customHeight="1" x14ac:dyDescent="0.3">
      <c r="A33" s="19">
        <v>28</v>
      </c>
      <c r="B33" s="46" t="s">
        <v>35</v>
      </c>
      <c r="C33" s="38">
        <v>52505200</v>
      </c>
      <c r="D33" s="47">
        <v>3103253144</v>
      </c>
      <c r="E33" s="39">
        <v>158000</v>
      </c>
      <c r="F33" s="39">
        <f t="shared" si="3"/>
        <v>0</v>
      </c>
      <c r="G33" s="39">
        <v>158000</v>
      </c>
      <c r="H33" s="39">
        <f t="shared" si="4"/>
        <v>143000</v>
      </c>
      <c r="I33" s="36"/>
      <c r="J33" s="25" t="s">
        <v>84</v>
      </c>
    </row>
    <row r="34" spans="1:10" ht="15" customHeight="1" x14ac:dyDescent="0.3">
      <c r="A34" s="19">
        <v>29</v>
      </c>
      <c r="B34" s="36" t="s">
        <v>36</v>
      </c>
      <c r="C34" s="38">
        <v>80355465</v>
      </c>
      <c r="D34" s="47">
        <v>3103253144</v>
      </c>
      <c r="E34" s="39">
        <v>158000</v>
      </c>
      <c r="F34" s="39">
        <f t="shared" si="3"/>
        <v>0</v>
      </c>
      <c r="G34" s="39">
        <v>158000</v>
      </c>
      <c r="H34" s="39">
        <f t="shared" si="4"/>
        <v>143000</v>
      </c>
      <c r="I34" s="36"/>
      <c r="J34" s="25" t="s">
        <v>84</v>
      </c>
    </row>
    <row r="35" spans="1:10" ht="15" customHeight="1" x14ac:dyDescent="0.3">
      <c r="A35" s="19">
        <v>30</v>
      </c>
      <c r="B35" s="36" t="s">
        <v>85</v>
      </c>
      <c r="C35" s="38">
        <v>51555030</v>
      </c>
      <c r="D35" s="47"/>
      <c r="E35" s="39"/>
      <c r="F35" s="39">
        <f t="shared" si="3"/>
        <v>158000</v>
      </c>
      <c r="G35" s="39">
        <v>158000</v>
      </c>
      <c r="H35" s="39">
        <f t="shared" si="4"/>
        <v>143000</v>
      </c>
      <c r="I35" s="36" t="s">
        <v>109</v>
      </c>
      <c r="J35" s="36" t="s">
        <v>53</v>
      </c>
    </row>
    <row r="36" spans="1:10" ht="15" customHeight="1" x14ac:dyDescent="0.3">
      <c r="A36" s="19">
        <v>31</v>
      </c>
      <c r="B36" s="36" t="s">
        <v>86</v>
      </c>
      <c r="C36" s="38">
        <v>20870887</v>
      </c>
      <c r="D36" s="47"/>
      <c r="E36" s="39"/>
      <c r="F36" s="39">
        <f t="shared" si="3"/>
        <v>158000</v>
      </c>
      <c r="G36" s="39">
        <v>158000</v>
      </c>
      <c r="H36" s="39">
        <f t="shared" si="4"/>
        <v>143000</v>
      </c>
      <c r="I36" s="36" t="s">
        <v>109</v>
      </c>
      <c r="J36" s="36" t="s">
        <v>53</v>
      </c>
    </row>
    <row r="37" spans="1:10" ht="15" customHeight="1" x14ac:dyDescent="0.3">
      <c r="A37" s="19">
        <v>32</v>
      </c>
      <c r="B37" s="36" t="s">
        <v>87</v>
      </c>
      <c r="C37" s="38">
        <v>3149053</v>
      </c>
      <c r="D37" s="47"/>
      <c r="E37" s="39"/>
      <c r="F37" s="39">
        <f t="shared" si="3"/>
        <v>158000</v>
      </c>
      <c r="G37" s="39">
        <v>158000</v>
      </c>
      <c r="H37" s="39">
        <f t="shared" si="4"/>
        <v>143000</v>
      </c>
      <c r="I37" s="36" t="s">
        <v>109</v>
      </c>
      <c r="J37" s="36" t="s">
        <v>53</v>
      </c>
    </row>
    <row r="38" spans="1:10" ht="15" customHeight="1" x14ac:dyDescent="0.3">
      <c r="A38" s="19">
        <v>33</v>
      </c>
      <c r="B38" s="36" t="s">
        <v>88</v>
      </c>
      <c r="C38" s="38">
        <v>52121214</v>
      </c>
      <c r="D38" s="47"/>
      <c r="E38" s="39"/>
      <c r="F38" s="39">
        <f t="shared" si="3"/>
        <v>158000</v>
      </c>
      <c r="G38" s="39">
        <v>158000</v>
      </c>
      <c r="H38" s="39">
        <f t="shared" si="4"/>
        <v>143000</v>
      </c>
      <c r="I38" s="36" t="s">
        <v>109</v>
      </c>
      <c r="J38" s="36" t="s">
        <v>53</v>
      </c>
    </row>
    <row r="39" spans="1:10" ht="15" customHeight="1" x14ac:dyDescent="0.3">
      <c r="A39" s="19">
        <v>34</v>
      </c>
      <c r="B39" s="36" t="s">
        <v>89</v>
      </c>
      <c r="C39" s="38">
        <v>52121401</v>
      </c>
      <c r="D39" s="47"/>
      <c r="E39" s="39"/>
      <c r="F39" s="39">
        <f t="shared" si="3"/>
        <v>158000</v>
      </c>
      <c r="G39" s="39">
        <v>158000</v>
      </c>
      <c r="H39" s="39">
        <f t="shared" si="4"/>
        <v>143000</v>
      </c>
      <c r="I39" s="36" t="s">
        <v>109</v>
      </c>
      <c r="J39" s="36" t="s">
        <v>53</v>
      </c>
    </row>
    <row r="40" spans="1:10" ht="15" customHeight="1" x14ac:dyDescent="0.3">
      <c r="A40" s="19">
        <v>35</v>
      </c>
      <c r="B40" s="36" t="s">
        <v>90</v>
      </c>
      <c r="C40" s="38">
        <v>20872307</v>
      </c>
      <c r="D40" s="47"/>
      <c r="E40" s="39"/>
      <c r="F40" s="39">
        <f t="shared" si="3"/>
        <v>158000</v>
      </c>
      <c r="G40" s="39">
        <v>158000</v>
      </c>
      <c r="H40" s="39">
        <f t="shared" si="4"/>
        <v>143000</v>
      </c>
      <c r="I40" s="36" t="s">
        <v>109</v>
      </c>
      <c r="J40" s="36" t="s">
        <v>53</v>
      </c>
    </row>
    <row r="41" spans="1:10" ht="15" customHeight="1" x14ac:dyDescent="0.3">
      <c r="A41" s="19">
        <v>36</v>
      </c>
      <c r="B41" s="36" t="s">
        <v>91</v>
      </c>
      <c r="C41" s="38" t="s">
        <v>108</v>
      </c>
      <c r="D41" s="47"/>
      <c r="E41" s="39"/>
      <c r="F41" s="39">
        <f t="shared" si="3"/>
        <v>158000</v>
      </c>
      <c r="G41" s="39">
        <v>158000</v>
      </c>
      <c r="H41" s="39">
        <f t="shared" si="4"/>
        <v>143000</v>
      </c>
      <c r="I41" s="36" t="s">
        <v>109</v>
      </c>
      <c r="J41" s="36" t="s">
        <v>53</v>
      </c>
    </row>
    <row r="42" spans="1:10" ht="15" customHeight="1" x14ac:dyDescent="0.3">
      <c r="A42" s="19">
        <v>37</v>
      </c>
      <c r="B42" s="36" t="s">
        <v>92</v>
      </c>
      <c r="C42" s="38">
        <v>1019982014</v>
      </c>
      <c r="D42" s="47"/>
      <c r="E42" s="39"/>
      <c r="F42" s="39">
        <f t="shared" si="3"/>
        <v>158000</v>
      </c>
      <c r="G42" s="39">
        <v>158000</v>
      </c>
      <c r="H42" s="39">
        <f t="shared" si="4"/>
        <v>143000</v>
      </c>
      <c r="I42" s="36" t="s">
        <v>109</v>
      </c>
      <c r="J42" s="36" t="s">
        <v>53</v>
      </c>
    </row>
    <row r="43" spans="1:10" ht="15" customHeight="1" x14ac:dyDescent="0.3">
      <c r="A43" s="19">
        <v>38</v>
      </c>
      <c r="B43" s="36" t="s">
        <v>93</v>
      </c>
      <c r="C43" s="38">
        <v>32002224</v>
      </c>
      <c r="D43" s="47"/>
      <c r="E43" s="39"/>
      <c r="F43" s="39">
        <f t="shared" si="3"/>
        <v>158000</v>
      </c>
      <c r="G43" s="39">
        <v>158000</v>
      </c>
      <c r="H43" s="39">
        <f t="shared" si="4"/>
        <v>143000</v>
      </c>
      <c r="I43" s="36" t="s">
        <v>109</v>
      </c>
      <c r="J43" s="36" t="s">
        <v>53</v>
      </c>
    </row>
    <row r="44" spans="1:10" ht="15" customHeight="1" x14ac:dyDescent="0.3">
      <c r="A44" s="19">
        <v>39</v>
      </c>
      <c r="B44" s="36" t="s">
        <v>94</v>
      </c>
      <c r="C44" s="38">
        <v>1073628742</v>
      </c>
      <c r="D44" s="47"/>
      <c r="E44" s="39"/>
      <c r="F44" s="39">
        <f t="shared" si="3"/>
        <v>158000</v>
      </c>
      <c r="G44" s="39">
        <v>158000</v>
      </c>
      <c r="H44" s="39">
        <f t="shared" si="4"/>
        <v>143000</v>
      </c>
      <c r="I44" s="36" t="s">
        <v>109</v>
      </c>
      <c r="J44" s="36" t="s">
        <v>53</v>
      </c>
    </row>
    <row r="45" spans="1:10" ht="15" customHeight="1" x14ac:dyDescent="0.3">
      <c r="A45" s="19">
        <v>40</v>
      </c>
      <c r="B45" s="36" t="s">
        <v>95</v>
      </c>
      <c r="C45" s="38">
        <v>1072430851</v>
      </c>
      <c r="D45" s="47"/>
      <c r="E45" s="39"/>
      <c r="F45" s="39">
        <f t="shared" si="3"/>
        <v>158000</v>
      </c>
      <c r="G45" s="39">
        <v>158000</v>
      </c>
      <c r="H45" s="39">
        <f t="shared" si="4"/>
        <v>143000</v>
      </c>
      <c r="I45" s="36" t="s">
        <v>109</v>
      </c>
      <c r="J45" s="36" t="s">
        <v>53</v>
      </c>
    </row>
    <row r="46" spans="1:10" ht="15" customHeight="1" x14ac:dyDescent="0.3">
      <c r="A46" s="19">
        <v>41</v>
      </c>
      <c r="B46" s="36" t="s">
        <v>96</v>
      </c>
      <c r="C46" s="38">
        <v>51651341</v>
      </c>
      <c r="D46" s="47"/>
      <c r="E46" s="39"/>
      <c r="F46" s="39">
        <f t="shared" si="3"/>
        <v>158000</v>
      </c>
      <c r="G46" s="39">
        <v>158000</v>
      </c>
      <c r="H46" s="39">
        <f t="shared" si="4"/>
        <v>143000</v>
      </c>
      <c r="I46" s="36" t="s">
        <v>109</v>
      </c>
      <c r="J46" s="36" t="s">
        <v>53</v>
      </c>
    </row>
    <row r="47" spans="1:10" ht="15" customHeight="1" x14ac:dyDescent="0.3">
      <c r="A47" s="19">
        <v>42</v>
      </c>
      <c r="B47" s="36" t="s">
        <v>97</v>
      </c>
      <c r="C47" s="38">
        <v>1073630149</v>
      </c>
      <c r="D47" s="47"/>
      <c r="E47" s="39"/>
      <c r="F47" s="39">
        <f t="shared" si="3"/>
        <v>158000</v>
      </c>
      <c r="G47" s="39">
        <v>158000</v>
      </c>
      <c r="H47" s="39">
        <f>G47-15000</f>
        <v>143000</v>
      </c>
      <c r="I47" s="36" t="s">
        <v>109</v>
      </c>
      <c r="J47" s="36" t="s">
        <v>53</v>
      </c>
    </row>
    <row r="48" spans="1:10" s="31" customFormat="1" ht="15" customHeight="1" x14ac:dyDescent="0.3">
      <c r="A48" s="59"/>
      <c r="B48" s="28" t="s">
        <v>98</v>
      </c>
      <c r="C48" s="66">
        <v>1073630608</v>
      </c>
      <c r="D48" s="51"/>
      <c r="E48" s="48">
        <v>15000</v>
      </c>
      <c r="F48" s="48"/>
      <c r="G48" s="48">
        <v>15000</v>
      </c>
      <c r="H48" s="48">
        <v>15000</v>
      </c>
      <c r="I48" s="28" t="s">
        <v>109</v>
      </c>
      <c r="J48" s="28" t="s">
        <v>53</v>
      </c>
    </row>
    <row r="49" spans="1:13" ht="15" customHeight="1" x14ac:dyDescent="0.3">
      <c r="A49" s="19">
        <v>43</v>
      </c>
      <c r="B49" s="36" t="s">
        <v>99</v>
      </c>
      <c r="C49" s="38">
        <v>1073630154</v>
      </c>
      <c r="D49" s="47"/>
      <c r="E49" s="39"/>
      <c r="F49" s="39">
        <f t="shared" ref="F49:F56" si="5">+$K$1-E49</f>
        <v>158000</v>
      </c>
      <c r="G49" s="39">
        <v>158000</v>
      </c>
      <c r="H49" s="39">
        <f>G49-15000</f>
        <v>143000</v>
      </c>
      <c r="I49" s="36" t="s">
        <v>109</v>
      </c>
      <c r="J49" s="36" t="s">
        <v>53</v>
      </c>
    </row>
    <row r="50" spans="1:13" ht="15" customHeight="1" x14ac:dyDescent="0.3">
      <c r="A50" s="19">
        <v>44</v>
      </c>
      <c r="B50" s="36" t="s">
        <v>100</v>
      </c>
      <c r="C50" s="38" t="s">
        <v>101</v>
      </c>
      <c r="D50" s="47"/>
      <c r="E50" s="39"/>
      <c r="F50" s="39">
        <f t="shared" si="5"/>
        <v>158000</v>
      </c>
      <c r="G50" s="39">
        <v>158000</v>
      </c>
      <c r="H50" s="39">
        <f t="shared" ref="H50:H56" si="6">G50-15000</f>
        <v>143000</v>
      </c>
      <c r="I50" s="36" t="s">
        <v>109</v>
      </c>
      <c r="J50" s="36" t="s">
        <v>53</v>
      </c>
    </row>
    <row r="51" spans="1:13" ht="15" customHeight="1" x14ac:dyDescent="0.3">
      <c r="A51" s="19">
        <v>45</v>
      </c>
      <c r="B51" s="36" t="s">
        <v>102</v>
      </c>
      <c r="C51" s="38">
        <v>20870935</v>
      </c>
      <c r="D51" s="47"/>
      <c r="E51" s="39"/>
      <c r="F51" s="39">
        <f t="shared" si="5"/>
        <v>158000</v>
      </c>
      <c r="G51" s="39">
        <v>158000</v>
      </c>
      <c r="H51" s="39">
        <f t="shared" si="6"/>
        <v>143000</v>
      </c>
      <c r="I51" s="36" t="s">
        <v>109</v>
      </c>
      <c r="J51" s="36" t="s">
        <v>53</v>
      </c>
    </row>
    <row r="52" spans="1:13" ht="15" customHeight="1" x14ac:dyDescent="0.3">
      <c r="A52" s="19">
        <v>46</v>
      </c>
      <c r="B52" s="36" t="s">
        <v>103</v>
      </c>
      <c r="C52" s="38">
        <v>11450342</v>
      </c>
      <c r="D52" s="47"/>
      <c r="E52" s="39"/>
      <c r="F52" s="39">
        <f t="shared" si="5"/>
        <v>158000</v>
      </c>
      <c r="G52" s="39">
        <v>158000</v>
      </c>
      <c r="H52" s="39">
        <f t="shared" si="6"/>
        <v>143000</v>
      </c>
      <c r="I52" s="36" t="s">
        <v>109</v>
      </c>
      <c r="J52" s="36" t="s">
        <v>53</v>
      </c>
    </row>
    <row r="53" spans="1:13" ht="15" customHeight="1" x14ac:dyDescent="0.3">
      <c r="A53" s="19">
        <v>47</v>
      </c>
      <c r="B53" s="36" t="s">
        <v>104</v>
      </c>
      <c r="C53" s="38">
        <v>43043664</v>
      </c>
      <c r="D53" s="47"/>
      <c r="E53" s="39"/>
      <c r="F53" s="39">
        <f t="shared" si="5"/>
        <v>158000</v>
      </c>
      <c r="G53" s="39">
        <v>158000</v>
      </c>
      <c r="H53" s="39">
        <f t="shared" si="6"/>
        <v>143000</v>
      </c>
      <c r="I53" s="36" t="s">
        <v>109</v>
      </c>
      <c r="J53" s="36" t="s">
        <v>53</v>
      </c>
    </row>
    <row r="54" spans="1:13" ht="15" customHeight="1" x14ac:dyDescent="0.3">
      <c r="A54" s="19">
        <v>48</v>
      </c>
      <c r="B54" s="36" t="s">
        <v>105</v>
      </c>
      <c r="C54" s="38">
        <v>35318090</v>
      </c>
      <c r="D54" s="47"/>
      <c r="E54" s="39"/>
      <c r="F54" s="39">
        <f t="shared" si="5"/>
        <v>158000</v>
      </c>
      <c r="G54" s="39">
        <v>158000</v>
      </c>
      <c r="H54" s="39">
        <f t="shared" si="6"/>
        <v>143000</v>
      </c>
      <c r="I54" s="57" t="s">
        <v>109</v>
      </c>
      <c r="J54" s="36" t="s">
        <v>53</v>
      </c>
    </row>
    <row r="55" spans="1:13" ht="15" customHeight="1" x14ac:dyDescent="0.3">
      <c r="A55" s="19">
        <v>49</v>
      </c>
      <c r="B55" s="36" t="s">
        <v>106</v>
      </c>
      <c r="C55" s="38">
        <v>41538273</v>
      </c>
      <c r="D55" s="47"/>
      <c r="E55" s="39"/>
      <c r="F55" s="39">
        <f t="shared" si="5"/>
        <v>158000</v>
      </c>
      <c r="G55" s="39">
        <v>158000</v>
      </c>
      <c r="H55" s="39">
        <f t="shared" si="6"/>
        <v>143000</v>
      </c>
      <c r="I55" s="57" t="s">
        <v>109</v>
      </c>
      <c r="J55" s="36" t="s">
        <v>53</v>
      </c>
    </row>
    <row r="56" spans="1:13" ht="15" customHeight="1" x14ac:dyDescent="0.3">
      <c r="A56" s="19">
        <v>50</v>
      </c>
      <c r="B56" s="36" t="s">
        <v>107</v>
      </c>
      <c r="C56" s="38">
        <v>41590076</v>
      </c>
      <c r="D56" s="47"/>
      <c r="E56" s="39"/>
      <c r="F56" s="39">
        <f t="shared" si="5"/>
        <v>158000</v>
      </c>
      <c r="G56" s="39">
        <v>158000</v>
      </c>
      <c r="H56" s="39">
        <f t="shared" si="6"/>
        <v>143000</v>
      </c>
      <c r="I56" s="57" t="s">
        <v>109</v>
      </c>
      <c r="J56" s="36" t="s">
        <v>53</v>
      </c>
    </row>
    <row r="57" spans="1:13" s="81" customFormat="1" ht="15" customHeight="1" x14ac:dyDescent="0.3">
      <c r="A57" s="74">
        <v>51</v>
      </c>
      <c r="B57" s="75" t="s">
        <v>19</v>
      </c>
      <c r="C57" s="76">
        <v>79538678</v>
      </c>
      <c r="D57" s="77"/>
      <c r="E57" s="78"/>
      <c r="F57" s="78"/>
      <c r="G57" s="79"/>
      <c r="H57" s="79"/>
      <c r="I57" s="80" t="s">
        <v>4</v>
      </c>
      <c r="J57" s="77"/>
    </row>
    <row r="58" spans="1:13" s="81" customFormat="1" ht="15" customHeight="1" x14ac:dyDescent="0.3">
      <c r="A58" s="74">
        <v>52</v>
      </c>
      <c r="B58" s="75" t="s">
        <v>74</v>
      </c>
      <c r="C58" s="82">
        <v>52231833</v>
      </c>
      <c r="D58" s="77"/>
      <c r="E58" s="83"/>
      <c r="F58" s="84"/>
      <c r="G58" s="85"/>
      <c r="H58" s="85"/>
      <c r="I58" s="80" t="s">
        <v>4</v>
      </c>
      <c r="J58" s="77"/>
      <c r="K58" s="86"/>
      <c r="L58" s="87"/>
      <c r="M58" s="74"/>
    </row>
    <row r="59" spans="1:13" s="81" customFormat="1" ht="15" customHeight="1" x14ac:dyDescent="0.3">
      <c r="A59" s="74">
        <v>53</v>
      </c>
      <c r="B59" s="75" t="s">
        <v>20</v>
      </c>
      <c r="C59" s="76">
        <v>79656808</v>
      </c>
      <c r="D59" s="77">
        <v>3108628246</v>
      </c>
      <c r="E59" s="78"/>
      <c r="F59" s="78"/>
      <c r="G59" s="79"/>
      <c r="H59" s="79"/>
      <c r="I59" s="80" t="s">
        <v>4</v>
      </c>
      <c r="J59" s="77"/>
    </row>
    <row r="60" spans="1:13" s="81" customFormat="1" ht="15" customHeight="1" x14ac:dyDescent="0.3">
      <c r="A60" s="74">
        <v>54</v>
      </c>
      <c r="B60" s="75" t="s">
        <v>77</v>
      </c>
      <c r="C60" s="76">
        <v>1075628177</v>
      </c>
      <c r="D60" s="77">
        <v>3134043843</v>
      </c>
      <c r="E60" s="78"/>
      <c r="F60" s="78"/>
      <c r="G60" s="79"/>
      <c r="H60" s="79"/>
      <c r="I60" s="80" t="s">
        <v>4</v>
      </c>
      <c r="J60" s="77"/>
    </row>
    <row r="61" spans="1:13" s="81" customFormat="1" ht="15" customHeight="1" x14ac:dyDescent="0.3">
      <c r="A61" s="74">
        <v>55</v>
      </c>
      <c r="B61" s="75" t="s">
        <v>110</v>
      </c>
      <c r="C61" s="76">
        <v>11451496</v>
      </c>
      <c r="D61" s="77"/>
      <c r="E61" s="78"/>
      <c r="F61" s="78"/>
      <c r="G61" s="79"/>
      <c r="H61" s="79"/>
      <c r="I61" s="80" t="s">
        <v>4</v>
      </c>
      <c r="J61" s="77"/>
    </row>
    <row r="62" spans="1:13" x14ac:dyDescent="0.3">
      <c r="A62" s="36"/>
      <c r="B62" s="36"/>
      <c r="C62" s="38"/>
      <c r="D62" s="2" t="s">
        <v>5</v>
      </c>
      <c r="E62" s="39">
        <f>SUM(E30:E59)</f>
        <v>647000</v>
      </c>
      <c r="F62" s="40">
        <f>SUM(F23:F59)</f>
        <v>3476000</v>
      </c>
      <c r="G62" s="88">
        <f>SUM(G3:G61)</f>
        <v>7960000</v>
      </c>
      <c r="H62" s="88">
        <f>SUM(H3:H61)</f>
        <v>7210000</v>
      </c>
      <c r="I62" s="57"/>
      <c r="J62" s="36"/>
    </row>
    <row r="63" spans="1:13" ht="19.5" thickBot="1" x14ac:dyDescent="0.35">
      <c r="A63" s="41"/>
      <c r="B63" s="28" t="s">
        <v>31</v>
      </c>
      <c r="C63" s="42"/>
      <c r="D63" s="3" t="s">
        <v>6</v>
      </c>
      <c r="E63" s="43"/>
      <c r="F63" s="43">
        <f>+F62+E62</f>
        <v>4123000</v>
      </c>
      <c r="G63" s="67"/>
      <c r="H63" s="67"/>
      <c r="I63" s="63"/>
      <c r="J63" s="36"/>
    </row>
    <row r="64" spans="1:13" ht="19.5" thickBot="1" x14ac:dyDescent="0.35">
      <c r="A64" s="64"/>
      <c r="B64" s="36" t="s">
        <v>40</v>
      </c>
    </row>
    <row r="65" spans="1:10" x14ac:dyDescent="0.3">
      <c r="B65" s="36" t="s">
        <v>44</v>
      </c>
    </row>
    <row r="70" spans="1:10" s="31" customFormat="1" ht="15" customHeight="1" x14ac:dyDescent="0.3">
      <c r="A70" s="28"/>
      <c r="B70" s="49" t="s">
        <v>38</v>
      </c>
      <c r="C70" s="50" t="s">
        <v>37</v>
      </c>
      <c r="D70" s="51" t="s">
        <v>39</v>
      </c>
      <c r="E70" s="48"/>
      <c r="F70" s="48"/>
      <c r="G70" s="48"/>
      <c r="H70" s="48"/>
      <c r="I70" s="28"/>
      <c r="J70" s="58"/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0"/>
  <sheetViews>
    <sheetView tabSelected="1" workbookViewId="0">
      <selection activeCell="C15" sqref="C15"/>
    </sheetView>
  </sheetViews>
  <sheetFormatPr baseColWidth="10" defaultRowHeight="15" x14ac:dyDescent="0.25"/>
  <cols>
    <col min="2" max="2" width="38" bestFit="1" customWidth="1"/>
    <col min="3" max="3" width="18.7109375" bestFit="1" customWidth="1"/>
    <col min="4" max="4" width="13.85546875" bestFit="1" customWidth="1"/>
    <col min="6" max="6" width="21.140625" bestFit="1" customWidth="1"/>
    <col min="7" max="7" width="15.42578125" bestFit="1" customWidth="1"/>
    <col min="8" max="8" width="15.28515625" bestFit="1" customWidth="1"/>
    <col min="10" max="10" width="18" bestFit="1" customWidth="1"/>
    <col min="11" max="11" width="17.140625" bestFit="1" customWidth="1"/>
  </cols>
  <sheetData>
    <row r="2" spans="2:8" ht="21" x14ac:dyDescent="0.35">
      <c r="B2" s="90" t="s">
        <v>9</v>
      </c>
      <c r="C2" s="90"/>
      <c r="D2" s="4"/>
      <c r="E2" s="4"/>
      <c r="F2" s="90" t="s">
        <v>10</v>
      </c>
      <c r="G2" s="90"/>
      <c r="H2" s="7">
        <v>15000</v>
      </c>
    </row>
    <row r="3" spans="2:8" ht="21" x14ac:dyDescent="0.35">
      <c r="B3" s="5" t="s">
        <v>11</v>
      </c>
      <c r="C3" s="8">
        <v>3400000</v>
      </c>
      <c r="D3" s="4"/>
      <c r="E3" s="4"/>
      <c r="F3" s="5" t="s">
        <v>21</v>
      </c>
      <c r="G3" s="9">
        <v>21</v>
      </c>
      <c r="H3" s="10">
        <f>+G3*$H$2</f>
        <v>315000</v>
      </c>
    </row>
    <row r="4" spans="2:8" ht="21" x14ac:dyDescent="0.35">
      <c r="B4" s="5" t="s">
        <v>12</v>
      </c>
      <c r="C4" s="8">
        <v>120000</v>
      </c>
      <c r="D4" s="4"/>
      <c r="E4" s="4"/>
      <c r="F4" s="5" t="s">
        <v>119</v>
      </c>
      <c r="G4" s="9">
        <v>8</v>
      </c>
      <c r="H4" s="10">
        <f>+G4*$H$2</f>
        <v>120000</v>
      </c>
    </row>
    <row r="5" spans="2:8" ht="21" x14ac:dyDescent="0.35">
      <c r="B5" s="5" t="s">
        <v>115</v>
      </c>
      <c r="C5" s="8">
        <v>1500000</v>
      </c>
      <c r="D5" s="11"/>
      <c r="E5" s="4"/>
      <c r="F5" s="5" t="s">
        <v>22</v>
      </c>
      <c r="G5" s="9">
        <v>5</v>
      </c>
      <c r="H5" s="10">
        <f>+G5*$H$2</f>
        <v>75000</v>
      </c>
    </row>
    <row r="6" spans="2:8" ht="21" x14ac:dyDescent="0.35">
      <c r="B6" s="5" t="s">
        <v>114</v>
      </c>
      <c r="C6" s="8">
        <v>200000</v>
      </c>
      <c r="D6" s="4"/>
      <c r="E6" s="4"/>
      <c r="F6" s="93" t="s">
        <v>117</v>
      </c>
      <c r="G6" s="5">
        <v>6</v>
      </c>
      <c r="H6" s="10">
        <f t="shared" ref="H6:H7" si="0">+G6*$H$2</f>
        <v>90000</v>
      </c>
    </row>
    <row r="7" spans="2:8" ht="21" x14ac:dyDescent="0.35">
      <c r="B7" s="5" t="s">
        <v>116</v>
      </c>
      <c r="C7" s="92">
        <v>177000</v>
      </c>
      <c r="D7" s="4"/>
      <c r="E7" s="4"/>
      <c r="F7" s="5" t="s">
        <v>118</v>
      </c>
      <c r="G7" s="5">
        <v>10</v>
      </c>
      <c r="H7" s="10">
        <f t="shared" si="0"/>
        <v>150000</v>
      </c>
    </row>
    <row r="8" spans="2:8" ht="21" x14ac:dyDescent="0.35">
      <c r="B8" s="5" t="s">
        <v>120</v>
      </c>
      <c r="C8" s="8">
        <v>120000</v>
      </c>
      <c r="D8" s="4"/>
      <c r="E8" s="4"/>
      <c r="F8" s="94" t="s">
        <v>13</v>
      </c>
      <c r="G8" s="95">
        <f>SUM(G3:G7)</f>
        <v>50</v>
      </c>
      <c r="H8" s="10">
        <f>SUM(H3:H7)</f>
        <v>750000</v>
      </c>
    </row>
    <row r="9" spans="2:8" ht="21" x14ac:dyDescent="0.35">
      <c r="B9" s="5"/>
      <c r="C9" s="8"/>
      <c r="D9" s="4"/>
      <c r="E9" s="4"/>
    </row>
    <row r="10" spans="2:8" ht="21" x14ac:dyDescent="0.35">
      <c r="B10" s="5" t="s">
        <v>10</v>
      </c>
      <c r="C10" s="8">
        <f>+H8</f>
        <v>750000</v>
      </c>
      <c r="D10" s="4"/>
      <c r="E10" s="4"/>
      <c r="F10" s="12"/>
      <c r="G10" s="13"/>
      <c r="H10" s="14"/>
    </row>
    <row r="11" spans="2:8" ht="21" x14ac:dyDescent="0.35">
      <c r="B11" s="5" t="s">
        <v>13</v>
      </c>
      <c r="C11" s="8">
        <f>SUM(C3:C10)</f>
        <v>6267000</v>
      </c>
      <c r="D11" s="4"/>
      <c r="E11" s="4"/>
      <c r="F11" s="4"/>
      <c r="G11" s="15"/>
      <c r="H11" s="4"/>
    </row>
    <row r="12" spans="2:8" ht="21" x14ac:dyDescent="0.35">
      <c r="B12" s="4"/>
      <c r="C12" s="16"/>
      <c r="D12" s="4"/>
      <c r="E12" s="4"/>
      <c r="F12" s="4"/>
      <c r="G12" s="15"/>
      <c r="H12" s="96"/>
    </row>
    <row r="13" spans="2:8" ht="21" x14ac:dyDescent="0.35">
      <c r="B13" s="5" t="s">
        <v>14</v>
      </c>
      <c r="C13" s="88">
        <f>'BUS Y SALDOS '!G62</f>
        <v>7960000</v>
      </c>
      <c r="D13" s="4"/>
      <c r="E13" s="5">
        <f>+'BUS Y SALDOS '!A56</f>
        <v>50</v>
      </c>
      <c r="F13" s="5" t="s">
        <v>17</v>
      </c>
      <c r="G13" s="15"/>
      <c r="H13" s="17"/>
    </row>
    <row r="14" spans="2:8" ht="21" x14ac:dyDescent="0.35">
      <c r="B14" s="5" t="s">
        <v>15</v>
      </c>
      <c r="C14" s="91">
        <f>+C13-C11</f>
        <v>1693000</v>
      </c>
      <c r="D14" s="4"/>
      <c r="E14" s="5">
        <v>5</v>
      </c>
      <c r="F14" s="5" t="s">
        <v>18</v>
      </c>
      <c r="G14" s="15"/>
      <c r="H14" s="4"/>
    </row>
    <row r="15" spans="2:8" ht="21" x14ac:dyDescent="0.35">
      <c r="B15" s="4"/>
      <c r="C15" s="16"/>
      <c r="D15" s="4"/>
      <c r="E15" s="5">
        <f>+E13+E14</f>
        <v>55</v>
      </c>
      <c r="F15" s="5" t="s">
        <v>13</v>
      </c>
      <c r="G15" s="15"/>
      <c r="H15" s="4"/>
    </row>
    <row r="16" spans="2:8" x14ac:dyDescent="0.25">
      <c r="D16" s="1"/>
      <c r="G16" s="6"/>
    </row>
    <row r="17" spans="3:7" x14ac:dyDescent="0.25">
      <c r="G17" s="6"/>
    </row>
    <row r="18" spans="3:7" x14ac:dyDescent="0.25">
      <c r="C18" s="18"/>
      <c r="G18" s="6"/>
    </row>
    <row r="19" spans="3:7" x14ac:dyDescent="0.25">
      <c r="G19" s="6"/>
    </row>
    <row r="20" spans="3:7" x14ac:dyDescent="0.25">
      <c r="C20" s="18"/>
      <c r="G20" s="6"/>
    </row>
  </sheetData>
  <mergeCells count="2">
    <mergeCell ref="B2:C2"/>
    <mergeCell ref="F2:G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 Y SALDOS </vt:lpstr>
      <vt:lpstr>COSTOS Y GASTOS 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DANIELA STEFANI  CRUZ MORENO</cp:lastModifiedBy>
  <cp:lastPrinted>2023-01-16T23:55:30Z</cp:lastPrinted>
  <dcterms:created xsi:type="dcterms:W3CDTF">2022-06-14T21:13:15Z</dcterms:created>
  <dcterms:modified xsi:type="dcterms:W3CDTF">2023-11-23T20:26:40Z</dcterms:modified>
</cp:coreProperties>
</file>