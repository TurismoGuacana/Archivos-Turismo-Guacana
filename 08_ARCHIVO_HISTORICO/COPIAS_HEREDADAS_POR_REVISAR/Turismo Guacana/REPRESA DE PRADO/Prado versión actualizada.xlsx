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REPRESA DE PRADO\"/>
    </mc:Choice>
  </mc:AlternateContent>
  <xr:revisionPtr revIDLastSave="0" documentId="13_ncr:1_{28011789-49A4-4495-8384-5652E6595438}" xr6:coauthVersionLast="47" xr6:coauthVersionMax="47" xr10:uidLastSave="{00000000-0000-0000-0000-000000000000}"/>
  <bookViews>
    <workbookView xWindow="-120" yWindow="-120" windowWidth="20730" windowHeight="11040" xr2:uid="{3F025BE2-64CE-479E-95EE-151CAC9ECFD6}"/>
  </bookViews>
  <sheets>
    <sheet name="Hoja1" sheetId="1" r:id="rId1"/>
    <sheet name="Hoja8" sheetId="9" r:id="rId2"/>
    <sheet name="BUS ANAPOIMA 1" sheetId="6" r:id="rId3"/>
    <sheet name="BUS APULO 1" sheetId="7" r:id="rId4"/>
    <sheet name="BUS APULO 2" sheetId="8" r:id="rId5"/>
    <sheet name="Hoja5" sheetId="5" r:id="rId6"/>
    <sheet name="Hoja2" sheetId="2" r:id="rId7"/>
    <sheet name="Hoja3" sheetId="3" r:id="rId8"/>
    <sheet name="Hoja4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6" i="1" l="1"/>
  <c r="G120" i="1"/>
  <c r="G106" i="1"/>
  <c r="G105" i="1"/>
  <c r="G104" i="1"/>
  <c r="F3" i="9"/>
  <c r="J7" i="9"/>
  <c r="G103" i="1"/>
  <c r="G7" i="9"/>
  <c r="F6" i="9"/>
  <c r="F5" i="9"/>
  <c r="F4" i="9"/>
  <c r="F2" i="9"/>
  <c r="I43" i="8"/>
  <c r="I42" i="8"/>
  <c r="I41" i="8"/>
  <c r="I40" i="8"/>
  <c r="I39" i="8"/>
  <c r="I38" i="8"/>
  <c r="G32" i="8"/>
  <c r="G20" i="8"/>
  <c r="G9" i="8"/>
  <c r="G8" i="8"/>
  <c r="G7" i="8"/>
  <c r="G5" i="8"/>
  <c r="G4" i="8"/>
  <c r="G3" i="8"/>
  <c r="G2" i="8"/>
  <c r="I47" i="7"/>
  <c r="H47" i="7"/>
  <c r="H46" i="7"/>
  <c r="H45" i="7"/>
  <c r="H44" i="7"/>
  <c r="H43" i="7"/>
  <c r="H42" i="7"/>
  <c r="F39" i="7"/>
  <c r="F38" i="7"/>
  <c r="F37" i="7"/>
  <c r="F36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I46" i="6"/>
  <c r="I44" i="6"/>
  <c r="I43" i="6"/>
  <c r="I42" i="6"/>
  <c r="I45" i="6"/>
  <c r="G32" i="6"/>
  <c r="G38" i="6"/>
  <c r="G37" i="6"/>
  <c r="G36" i="6"/>
  <c r="G35" i="6"/>
  <c r="G34" i="6"/>
  <c r="G33" i="6"/>
  <c r="G31" i="6"/>
  <c r="G30" i="6"/>
  <c r="G29" i="6"/>
  <c r="G27" i="6"/>
  <c r="G156" i="1"/>
  <c r="G22" i="6"/>
  <c r="G20" i="6"/>
  <c r="G19" i="6"/>
  <c r="G18" i="6"/>
  <c r="G15" i="6"/>
  <c r="G11" i="6"/>
  <c r="G10" i="6"/>
  <c r="G9" i="6"/>
  <c r="G5" i="6"/>
  <c r="G3" i="6"/>
  <c r="J159" i="1"/>
  <c r="J157" i="1"/>
  <c r="J156" i="1"/>
  <c r="J155" i="1"/>
  <c r="G114" i="1"/>
  <c r="G69" i="1"/>
  <c r="C151" i="5"/>
  <c r="E156" i="5"/>
  <c r="C155" i="5"/>
  <c r="C154" i="5"/>
  <c r="C153" i="5"/>
  <c r="C152" i="5"/>
  <c r="J167" i="1"/>
  <c r="J158" i="1"/>
  <c r="K160" i="1"/>
  <c r="G115" i="1"/>
  <c r="F40" i="4"/>
  <c r="F39" i="4"/>
  <c r="F38" i="4"/>
  <c r="F37" i="4"/>
  <c r="F36" i="4"/>
  <c r="F35" i="4"/>
  <c r="F34" i="4"/>
  <c r="F33" i="4"/>
  <c r="G155" i="1"/>
  <c r="F74" i="3"/>
  <c r="F63" i="3"/>
  <c r="F62" i="3"/>
  <c r="F61" i="3"/>
  <c r="F59" i="3"/>
  <c r="F58" i="3"/>
  <c r="F57" i="3"/>
  <c r="F56" i="3"/>
  <c r="F55" i="3"/>
  <c r="F54" i="3"/>
  <c r="F53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19" i="3"/>
  <c r="F18" i="3"/>
  <c r="F16" i="3"/>
  <c r="F15" i="3"/>
  <c r="F14" i="3"/>
  <c r="F12" i="3"/>
  <c r="F23" i="2"/>
  <c r="F21" i="2"/>
  <c r="F20" i="2"/>
  <c r="F19" i="2"/>
  <c r="F16" i="2"/>
  <c r="F12" i="2"/>
  <c r="F11" i="2"/>
  <c r="F10" i="2"/>
  <c r="F6" i="2"/>
  <c r="F4" i="2"/>
  <c r="G160" i="1"/>
  <c r="M161" i="1"/>
  <c r="M160" i="1"/>
  <c r="M159" i="1"/>
  <c r="M158" i="1"/>
  <c r="M157" i="1"/>
  <c r="M156" i="1"/>
  <c r="M155" i="1"/>
  <c r="G159" i="1"/>
  <c r="G113" i="1"/>
  <c r="G158" i="1"/>
  <c r="G157" i="1"/>
  <c r="S7" i="1"/>
  <c r="G112" i="1"/>
  <c r="G111" i="1"/>
  <c r="G102" i="1"/>
  <c r="G138" i="1"/>
  <c r="G110" i="1"/>
  <c r="G109" i="1"/>
  <c r="G86" i="1"/>
  <c r="G131" i="1"/>
  <c r="G130" i="1"/>
  <c r="G129" i="1"/>
  <c r="G128" i="1"/>
  <c r="G127" i="1"/>
  <c r="G126" i="1"/>
  <c r="G9" i="1"/>
  <c r="G121" i="1"/>
  <c r="G119" i="1"/>
  <c r="G118" i="1"/>
  <c r="G117" i="1"/>
  <c r="G41" i="1"/>
  <c r="G108" i="1"/>
  <c r="G107" i="1"/>
  <c r="G101" i="1"/>
  <c r="G97" i="1"/>
  <c r="G96" i="1"/>
  <c r="G95" i="1"/>
  <c r="G94" i="1"/>
  <c r="G93" i="1"/>
  <c r="G92" i="1"/>
  <c r="G91" i="1"/>
  <c r="G90" i="1"/>
  <c r="G89" i="1"/>
  <c r="G88" i="1"/>
  <c r="G87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0" i="1"/>
  <c r="G71" i="1"/>
  <c r="G68" i="1"/>
  <c r="G67" i="1"/>
  <c r="G65" i="1"/>
  <c r="G64" i="1"/>
  <c r="G63" i="1"/>
  <c r="G53" i="1"/>
  <c r="G52" i="1"/>
  <c r="G43" i="1"/>
  <c r="G14" i="1"/>
  <c r="G10" i="1"/>
  <c r="G8" i="1"/>
  <c r="G4" i="1"/>
  <c r="G2" i="1"/>
  <c r="D165" i="1" l="1"/>
  <c r="D164" i="1"/>
  <c r="D167" i="1"/>
  <c r="F7" i="9"/>
  <c r="I47" i="6"/>
  <c r="C156" i="5"/>
  <c r="G165" i="1"/>
  <c r="G161" i="1"/>
  <c r="M1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</author>
  </authors>
  <commentList>
    <comment ref="A51" authorId="0" shapeId="0" xr:uid="{BCA575B1-BA1B-4939-884B-D40C9D523B3B}">
      <text>
        <r>
          <rPr>
            <b/>
            <sz val="9"/>
            <color indexed="81"/>
            <rFont val="Tahoma"/>
            <family val="2"/>
          </rPr>
          <t>Daniela: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<sst xmlns="http://schemas.openxmlformats.org/spreadsheetml/2006/main" count="2429" uniqueCount="261">
  <si>
    <t>N°</t>
  </si>
  <si>
    <t>NOMBRE</t>
  </si>
  <si>
    <t>T.D</t>
  </si>
  <si>
    <t>N°.D</t>
  </si>
  <si>
    <t>FECHA D.N</t>
  </si>
  <si>
    <t>TELEFONO</t>
  </si>
  <si>
    <t>MUNICIPIO</t>
  </si>
  <si>
    <t>ABONO</t>
  </si>
  <si>
    <t>DEUDA</t>
  </si>
  <si>
    <t>VALOR</t>
  </si>
  <si>
    <t>COMISIÓN</t>
  </si>
  <si>
    <t>COMISIONISTAS</t>
  </si>
  <si>
    <t>C.C.</t>
  </si>
  <si>
    <t>APULO</t>
  </si>
  <si>
    <t>LAD</t>
  </si>
  <si>
    <t>ANAPOIMA</t>
  </si>
  <si>
    <t>Tatiana Isabel Cogollo Cantillo</t>
  </si>
  <si>
    <t>310 379 7045</t>
  </si>
  <si>
    <t>22 de abril del 2003</t>
  </si>
  <si>
    <t>Jelen yulied Diaz parra</t>
  </si>
  <si>
    <t>Adriana marcela tarra hernandez</t>
  </si>
  <si>
    <t>TETE</t>
  </si>
  <si>
    <t>""</t>
  </si>
  <si>
    <t>TOCAIMA</t>
  </si>
  <si>
    <t>Jose Bladimir Muñoz Bolivar</t>
  </si>
  <si>
    <t>María Hilda Luz Bolivar Zapata</t>
  </si>
  <si>
    <t>Visitacion lazo guerrero</t>
  </si>
  <si>
    <t xml:space="preserve">Carol Yineth Roa Lazo </t>
  </si>
  <si>
    <t>July Paola roa lazo</t>
  </si>
  <si>
    <t>Angel Antonio Sanchez Moreno</t>
  </si>
  <si>
    <t>Luz Mary Mendoza Junca</t>
  </si>
  <si>
    <t>Luis Alejandro Sanchez Mendoza</t>
  </si>
  <si>
    <t>T.I</t>
  </si>
  <si>
    <t>Dayana Pardo</t>
  </si>
  <si>
    <t>MAFE</t>
  </si>
  <si>
    <t>Luis Duarte</t>
  </si>
  <si>
    <t xml:space="preserve">Gabriel Cabrera </t>
  </si>
  <si>
    <t>r.c</t>
  </si>
  <si>
    <t>Luz Ángela Berrio</t>
  </si>
  <si>
    <t>Junio-27 1984</t>
  </si>
  <si>
    <t>Nancy Espinosa</t>
  </si>
  <si>
    <t>Diego Alejandro Rodríguez Patiño</t>
  </si>
  <si>
    <t>Myriam Guzmán</t>
  </si>
  <si>
    <t xml:space="preserve">Liceth Camila Rojas Montenegro </t>
  </si>
  <si>
    <t xml:space="preserve">Edison Samuel Acosta Rojas </t>
  </si>
  <si>
    <t>Luis Orlando Contreras Soler</t>
  </si>
  <si>
    <t>Luz Marina Muñoz Ramirez</t>
  </si>
  <si>
    <t>321 919 1190</t>
  </si>
  <si>
    <t>Teresa Luna Suarez</t>
  </si>
  <si>
    <t>311 881 9452</t>
  </si>
  <si>
    <t>Edilma Forero Avila</t>
  </si>
  <si>
    <t>Carmen Lucia Lozano</t>
  </si>
  <si>
    <t>312 490 0754</t>
  </si>
  <si>
    <t>314 207 7028</t>
  </si>
  <si>
    <t>313  819 6871</t>
  </si>
  <si>
    <t>Piedad Angulo</t>
  </si>
  <si>
    <t>320 820 9563</t>
  </si>
  <si>
    <t>-</t>
  </si>
  <si>
    <t xml:space="preserve">Leonor Martinez </t>
  </si>
  <si>
    <t xml:space="preserve">Camilo bernal </t>
  </si>
  <si>
    <t>MENÚ</t>
  </si>
  <si>
    <t>MOJARRA SUDADA</t>
  </si>
  <si>
    <t>COSTILLAS BBQ</t>
  </si>
  <si>
    <t>MOJARRA FRITA</t>
  </si>
  <si>
    <t>EDAD</t>
  </si>
  <si>
    <t>62 años</t>
  </si>
  <si>
    <t>Diana Paola Patiño salazar</t>
  </si>
  <si>
    <t>7 AÑOS</t>
  </si>
  <si>
    <t>40 AÑOS</t>
  </si>
  <si>
    <t xml:space="preserve">Deicy Carrillo Lozano de Garzon </t>
  </si>
  <si>
    <t>Edith Carrillo Lozano</t>
  </si>
  <si>
    <t>PECHUGA</t>
  </si>
  <si>
    <t>MOJARRA</t>
  </si>
  <si>
    <t>Hernando Ramos</t>
  </si>
  <si>
    <t>María Jesus Tocua</t>
  </si>
  <si>
    <t>71 años</t>
  </si>
  <si>
    <t>77 años</t>
  </si>
  <si>
    <t>Pedro Emilio Saravia Murillo</t>
  </si>
  <si>
    <t>Gloria Alicia Moreno Vergara</t>
  </si>
  <si>
    <t>Maria Clara Barragan</t>
  </si>
  <si>
    <t>Maria Patricia Cortes Gantiva</t>
  </si>
  <si>
    <t>Carmen Elisa Gonzalez Gantiva</t>
  </si>
  <si>
    <t>Elsy Lozano</t>
  </si>
  <si>
    <t>mayo 4 de 1962</t>
  </si>
  <si>
    <t xml:space="preserve"> Daniel Ramirez</t>
  </si>
  <si>
    <t>10 de abril de 1956</t>
  </si>
  <si>
    <t>Tania Ramírez</t>
  </si>
  <si>
    <t>28 de enero de 1989</t>
  </si>
  <si>
    <t>EMPRESA</t>
  </si>
  <si>
    <t>puestos adelante</t>
  </si>
  <si>
    <t>dolor lumbal</t>
  </si>
  <si>
    <t>311 885 0768</t>
  </si>
  <si>
    <t>Danny Mauricio Quijano Garzón</t>
  </si>
  <si>
    <t>321 464 8191</t>
  </si>
  <si>
    <t>321 9472558</t>
  </si>
  <si>
    <t>Diana Castro Lopez</t>
  </si>
  <si>
    <t>Yanid Garzón Peña</t>
  </si>
  <si>
    <t>Eidy Milena Casilimas  Rincón</t>
  </si>
  <si>
    <t xml:space="preserve">Ronald Stive Quijano </t>
  </si>
  <si>
    <t>Armando Lozano Cortes</t>
  </si>
  <si>
    <t>66 años</t>
  </si>
  <si>
    <t>FRANCY ROMERO SANABRIA</t>
  </si>
  <si>
    <t>EDITH</t>
  </si>
  <si>
    <t>FLORINDA DAZA MARIN</t>
  </si>
  <si>
    <t>JOHANA SALCEDO ALFONSO</t>
  </si>
  <si>
    <t>ROSALBA SALCEDO ALFONSO</t>
  </si>
  <si>
    <t>CLEOLTILDE CHACON</t>
  </si>
  <si>
    <t>AMINTA REYES</t>
  </si>
  <si>
    <t>SENAIDA GARCIA REYES</t>
  </si>
  <si>
    <t>RAFAELA LOZANO</t>
  </si>
  <si>
    <t>MELQUISIDED CORTES GARCIA</t>
  </si>
  <si>
    <t>AURORA PATIÑO</t>
  </si>
  <si>
    <t>LEIDY ALEJANDRA PAEZ PATIÑO</t>
  </si>
  <si>
    <t>DANNA SOFIA PARAMO PAEZ</t>
  </si>
  <si>
    <t>EDNA PAEZ PATIÑO</t>
  </si>
  <si>
    <t>SALOME OSPINA REYES</t>
  </si>
  <si>
    <t>MAURICIO OSPINA VALENCIA</t>
  </si>
  <si>
    <t>YENY MARCELA REYES PATIÑO</t>
  </si>
  <si>
    <t>BLANCA A. HERNANDEZ CAMPOS</t>
  </si>
  <si>
    <t>FLOR MARIA LOZANO</t>
  </si>
  <si>
    <t>DIEGO ALEXANDER JIMENEZ TORRES</t>
  </si>
  <si>
    <t>JOSE NICOLAS JIMENEZ LOZANO</t>
  </si>
  <si>
    <t>GINA MARCELA TORRES ACOSTA</t>
  </si>
  <si>
    <t>20/06/0985</t>
  </si>
  <si>
    <t>ANA EDITH MORENO SILVA</t>
  </si>
  <si>
    <t>GENOVEVA GONZALEZ GIL</t>
  </si>
  <si>
    <t>JACKELINE GONZALEZ GIL</t>
  </si>
  <si>
    <t>MARIA DE LOS ANGELES VARGAS H.</t>
  </si>
  <si>
    <t>GABRIELA ALZATE</t>
  </si>
  <si>
    <t>MARIA ALICIA MANCERA</t>
  </si>
  <si>
    <t>JOSE VICENTE MIRANDA</t>
  </si>
  <si>
    <t>ROSA  NELLY RINCKOAR REYES</t>
  </si>
  <si>
    <t>PATRICIA MORENO</t>
  </si>
  <si>
    <t>09/10/</t>
  </si>
  <si>
    <t>EDWIN DAVID GOMEZ MORENO</t>
  </si>
  <si>
    <t>SORAIDA GARCIA CANO</t>
  </si>
  <si>
    <t>CRISTIAN ASADIEL BARAHA GARCIA</t>
  </si>
  <si>
    <t>MARIA OFELIA PATIÑO</t>
  </si>
  <si>
    <t>PECHUGA A LA PLANCHA</t>
  </si>
  <si>
    <t>LOMO DE CERDO</t>
  </si>
  <si>
    <t xml:space="preserve">LEIDY  JOHANNA GARCIA </t>
  </si>
  <si>
    <t>Martha Lucía garcia  fuentes</t>
  </si>
  <si>
    <t xml:space="preserve">Jhon Fredy López Hernández </t>
  </si>
  <si>
    <t>Matias Lozano Días</t>
  </si>
  <si>
    <t>10 años</t>
  </si>
  <si>
    <t>Ceira Marlenny Tapias Toloza</t>
  </si>
  <si>
    <t>MARIA LILIANA CONTRERAS BERNAL</t>
  </si>
  <si>
    <t xml:space="preserve">AMPARO MELO BECERRA </t>
  </si>
  <si>
    <t>HULANDAS</t>
  </si>
  <si>
    <t>Rosalba Forero Guatame</t>
  </si>
  <si>
    <t>Luz Adriana torres forero</t>
  </si>
  <si>
    <t>María Fernanda Benavides</t>
  </si>
  <si>
    <t>TOTAL</t>
  </si>
  <si>
    <t>José Muñoz Quiroja</t>
  </si>
  <si>
    <t xml:space="preserve">Lilia Montenegro </t>
  </si>
  <si>
    <t>María Elena Andrae</t>
  </si>
  <si>
    <t xml:space="preserve">Martha Constanza Martínez </t>
  </si>
  <si>
    <t>Luz Marina Gloria</t>
  </si>
  <si>
    <t>JHONATAN</t>
  </si>
  <si>
    <t>MIREYA</t>
  </si>
  <si>
    <t>JORGE LÓPEZ MORENO</t>
  </si>
  <si>
    <t>ESTER ESCOBAR MONCADA</t>
  </si>
  <si>
    <t>ELSY LÓPEZ ESCOBAR</t>
  </si>
  <si>
    <t xml:space="preserve">LUZ LÓPEZ ESCOBAR </t>
  </si>
  <si>
    <t>310 7817921</t>
  </si>
  <si>
    <t>Mireya Reyes</t>
  </si>
  <si>
    <t xml:space="preserve">Carlos Alfonso Maecha </t>
  </si>
  <si>
    <t>Elisabet Gomez</t>
  </si>
  <si>
    <t>Luz Amparo López Rodriguez</t>
  </si>
  <si>
    <t>54 AÑOS</t>
  </si>
  <si>
    <t xml:space="preserve">QUIERE LA </t>
  </si>
  <si>
    <t>MAS GRANDE Y</t>
  </si>
  <si>
    <t>LOS PRIMEROS</t>
  </si>
  <si>
    <t>PUESTOS</t>
  </si>
  <si>
    <t>317 779 3004</t>
  </si>
  <si>
    <t>320 856 8079</t>
  </si>
  <si>
    <t>CELULAR</t>
  </si>
  <si>
    <t>Graciela Diaz</t>
  </si>
  <si>
    <t>Ligia Diaz</t>
  </si>
  <si>
    <t>Mercedes Rincon Vargas</t>
  </si>
  <si>
    <t>28 AÑOS</t>
  </si>
  <si>
    <t>DANIEL FELIPE ACUÑA PAEZ</t>
  </si>
  <si>
    <t>MARTHA CECILIA ACOSTA CLAVIJO</t>
  </si>
  <si>
    <t>JOSE DEL CARMEN MUÑOZ ALDANA</t>
  </si>
  <si>
    <t>Margarita Pinzón Galindo</t>
  </si>
  <si>
    <t>Danna Valentina Robayo Pinzón</t>
  </si>
  <si>
    <t xml:space="preserve">Teresa soler Balbuena </t>
  </si>
  <si>
    <t>ANA ELISA PORRAS PAEZ</t>
  </si>
  <si>
    <t>LUIS SANCHEZ</t>
  </si>
  <si>
    <t>OLGA LUCIA CASALLAS</t>
  </si>
  <si>
    <t>MARTHA LUCIA MORENO</t>
  </si>
  <si>
    <t>Maria Angelica Villamil Sierra</t>
  </si>
  <si>
    <t>Fidel Eduardo Pineda Quiñones</t>
  </si>
  <si>
    <t>Natalia Bonilla Villamil</t>
  </si>
  <si>
    <t>DANIELA CRUZ</t>
  </si>
  <si>
    <t>Adelina Ramos Acosta</t>
  </si>
  <si>
    <t>Soralla murillo prieto</t>
  </si>
  <si>
    <t>William Alexander Cifuentes Heredia</t>
  </si>
  <si>
    <t>Graciela Santamaria</t>
  </si>
  <si>
    <t>313 2040930</t>
  </si>
  <si>
    <t>Isidoro Cuervo</t>
  </si>
  <si>
    <t>C.C</t>
  </si>
  <si>
    <t xml:space="preserve">JAIRO REYES GARCIA </t>
  </si>
  <si>
    <t xml:space="preserve">MOJARRA FRITA </t>
  </si>
  <si>
    <t>LILIA DEL CARMEN CASTRO PAEZ</t>
  </si>
  <si>
    <t>Fabio Ladino</t>
  </si>
  <si>
    <t>1.102 877.848</t>
  </si>
  <si>
    <t>52. 344.312</t>
  </si>
  <si>
    <t>52. 231.833</t>
  </si>
  <si>
    <t>20. 870.757</t>
  </si>
  <si>
    <t>11. 294.271</t>
  </si>
  <si>
    <t xml:space="preserve"> rosmary castaño</t>
  </si>
  <si>
    <t>Jacob López Roa</t>
  </si>
  <si>
    <t>Columna1</t>
  </si>
  <si>
    <t>M.F</t>
  </si>
  <si>
    <t>M.S</t>
  </si>
  <si>
    <t>CBBQ</t>
  </si>
  <si>
    <t>LOMO</t>
  </si>
  <si>
    <t>Claudia Villamil Sierra</t>
  </si>
  <si>
    <t>Gloria Ocampo</t>
  </si>
  <si>
    <t>Marleny Castro</t>
  </si>
  <si>
    <t>Geraldine Garcia</t>
  </si>
  <si>
    <t>Edid Garzón Peña</t>
  </si>
  <si>
    <t>Amelia Marentes</t>
  </si>
  <si>
    <t>Deicy María Casilimas</t>
  </si>
  <si>
    <t>67 años</t>
  </si>
  <si>
    <t xml:space="preserve">Yina Ayala Lopez </t>
  </si>
  <si>
    <t xml:space="preserve">Sandra liliana Díaz Betancourt </t>
  </si>
  <si>
    <t>PALOQUEMAO</t>
  </si>
  <si>
    <t>ELIECER DAZA</t>
  </si>
  <si>
    <t>WESLY DANIEL REYES GARCIA</t>
  </si>
  <si>
    <t>SOFIA REYES GARCIA</t>
  </si>
  <si>
    <t>ANGEL REYES GARCIA</t>
  </si>
  <si>
    <t>ISABEL LOZANO CUELLAR</t>
  </si>
  <si>
    <t>MESETA</t>
  </si>
  <si>
    <t>Evan Samuel López Roa</t>
  </si>
  <si>
    <t>N.D</t>
  </si>
  <si>
    <t>COMISIONISTA</t>
  </si>
  <si>
    <t>COSTILLAS</t>
  </si>
  <si>
    <t>LM</t>
  </si>
  <si>
    <t>PC</t>
  </si>
  <si>
    <t>Cristina Sierra Morales</t>
  </si>
  <si>
    <t>Edgar Garzón</t>
  </si>
  <si>
    <t>YA</t>
  </si>
  <si>
    <t>Luisa Villamil</t>
  </si>
  <si>
    <t>Adriana marcela Tarra hernandez</t>
  </si>
  <si>
    <t>Jorge Eliecer Daza</t>
  </si>
  <si>
    <t>Luz Martha Cardenas Gil</t>
  </si>
  <si>
    <t>Amelia Llorente</t>
  </si>
  <si>
    <t>Maria noralba Valero Montilla</t>
  </si>
  <si>
    <t>Mario Moreno</t>
  </si>
  <si>
    <t>MF</t>
  </si>
  <si>
    <t>MS</t>
  </si>
  <si>
    <t>CBB</t>
  </si>
  <si>
    <t>MOJARRA F</t>
  </si>
  <si>
    <t>MOJARRA S</t>
  </si>
  <si>
    <t>ANGEL ESTEBAN REYES GARCIA</t>
  </si>
  <si>
    <t>Mariana Bonilla Villamil</t>
  </si>
  <si>
    <t>Angelica Pineda</t>
  </si>
  <si>
    <t>Lucy Carrillo Lozano</t>
  </si>
  <si>
    <t>María Eugenia 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</si>
</sst>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3" fontId="0" fillId="0" borderId="0" xfId="0" applyNumberFormat="1" applyFont="1" applyBorder="1" applyAlignment="1">
      <alignment horizontal="center"/>
    </xf>
    <xf numFmtId="0" fontId="0" fillId="3" borderId="0" xfId="0" applyFont="1" applyFill="1" applyBorder="1"/>
    <xf numFmtId="3" fontId="0" fillId="0" borderId="0" xfId="0" applyNumberFormat="1" applyFont="1" applyBorder="1" applyAlignment="1">
      <alignment horizontal="center" vertical="center"/>
    </xf>
    <xf numFmtId="0" fontId="0" fillId="3" borderId="0" xfId="0" applyFont="1" applyFill="1" applyBorder="1" applyAlignment="1">
      <alignment horizontal="center"/>
    </xf>
    <xf numFmtId="0" fontId="0" fillId="4" borderId="0" xfId="0" applyFont="1" applyFill="1" applyBorder="1"/>
    <xf numFmtId="0" fontId="0" fillId="4" borderId="0" xfId="0" applyFont="1" applyFill="1" applyBorder="1" applyAlignment="1">
      <alignment horizontal="center"/>
    </xf>
    <xf numFmtId="15" fontId="0" fillId="0" borderId="0" xfId="0" applyNumberFormat="1" applyFont="1" applyBorder="1" applyAlignment="1">
      <alignment horizontal="center"/>
    </xf>
    <xf numFmtId="0" fontId="0" fillId="6" borderId="0" xfId="0" applyFont="1" applyFill="1" applyBorder="1"/>
    <xf numFmtId="0" fontId="0" fillId="5" borderId="0" xfId="0" applyFont="1" applyFill="1" applyBorder="1" applyAlignment="1">
      <alignment horizontal="center"/>
    </xf>
    <xf numFmtId="3" fontId="0" fillId="5" borderId="0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horizontal="center"/>
    </xf>
    <xf numFmtId="14" fontId="0" fillId="5" borderId="0" xfId="0" applyNumberFormat="1" applyFont="1" applyFill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14" fontId="0" fillId="0" borderId="0" xfId="0" applyNumberFormat="1" applyFont="1" applyBorder="1"/>
    <xf numFmtId="14" fontId="0" fillId="0" borderId="0" xfId="0" applyNumberFormat="1" applyFont="1" applyBorder="1" applyAlignment="1">
      <alignment vertical="center" wrapText="1"/>
    </xf>
    <xf numFmtId="3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2" borderId="0" xfId="0" applyFont="1" applyFill="1"/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2" borderId="0" xfId="0" applyFont="1" applyFill="1" applyAlignment="1">
      <alignment horizontal="center"/>
    </xf>
    <xf numFmtId="3" fontId="0" fillId="0" borderId="0" xfId="0" applyNumberFormat="1" applyFont="1" applyAlignment="1">
      <alignment horizontal="center" vertical="center"/>
    </xf>
    <xf numFmtId="15" fontId="0" fillId="0" borderId="0" xfId="0" applyNumberFormat="1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/>
    <xf numFmtId="14" fontId="0" fillId="0" borderId="0" xfId="0" applyNumberFormat="1" applyFont="1" applyAlignment="1">
      <alignment horizontal="center"/>
    </xf>
    <xf numFmtId="3" fontId="0" fillId="0" borderId="0" xfId="0" applyNumberFormat="1" applyFont="1" applyFill="1" applyBorder="1" applyAlignment="1">
      <alignment horizontal="center"/>
    </xf>
    <xf numFmtId="0" fontId="0" fillId="3" borderId="0" xfId="0" applyFont="1" applyFill="1"/>
    <xf numFmtId="0" fontId="0" fillId="7" borderId="0" xfId="0" applyFont="1" applyFill="1" applyBorder="1" applyAlignment="1">
      <alignment horizontal="center"/>
    </xf>
    <xf numFmtId="0" fontId="0" fillId="8" borderId="0" xfId="0" applyFont="1" applyFill="1" applyBorder="1" applyAlignment="1">
      <alignment horizontal="center"/>
    </xf>
    <xf numFmtId="0" fontId="0" fillId="9" borderId="0" xfId="0" applyFont="1" applyFill="1" applyBorder="1" applyAlignment="1">
      <alignment horizontal="center"/>
    </xf>
    <xf numFmtId="0" fontId="0" fillId="4" borderId="0" xfId="0" applyFont="1" applyFill="1"/>
    <xf numFmtId="0" fontId="0" fillId="0" borderId="1" xfId="0" applyFont="1" applyBorder="1" applyAlignment="1">
      <alignment horizontal="center"/>
    </xf>
    <xf numFmtId="0" fontId="0" fillId="3" borderId="1" xfId="0" applyFont="1" applyFill="1" applyBorder="1"/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3" fontId="0" fillId="0" borderId="1" xfId="0" applyNumberFormat="1" applyFont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0" borderId="1" xfId="0" applyBorder="1"/>
    <xf numFmtId="0" fontId="0" fillId="6" borderId="1" xfId="0" applyFont="1" applyFill="1" applyBorder="1"/>
    <xf numFmtId="0" fontId="0" fillId="4" borderId="1" xfId="0" applyFont="1" applyFill="1" applyBorder="1" applyAlignment="1">
      <alignment horizontal="center"/>
    </xf>
    <xf numFmtId="0" fontId="0" fillId="4" borderId="1" xfId="0" applyFont="1" applyFill="1" applyBorder="1"/>
    <xf numFmtId="0" fontId="3" fillId="2" borderId="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3" fontId="0" fillId="0" borderId="1" xfId="0" applyNumberFormat="1" applyFont="1" applyBorder="1" applyAlignment="1">
      <alignment horizontal="center"/>
    </xf>
    <xf numFmtId="0" fontId="0" fillId="4" borderId="0" xfId="0" applyFill="1"/>
    <xf numFmtId="0" fontId="0" fillId="10" borderId="0" xfId="0" applyFont="1" applyFill="1" applyAlignment="1">
      <alignment horizontal="center"/>
    </xf>
    <xf numFmtId="0" fontId="0" fillId="10" borderId="0" xfId="0" applyFont="1" applyFill="1"/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13" borderId="0" xfId="0" applyFill="1"/>
    <xf numFmtId="0" fontId="0" fillId="13" borderId="1" xfId="0" applyFill="1" applyBorder="1"/>
    <xf numFmtId="0" fontId="0" fillId="2" borderId="5" xfId="0" applyFill="1" applyBorder="1" applyAlignment="1">
      <alignment horizontal="center"/>
    </xf>
    <xf numFmtId="0" fontId="0" fillId="14" borderId="0" xfId="0" applyFont="1" applyFill="1" applyAlignment="1">
      <alignment horizontal="center"/>
    </xf>
    <xf numFmtId="0" fontId="0" fillId="15" borderId="0" xfId="0" applyFont="1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16" borderId="5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3" borderId="3" xfId="0" applyFont="1" applyFill="1" applyBorder="1"/>
    <xf numFmtId="0" fontId="0" fillId="11" borderId="3" xfId="0" applyFont="1" applyFill="1" applyBorder="1" applyAlignment="1">
      <alignment horizontal="center"/>
    </xf>
    <xf numFmtId="3" fontId="0" fillId="11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3" fontId="0" fillId="0" borderId="3" xfId="0" applyNumberFormat="1" applyFont="1" applyBorder="1" applyAlignment="1">
      <alignment horizontal="center" vertical="center"/>
    </xf>
    <xf numFmtId="0" fontId="0" fillId="3" borderId="4" xfId="0" applyFont="1" applyFill="1" applyBorder="1"/>
    <xf numFmtId="0" fontId="0" fillId="11" borderId="4" xfId="0" applyFont="1" applyFill="1" applyBorder="1" applyAlignment="1">
      <alignment horizontal="center"/>
    </xf>
    <xf numFmtId="0" fontId="0" fillId="11" borderId="4" xfId="0" applyFont="1" applyFill="1" applyBorder="1" applyAlignment="1">
      <alignment horizontal="center" vertical="center"/>
    </xf>
    <xf numFmtId="3" fontId="0" fillId="11" borderId="4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 vertical="center"/>
    </xf>
    <xf numFmtId="0" fontId="4" fillId="12" borderId="3" xfId="0" applyNumberFormat="1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0" fillId="11" borderId="3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0" fillId="11" borderId="4" xfId="0" applyNumberFormat="1" applyFont="1" applyFill="1" applyBorder="1" applyAlignment="1">
      <alignment horizontal="center"/>
    </xf>
    <xf numFmtId="0" fontId="0" fillId="2" borderId="3" xfId="0" applyFont="1" applyFill="1" applyBorder="1"/>
    <xf numFmtId="0" fontId="0" fillId="2" borderId="3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3" fontId="0" fillId="5" borderId="3" xfId="0" applyNumberFormat="1" applyFont="1" applyFill="1" applyBorder="1" applyAlignment="1">
      <alignment horizontal="center" vertical="center"/>
    </xf>
    <xf numFmtId="0" fontId="0" fillId="5" borderId="3" xfId="0" applyNumberFormat="1" applyFont="1" applyFill="1" applyBorder="1" applyAlignment="1">
      <alignment horizontal="center"/>
    </xf>
    <xf numFmtId="0" fontId="0" fillId="2" borderId="4" xfId="0" applyFont="1" applyFill="1" applyBorder="1"/>
    <xf numFmtId="0" fontId="0" fillId="0" borderId="4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6" borderId="3" xfId="0" applyFont="1" applyFill="1" applyBorder="1"/>
    <xf numFmtId="0" fontId="0" fillId="4" borderId="3" xfId="0" applyFont="1" applyFill="1" applyBorder="1" applyAlignment="1">
      <alignment horizontal="center"/>
    </xf>
    <xf numFmtId="0" fontId="0" fillId="6" borderId="4" xfId="0" applyFont="1" applyFill="1" applyBorder="1"/>
    <xf numFmtId="0" fontId="0" fillId="4" borderId="4" xfId="0" applyFont="1" applyFill="1" applyBorder="1" applyAlignment="1">
      <alignment horizontal="center"/>
    </xf>
    <xf numFmtId="0" fontId="0" fillId="11" borderId="3" xfId="0" applyFont="1" applyFill="1" applyBorder="1" applyAlignment="1">
      <alignment horizontal="center" vertical="center"/>
    </xf>
    <xf numFmtId="0" fontId="0" fillId="4" borderId="3" xfId="0" applyFont="1" applyFill="1" applyBorder="1"/>
    <xf numFmtId="0" fontId="0" fillId="0" borderId="3" xfId="0" applyFont="1" applyBorder="1" applyAlignment="1">
      <alignment horizontal="center" vertical="center"/>
    </xf>
    <xf numFmtId="0" fontId="0" fillId="4" borderId="4" xfId="0" applyFont="1" applyFill="1" applyBorder="1"/>
    <xf numFmtId="0" fontId="0" fillId="2" borderId="3" xfId="0" applyFont="1" applyFill="1" applyBorder="1" applyAlignment="1">
      <alignment vertical="center" wrapText="1"/>
    </xf>
    <xf numFmtId="3" fontId="0" fillId="0" borderId="3" xfId="0" applyNumberFormat="1" applyFont="1" applyBorder="1" applyAlignment="1">
      <alignment horizontal="center"/>
    </xf>
    <xf numFmtId="3" fontId="0" fillId="11" borderId="3" xfId="0" applyNumberFormat="1" applyFont="1" applyFill="1" applyBorder="1" applyAlignment="1">
      <alignment horizontal="center"/>
    </xf>
    <xf numFmtId="3" fontId="0" fillId="11" borderId="3" xfId="0" applyNumberFormat="1" applyFont="1" applyFill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10" borderId="3" xfId="0" applyFont="1" applyFill="1" applyBorder="1"/>
    <xf numFmtId="0" fontId="0" fillId="10" borderId="3" xfId="0" applyFont="1" applyFill="1" applyBorder="1" applyAlignment="1">
      <alignment horizontal="center"/>
    </xf>
    <xf numFmtId="0" fontId="0" fillId="14" borderId="3" xfId="0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18" borderId="0" xfId="0" applyFont="1" applyFill="1" applyBorder="1" applyAlignment="1">
      <alignment horizontal="center"/>
    </xf>
    <xf numFmtId="0" fontId="0" fillId="18" borderId="1" xfId="0" applyFont="1" applyFill="1" applyBorder="1" applyAlignment="1">
      <alignment horizontal="center"/>
    </xf>
    <xf numFmtId="0" fontId="0" fillId="18" borderId="0" xfId="0" applyFont="1" applyFill="1" applyBorder="1"/>
    <xf numFmtId="0" fontId="0" fillId="18" borderId="1" xfId="0" applyFont="1" applyFill="1" applyBorder="1"/>
    <xf numFmtId="0" fontId="0" fillId="9" borderId="3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18" borderId="3" xfId="0" applyFont="1" applyFill="1" applyBorder="1"/>
    <xf numFmtId="0" fontId="0" fillId="18" borderId="3" xfId="0" applyFont="1" applyFill="1" applyBorder="1" applyAlignment="1">
      <alignment horizontal="center"/>
    </xf>
    <xf numFmtId="0" fontId="0" fillId="18" borderId="4" xfId="0" applyFont="1" applyFill="1" applyBorder="1"/>
    <xf numFmtId="0" fontId="0" fillId="18" borderId="4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19" borderId="0" xfId="0" applyFont="1" applyFill="1" applyBorder="1" applyAlignment="1">
      <alignment horizontal="center"/>
    </xf>
    <xf numFmtId="0" fontId="0" fillId="19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3" borderId="0" xfId="0" applyFont="1" applyFill="1" applyAlignment="1">
      <alignment horizontal="center" vertical="top"/>
    </xf>
    <xf numFmtId="0" fontId="0" fillId="19" borderId="3" xfId="0" applyFont="1" applyFill="1" applyBorder="1" applyAlignment="1">
      <alignment horizontal="center"/>
    </xf>
    <xf numFmtId="0" fontId="0" fillId="19" borderId="4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 vertical="top"/>
    </xf>
    <xf numFmtId="0" fontId="0" fillId="2" borderId="0" xfId="0" applyFill="1"/>
    <xf numFmtId="0" fontId="0" fillId="18" borderId="0" xfId="0" applyFill="1"/>
    <xf numFmtId="0" fontId="0" fillId="19" borderId="0" xfId="0" applyFill="1"/>
    <xf numFmtId="0" fontId="0" fillId="3" borderId="0" xfId="0" applyFill="1"/>
    <xf numFmtId="0" fontId="0" fillId="2" borderId="5" xfId="0" applyFill="1" applyBorder="1"/>
    <xf numFmtId="0" fontId="0" fillId="0" borderId="3" xfId="0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/>
    </xf>
    <xf numFmtId="14" fontId="0" fillId="11" borderId="4" xfId="0" applyNumberFormat="1" applyFon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4" fontId="0" fillId="11" borderId="3" xfId="0" applyNumberFormat="1" applyFont="1" applyFill="1" applyBorder="1" applyAlignment="1">
      <alignment horizontal="center"/>
    </xf>
    <xf numFmtId="15" fontId="0" fillId="11" borderId="3" xfId="0" applyNumberFormat="1" applyFont="1" applyFill="1" applyBorder="1" applyAlignment="1">
      <alignment horizontal="center"/>
    </xf>
    <xf numFmtId="14" fontId="0" fillId="5" borderId="3" xfId="0" applyNumberFormat="1" applyFont="1" applyFill="1" applyBorder="1" applyAlignment="1">
      <alignment horizontal="center"/>
    </xf>
    <xf numFmtId="0" fontId="0" fillId="19" borderId="0" xfId="0" applyFont="1" applyFill="1"/>
    <xf numFmtId="0" fontId="0" fillId="19" borderId="3" xfId="0" applyFont="1" applyFill="1" applyBorder="1"/>
    <xf numFmtId="15" fontId="0" fillId="0" borderId="3" xfId="0" applyNumberFormat="1" applyFont="1" applyBorder="1" applyAlignment="1">
      <alignment horizontal="center"/>
    </xf>
    <xf numFmtId="14" fontId="0" fillId="0" borderId="3" xfId="0" applyNumberFormat="1" applyFont="1" applyBorder="1"/>
    <xf numFmtId="14" fontId="0" fillId="11" borderId="3" xfId="0" applyNumberFormat="1" applyFont="1" applyFill="1" applyBorder="1"/>
    <xf numFmtId="14" fontId="0" fillId="0" borderId="4" xfId="0" applyNumberFormat="1" applyFont="1" applyBorder="1" applyAlignment="1">
      <alignment horizontal="center"/>
    </xf>
    <xf numFmtId="0" fontId="0" fillId="15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top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3" fontId="0" fillId="5" borderId="0" xfId="0" applyNumberFormat="1" applyFont="1" applyFill="1" applyAlignment="1">
      <alignment horizontal="center" vertical="center"/>
    </xf>
    <xf numFmtId="0" fontId="0" fillId="5" borderId="0" xfId="0" applyNumberFormat="1" applyFont="1" applyFill="1" applyAlignment="1">
      <alignment horizontal="center"/>
    </xf>
    <xf numFmtId="0" fontId="0" fillId="5" borderId="0" xfId="0" applyFont="1" applyFill="1" applyBorder="1"/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4" fontId="0" fillId="0" borderId="0" xfId="1" applyFont="1"/>
    <xf numFmtId="44" fontId="0" fillId="5" borderId="0" xfId="1" applyFont="1" applyFill="1"/>
    <xf numFmtId="44" fontId="0" fillId="0" borderId="1" xfId="1" applyFont="1" applyBorder="1"/>
    <xf numFmtId="44" fontId="0" fillId="0" borderId="0" xfId="1" applyFont="1" applyFill="1"/>
    <xf numFmtId="44" fontId="0" fillId="0" borderId="5" xfId="1" applyFont="1" applyBorder="1"/>
  </cellXfs>
  <cellStyles count="2">
    <cellStyle name="Moneda" xfId="1" builtinId="4"/>
    <cellStyle name="Normal" xfId="0" builtinId="0"/>
  </cellStyles>
  <dxfs count="1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CF391C-A7FB-4820-AE8C-23C75EEB784B}" name="Tabla2" displayName="Tabla2" ref="B1:P153" totalsRowShown="0" headerRowDxfId="123" dataDxfId="122">
  <autoFilter ref="B1:P153" xr:uid="{13CF391C-A7FB-4820-AE8C-23C75EEB784B}"/>
  <tableColumns count="15">
    <tableColumn id="1" xr3:uid="{0A3DD4B0-A2BB-4AAE-B2BE-5585871B5522}" name="N°" dataDxfId="121"/>
    <tableColumn id="2" xr3:uid="{E3FD3F91-5D0C-4461-B17D-B88BD7407E53}" name="NOMBRE" dataDxfId="120"/>
    <tableColumn id="3" xr3:uid="{1E720C0B-EA42-44A3-AE21-03F72EE5F1A3}" name="T.D" dataDxfId="119"/>
    <tableColumn id="4" xr3:uid="{CB6A3918-3AFA-4F42-B9F6-17E8FDE3940F}" name="N°.D" dataDxfId="118"/>
    <tableColumn id="5" xr3:uid="{395A99CA-D4DA-4AA6-A2A4-6484426F33BA}" name="FECHA D.N" dataDxfId="117"/>
    <tableColumn id="14" xr3:uid="{6C38B569-C1CF-4B44-91BA-2EA5CD776B52}" name="EDAD" dataDxfId="116"/>
    <tableColumn id="6" xr3:uid="{AD83F49B-921C-44CA-BD4D-75AAD7C22C8F}" name="TELEFONO" dataDxfId="115"/>
    <tableColumn id="7" xr3:uid="{400E5CAD-67E1-43B3-A21C-623282146BE0}" name="MUNICIPIO" dataDxfId="114"/>
    <tableColumn id="8" xr3:uid="{E7397138-ED47-477D-8DA0-9F44C616811F}" name="COMISIONISTAS" dataDxfId="113"/>
    <tableColumn id="13" xr3:uid="{3C635842-A4D6-4D95-8A37-D670E6F29174}" name="MENÚ" dataDxfId="112"/>
    <tableColumn id="9" xr3:uid="{3EF51FB5-9E01-442D-B7FC-C29BDDCE807C}" name="ABONO" dataDxfId="111"/>
    <tableColumn id="10" xr3:uid="{1AC0C76E-39ED-4F05-9EF1-3C1C5B0B142C}" name="DEUDA" dataDxfId="110"/>
    <tableColumn id="11" xr3:uid="{9968D382-C823-48F4-87F3-397D699580D9}" name="VALOR" dataDxfId="109"/>
    <tableColumn id="12" xr3:uid="{C02AEF21-D8BA-4841-87BC-C1F216ED28C3}" name="COMISIÓN" dataDxfId="108"/>
    <tableColumn id="15" xr3:uid="{90C0C3C6-F6C8-4928-94A8-B74354394BEE}" name="Columna1" dataDxfId="10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027F-5AB9-426A-87CE-9F1CE0A426EB}">
  <dimension ref="A1:U167"/>
  <sheetViews>
    <sheetView tabSelected="1" topLeftCell="J115" zoomScale="81" workbookViewId="0">
      <selection activeCell="R129" sqref="R129:U136"/>
    </sheetView>
  </sheetViews>
  <sheetFormatPr baseColWidth="10" defaultRowHeight="15" x14ac:dyDescent="0.25"/>
  <cols>
    <col min="2" max="2" width="7.7109375" style="1" bestFit="1" customWidth="1"/>
    <col min="3" max="3" width="33.140625" bestFit="1" customWidth="1"/>
    <col min="4" max="4" width="8.42578125" style="1" bestFit="1" customWidth="1"/>
    <col min="5" max="5" width="18.140625" style="4" customWidth="1"/>
    <col min="6" max="6" width="18" style="1" bestFit="1" customWidth="1"/>
    <col min="7" max="7" width="10.7109375" style="2" bestFit="1" customWidth="1"/>
    <col min="8" max="8" width="15.7109375" style="1" bestFit="1" customWidth="1"/>
    <col min="9" max="9" width="23.42578125" style="1" bestFit="1" customWidth="1"/>
    <col min="10" max="10" width="17.42578125" style="1" customWidth="1"/>
    <col min="11" max="11" width="23.42578125" style="1" bestFit="1" customWidth="1"/>
    <col min="12" max="12" width="11.85546875" style="1" bestFit="1" customWidth="1"/>
    <col min="13" max="13" width="11.5703125" style="1" bestFit="1" customWidth="1"/>
    <col min="14" max="14" width="15" style="1" bestFit="1" customWidth="1"/>
    <col min="18" max="18" width="15.85546875" bestFit="1" customWidth="1"/>
    <col min="20" max="20" width="12.7109375" style="181" bestFit="1" customWidth="1"/>
    <col min="21" max="21" width="13.7109375" style="181" bestFit="1" customWidth="1"/>
  </cols>
  <sheetData>
    <row r="1" spans="2:19" x14ac:dyDescent="0.25">
      <c r="B1" s="1" t="s">
        <v>0</v>
      </c>
      <c r="C1" s="1" t="s">
        <v>1</v>
      </c>
      <c r="D1" s="1" t="s">
        <v>2</v>
      </c>
      <c r="E1" s="4" t="s">
        <v>3</v>
      </c>
      <c r="F1" s="1" t="s">
        <v>4</v>
      </c>
      <c r="G1" s="2" t="s">
        <v>64</v>
      </c>
      <c r="H1" s="1" t="s">
        <v>5</v>
      </c>
      <c r="I1" s="1" t="s">
        <v>6</v>
      </c>
      <c r="J1" s="1" t="s">
        <v>11</v>
      </c>
      <c r="K1" s="1" t="s">
        <v>60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213</v>
      </c>
    </row>
    <row r="2" spans="2:19" x14ac:dyDescent="0.25">
      <c r="B2" s="6">
        <v>1</v>
      </c>
      <c r="C2" s="12" t="s">
        <v>16</v>
      </c>
      <c r="D2" s="6" t="s">
        <v>12</v>
      </c>
      <c r="E2" s="13">
        <v>1049894080</v>
      </c>
      <c r="F2" s="6" t="s">
        <v>18</v>
      </c>
      <c r="G2" s="9">
        <f>2024-2003</f>
        <v>21</v>
      </c>
      <c r="H2" s="6" t="s">
        <v>17</v>
      </c>
      <c r="I2" s="14" t="s">
        <v>15</v>
      </c>
      <c r="J2" s="44" t="s">
        <v>21</v>
      </c>
      <c r="K2" s="144" t="s">
        <v>138</v>
      </c>
      <c r="L2" s="11" t="s">
        <v>152</v>
      </c>
      <c r="M2" s="11"/>
      <c r="N2" s="6"/>
      <c r="O2" s="6"/>
      <c r="P2" s="29"/>
      <c r="R2" t="s">
        <v>71</v>
      </c>
      <c r="S2">
        <v>9</v>
      </c>
    </row>
    <row r="3" spans="2:19" x14ac:dyDescent="0.25">
      <c r="B3" s="6">
        <v>2</v>
      </c>
      <c r="C3" s="12" t="s">
        <v>19</v>
      </c>
      <c r="D3" s="6" t="s">
        <v>12</v>
      </c>
      <c r="E3" s="13">
        <v>1007155755</v>
      </c>
      <c r="F3" s="6"/>
      <c r="G3" s="9">
        <v>21</v>
      </c>
      <c r="H3" s="6">
        <v>3143034791</v>
      </c>
      <c r="I3" s="14" t="s">
        <v>15</v>
      </c>
      <c r="J3" s="44" t="s">
        <v>21</v>
      </c>
      <c r="K3" s="133" t="s">
        <v>62</v>
      </c>
      <c r="L3" s="6" t="s">
        <v>152</v>
      </c>
      <c r="M3" s="6"/>
      <c r="N3" s="6">
        <v>1</v>
      </c>
      <c r="O3" s="6"/>
      <c r="P3" s="29"/>
      <c r="R3" t="s">
        <v>214</v>
      </c>
      <c r="S3">
        <v>62</v>
      </c>
    </row>
    <row r="4" spans="2:19" ht="15.75" thickBot="1" x14ac:dyDescent="0.3">
      <c r="B4" s="6">
        <v>3</v>
      </c>
      <c r="C4" s="47" t="s">
        <v>245</v>
      </c>
      <c r="D4" s="46" t="s">
        <v>12</v>
      </c>
      <c r="E4" s="48" t="s">
        <v>206</v>
      </c>
      <c r="F4" s="49">
        <v>35537</v>
      </c>
      <c r="G4" s="50">
        <f>2024-1997</f>
        <v>27</v>
      </c>
      <c r="H4" s="46"/>
      <c r="I4" s="51" t="s">
        <v>15</v>
      </c>
      <c r="J4" s="44" t="s">
        <v>21</v>
      </c>
      <c r="K4" s="10" t="s">
        <v>63</v>
      </c>
      <c r="L4" s="6" t="s">
        <v>152</v>
      </c>
      <c r="M4" s="6">
        <v>1</v>
      </c>
      <c r="N4" s="6"/>
      <c r="O4" s="6"/>
      <c r="P4" s="29"/>
      <c r="R4" t="s">
        <v>215</v>
      </c>
      <c r="S4">
        <v>15</v>
      </c>
    </row>
    <row r="5" spans="2:19" x14ac:dyDescent="0.25">
      <c r="B5" s="6">
        <v>4</v>
      </c>
      <c r="C5" s="12" t="s">
        <v>40</v>
      </c>
      <c r="D5" s="6" t="s">
        <v>12</v>
      </c>
      <c r="E5" s="13">
        <v>20357610</v>
      </c>
      <c r="F5" s="6"/>
      <c r="G5" s="9">
        <v>63</v>
      </c>
      <c r="H5" s="6"/>
      <c r="I5" s="14" t="s">
        <v>15</v>
      </c>
      <c r="J5" s="6" t="s">
        <v>14</v>
      </c>
      <c r="K5" s="10" t="s">
        <v>63</v>
      </c>
      <c r="L5" s="11">
        <v>200000</v>
      </c>
      <c r="M5" s="6">
        <v>2</v>
      </c>
      <c r="N5" s="6"/>
      <c r="O5" s="6"/>
      <c r="P5" s="29"/>
      <c r="R5" t="s">
        <v>216</v>
      </c>
      <c r="S5">
        <v>20</v>
      </c>
    </row>
    <row r="6" spans="2:19" ht="15.75" thickBot="1" x14ac:dyDescent="0.3">
      <c r="B6" s="6">
        <v>5</v>
      </c>
      <c r="C6" s="47" t="s">
        <v>168</v>
      </c>
      <c r="D6" s="46" t="s">
        <v>12</v>
      </c>
      <c r="E6" s="52">
        <v>30372665</v>
      </c>
      <c r="F6" s="46"/>
      <c r="G6" s="50">
        <v>50</v>
      </c>
      <c r="H6" s="46"/>
      <c r="I6" s="51" t="s">
        <v>15</v>
      </c>
      <c r="J6" s="46" t="s">
        <v>14</v>
      </c>
      <c r="K6" s="10" t="s">
        <v>63</v>
      </c>
      <c r="L6" s="6" t="s">
        <v>22</v>
      </c>
      <c r="M6" s="6">
        <v>3</v>
      </c>
      <c r="N6" s="6"/>
      <c r="O6" s="6"/>
      <c r="P6" s="29"/>
      <c r="R6" t="s">
        <v>217</v>
      </c>
      <c r="S6">
        <v>5</v>
      </c>
    </row>
    <row r="7" spans="2:19" x14ac:dyDescent="0.25">
      <c r="B7" s="6">
        <v>6</v>
      </c>
      <c r="C7" s="12" t="s">
        <v>24</v>
      </c>
      <c r="D7" s="6" t="s">
        <v>12</v>
      </c>
      <c r="E7" s="13">
        <v>1003650684</v>
      </c>
      <c r="F7" s="8">
        <v>36644</v>
      </c>
      <c r="G7" s="9">
        <v>24</v>
      </c>
      <c r="H7" s="6" t="s">
        <v>176</v>
      </c>
      <c r="I7" s="14" t="s">
        <v>15</v>
      </c>
      <c r="J7" s="43" t="s">
        <v>21</v>
      </c>
      <c r="K7" s="10" t="s">
        <v>63</v>
      </c>
      <c r="L7" s="11" t="s">
        <v>152</v>
      </c>
      <c r="M7" s="6">
        <v>4</v>
      </c>
      <c r="N7" s="6"/>
      <c r="O7" s="6"/>
      <c r="P7" s="29"/>
      <c r="S7">
        <f>SUM(S2:S6)</f>
        <v>111</v>
      </c>
    </row>
    <row r="8" spans="2:19" x14ac:dyDescent="0.25">
      <c r="B8" s="6">
        <v>7</v>
      </c>
      <c r="C8" s="12" t="s">
        <v>25</v>
      </c>
      <c r="D8" s="6" t="s">
        <v>12</v>
      </c>
      <c r="E8" s="13">
        <v>21462207</v>
      </c>
      <c r="F8" s="8">
        <v>21348</v>
      </c>
      <c r="G8" s="9">
        <f>2023-1958</f>
        <v>65</v>
      </c>
      <c r="H8" s="6"/>
      <c r="I8" s="14" t="s">
        <v>15</v>
      </c>
      <c r="J8" s="43" t="s">
        <v>21</v>
      </c>
      <c r="K8" s="10" t="s">
        <v>63</v>
      </c>
      <c r="L8" s="6" t="s">
        <v>152</v>
      </c>
      <c r="M8" s="10">
        <v>5</v>
      </c>
      <c r="N8" s="6"/>
      <c r="O8" s="6"/>
      <c r="P8" s="29"/>
    </row>
    <row r="9" spans="2:19" x14ac:dyDescent="0.25">
      <c r="B9" s="6">
        <v>8</v>
      </c>
      <c r="C9" s="12" t="s">
        <v>153</v>
      </c>
      <c r="D9" s="6" t="s">
        <v>12</v>
      </c>
      <c r="E9" s="13">
        <v>179473</v>
      </c>
      <c r="F9" s="8">
        <v>23665</v>
      </c>
      <c r="G9" s="9">
        <f>2023-1964</f>
        <v>59</v>
      </c>
      <c r="H9" s="6"/>
      <c r="I9" s="14" t="s">
        <v>15</v>
      </c>
      <c r="J9" s="43" t="s">
        <v>21</v>
      </c>
      <c r="K9" s="14" t="s">
        <v>61</v>
      </c>
      <c r="L9" s="11" t="s">
        <v>152</v>
      </c>
      <c r="M9" s="6"/>
      <c r="N9" s="6"/>
      <c r="O9" s="6"/>
      <c r="P9" s="29"/>
    </row>
    <row r="10" spans="2:19" x14ac:dyDescent="0.25">
      <c r="B10" s="6">
        <v>9</v>
      </c>
      <c r="C10" s="135" t="s">
        <v>26</v>
      </c>
      <c r="D10" s="6" t="s">
        <v>12</v>
      </c>
      <c r="E10" s="13">
        <v>21016956</v>
      </c>
      <c r="F10" s="17">
        <v>26036</v>
      </c>
      <c r="G10" s="9">
        <f>2024-1971</f>
        <v>53</v>
      </c>
      <c r="H10" s="6"/>
      <c r="I10" s="133" t="s">
        <v>234</v>
      </c>
      <c r="J10" s="6" t="s">
        <v>21</v>
      </c>
      <c r="K10" s="14" t="s">
        <v>61</v>
      </c>
      <c r="L10" s="11">
        <v>210000</v>
      </c>
      <c r="M10" s="11">
        <v>425000</v>
      </c>
      <c r="N10" s="6"/>
      <c r="O10" s="6"/>
      <c r="P10" s="29"/>
    </row>
    <row r="11" spans="2:19" x14ac:dyDescent="0.25">
      <c r="B11" s="6">
        <v>10</v>
      </c>
      <c r="C11" s="135" t="s">
        <v>27</v>
      </c>
      <c r="D11" s="6" t="s">
        <v>12</v>
      </c>
      <c r="E11" s="13">
        <v>1073629789</v>
      </c>
      <c r="F11" s="8">
        <v>34685</v>
      </c>
      <c r="G11" s="9">
        <v>29</v>
      </c>
      <c r="H11" s="6"/>
      <c r="I11" s="133" t="s">
        <v>234</v>
      </c>
      <c r="J11" s="6" t="s">
        <v>21</v>
      </c>
      <c r="K11" s="14" t="s">
        <v>61</v>
      </c>
      <c r="L11" s="6" t="s">
        <v>22</v>
      </c>
      <c r="M11" s="6"/>
      <c r="N11" s="6"/>
      <c r="O11" s="6"/>
      <c r="P11" s="29"/>
    </row>
    <row r="12" spans="2:19" x14ac:dyDescent="0.25">
      <c r="B12" s="19"/>
      <c r="C12" s="135" t="s">
        <v>212</v>
      </c>
      <c r="D12" s="19" t="s">
        <v>37</v>
      </c>
      <c r="E12" s="20">
        <v>1195468765</v>
      </c>
      <c r="F12" s="22">
        <v>44833</v>
      </c>
      <c r="G12" s="21">
        <v>1</v>
      </c>
      <c r="H12" s="19"/>
      <c r="I12" s="133"/>
      <c r="J12" s="19"/>
      <c r="K12" s="19"/>
      <c r="L12" s="19"/>
      <c r="M12" s="6"/>
      <c r="N12" s="6"/>
      <c r="O12" s="6"/>
      <c r="P12" s="29"/>
    </row>
    <row r="13" spans="2:19" x14ac:dyDescent="0.25">
      <c r="B13" s="37">
        <v>11</v>
      </c>
      <c r="C13" s="135" t="s">
        <v>235</v>
      </c>
      <c r="D13" s="37" t="s">
        <v>32</v>
      </c>
      <c r="E13" s="130">
        <v>1073629276</v>
      </c>
      <c r="F13" s="131">
        <v>40321</v>
      </c>
      <c r="G13" s="132">
        <v>13</v>
      </c>
      <c r="H13" s="37"/>
      <c r="I13" s="133" t="s">
        <v>234</v>
      </c>
      <c r="J13" s="37" t="s">
        <v>21</v>
      </c>
      <c r="K13" s="10" t="s">
        <v>63</v>
      </c>
      <c r="L13" s="37"/>
      <c r="M13" s="6">
        <v>6</v>
      </c>
      <c r="N13" s="6"/>
      <c r="O13" s="6"/>
      <c r="P13" s="29"/>
    </row>
    <row r="14" spans="2:19" ht="15.75" thickBot="1" x14ac:dyDescent="0.3">
      <c r="B14" s="37">
        <v>12</v>
      </c>
      <c r="C14" s="136" t="s">
        <v>28</v>
      </c>
      <c r="D14" s="46" t="s">
        <v>12</v>
      </c>
      <c r="E14" s="52">
        <v>1073629483</v>
      </c>
      <c r="F14" s="49">
        <v>34088</v>
      </c>
      <c r="G14" s="50">
        <f>2024-1993</f>
        <v>31</v>
      </c>
      <c r="H14" s="46"/>
      <c r="I14" s="134" t="s">
        <v>234</v>
      </c>
      <c r="J14" s="46" t="s">
        <v>21</v>
      </c>
      <c r="K14" s="51" t="s">
        <v>61</v>
      </c>
      <c r="L14" s="46" t="s">
        <v>22</v>
      </c>
      <c r="M14" s="46"/>
      <c r="N14" s="6"/>
      <c r="O14" s="6"/>
      <c r="P14" s="29"/>
    </row>
    <row r="15" spans="2:19" x14ac:dyDescent="0.25">
      <c r="B15" s="37">
        <v>13</v>
      </c>
      <c r="C15" s="5" t="s">
        <v>29</v>
      </c>
      <c r="D15" s="6" t="s">
        <v>12</v>
      </c>
      <c r="E15" s="13">
        <v>11451911</v>
      </c>
      <c r="F15" s="6"/>
      <c r="G15" s="9">
        <v>40</v>
      </c>
      <c r="H15" s="6"/>
      <c r="I15" s="10" t="s">
        <v>13</v>
      </c>
      <c r="J15" s="6" t="s">
        <v>14</v>
      </c>
      <c r="K15" s="10" t="s">
        <v>63</v>
      </c>
      <c r="L15" s="11">
        <v>330000</v>
      </c>
      <c r="M15" s="6">
        <v>7</v>
      </c>
      <c r="N15" s="6"/>
      <c r="O15" s="6"/>
      <c r="P15" s="29"/>
    </row>
    <row r="16" spans="2:19" x14ac:dyDescent="0.25">
      <c r="B16" s="37">
        <v>14</v>
      </c>
      <c r="C16" s="5" t="s">
        <v>30</v>
      </c>
      <c r="D16" s="6" t="s">
        <v>12</v>
      </c>
      <c r="E16" s="13">
        <v>1019035371</v>
      </c>
      <c r="F16" s="6"/>
      <c r="G16" s="9">
        <v>35</v>
      </c>
      <c r="H16" s="6"/>
      <c r="I16" s="10" t="s">
        <v>13</v>
      </c>
      <c r="J16" s="6" t="s">
        <v>14</v>
      </c>
      <c r="K16" s="10" t="s">
        <v>63</v>
      </c>
      <c r="L16" s="6"/>
      <c r="M16" s="6">
        <v>8</v>
      </c>
      <c r="N16" s="6"/>
      <c r="O16" s="6"/>
      <c r="P16" s="29"/>
    </row>
    <row r="17" spans="1:21" ht="15.75" thickBot="1" x14ac:dyDescent="0.3">
      <c r="B17" s="37">
        <v>15</v>
      </c>
      <c r="C17" s="53" t="s">
        <v>31</v>
      </c>
      <c r="D17" s="46" t="s">
        <v>32</v>
      </c>
      <c r="E17" s="52">
        <v>1073629313</v>
      </c>
      <c r="F17" s="46"/>
      <c r="G17" s="50">
        <v>13</v>
      </c>
      <c r="H17" s="46"/>
      <c r="I17" s="54" t="s">
        <v>13</v>
      </c>
      <c r="J17" s="46" t="s">
        <v>14</v>
      </c>
      <c r="K17" s="10" t="s">
        <v>63</v>
      </c>
      <c r="L17" s="46"/>
      <c r="M17" s="6">
        <v>9</v>
      </c>
      <c r="N17" s="6"/>
      <c r="O17" s="6"/>
      <c r="P17" s="29"/>
    </row>
    <row r="18" spans="1:21" x14ac:dyDescent="0.25">
      <c r="B18" s="37">
        <v>16</v>
      </c>
      <c r="C18" s="12" t="s">
        <v>33</v>
      </c>
      <c r="D18" s="6" t="s">
        <v>12</v>
      </c>
      <c r="E18" s="13">
        <v>1003672928</v>
      </c>
      <c r="F18" s="8">
        <v>36950</v>
      </c>
      <c r="G18" s="9">
        <v>23</v>
      </c>
      <c r="H18" s="6" t="s">
        <v>176</v>
      </c>
      <c r="I18" s="14" t="s">
        <v>15</v>
      </c>
      <c r="J18" s="42" t="s">
        <v>21</v>
      </c>
      <c r="K18" s="10" t="s">
        <v>63</v>
      </c>
      <c r="L18" s="11" t="s">
        <v>152</v>
      </c>
      <c r="M18" s="6">
        <v>10</v>
      </c>
      <c r="N18" s="6"/>
      <c r="O18" s="6"/>
      <c r="P18" s="29"/>
    </row>
    <row r="19" spans="1:21" x14ac:dyDescent="0.25">
      <c r="B19" s="37">
        <v>17</v>
      </c>
      <c r="C19" s="12" t="s">
        <v>38</v>
      </c>
      <c r="D19" s="6" t="s">
        <v>12</v>
      </c>
      <c r="E19" s="13">
        <v>20358836</v>
      </c>
      <c r="F19" s="8" t="s">
        <v>39</v>
      </c>
      <c r="G19" s="9">
        <v>39</v>
      </c>
      <c r="H19" s="6"/>
      <c r="I19" s="14" t="s">
        <v>15</v>
      </c>
      <c r="J19" s="42" t="s">
        <v>21</v>
      </c>
      <c r="K19" s="10" t="s">
        <v>63</v>
      </c>
      <c r="L19" s="6" t="s">
        <v>152</v>
      </c>
      <c r="M19" s="6">
        <v>11</v>
      </c>
      <c r="N19" s="6"/>
      <c r="O19" s="6"/>
      <c r="P19" s="29"/>
    </row>
    <row r="20" spans="1:21" x14ac:dyDescent="0.25">
      <c r="A20" s="72" t="s">
        <v>243</v>
      </c>
      <c r="B20" s="37">
        <v>18</v>
      </c>
      <c r="C20" s="18" t="s">
        <v>96</v>
      </c>
      <c r="D20" s="6" t="s">
        <v>12</v>
      </c>
      <c r="E20" s="13">
        <v>21014616</v>
      </c>
      <c r="F20" s="6"/>
      <c r="G20" s="9">
        <v>62</v>
      </c>
      <c r="H20" s="6" t="s">
        <v>91</v>
      </c>
      <c r="I20" s="16" t="s">
        <v>23</v>
      </c>
      <c r="J20" s="6" t="s">
        <v>34</v>
      </c>
      <c r="K20" s="133" t="s">
        <v>62</v>
      </c>
      <c r="L20" s="6"/>
      <c r="M20" s="6"/>
      <c r="N20" s="6">
        <v>2</v>
      </c>
      <c r="O20" s="6"/>
      <c r="P20" s="29"/>
    </row>
    <row r="21" spans="1:21" x14ac:dyDescent="0.25">
      <c r="A21" s="72">
        <v>2</v>
      </c>
      <c r="B21" s="37">
        <v>19</v>
      </c>
      <c r="C21" s="18" t="s">
        <v>92</v>
      </c>
      <c r="D21" s="6" t="s">
        <v>12</v>
      </c>
      <c r="E21" s="13">
        <v>1075624814</v>
      </c>
      <c r="F21" s="6"/>
      <c r="G21" s="9">
        <v>37</v>
      </c>
      <c r="H21" s="6" t="s">
        <v>93</v>
      </c>
      <c r="I21" s="16" t="s">
        <v>23</v>
      </c>
      <c r="J21" s="6" t="s">
        <v>34</v>
      </c>
      <c r="K21" s="133" t="s">
        <v>62</v>
      </c>
      <c r="L21" s="6"/>
      <c r="M21" s="6"/>
      <c r="N21" s="6">
        <v>3</v>
      </c>
      <c r="O21" s="6"/>
      <c r="P21" s="29"/>
    </row>
    <row r="22" spans="1:21" x14ac:dyDescent="0.25">
      <c r="A22" s="72">
        <v>3</v>
      </c>
      <c r="B22" s="37">
        <v>20</v>
      </c>
      <c r="C22" s="18" t="s">
        <v>221</v>
      </c>
      <c r="D22" s="6" t="s">
        <v>12</v>
      </c>
      <c r="E22" s="13">
        <v>1075639242</v>
      </c>
      <c r="F22" s="6"/>
      <c r="G22" s="9">
        <v>27</v>
      </c>
      <c r="H22" s="6" t="s">
        <v>94</v>
      </c>
      <c r="I22" s="16" t="s">
        <v>23</v>
      </c>
      <c r="J22" s="6" t="s">
        <v>34</v>
      </c>
      <c r="K22" s="10" t="s">
        <v>63</v>
      </c>
      <c r="L22" s="6"/>
      <c r="M22" s="10">
        <v>12</v>
      </c>
      <c r="N22" s="6"/>
      <c r="O22" s="6"/>
      <c r="P22" s="29"/>
    </row>
    <row r="23" spans="1:21" s="3" customFormat="1" x14ac:dyDescent="0.25">
      <c r="A23" s="3">
        <v>4</v>
      </c>
      <c r="B23" s="19"/>
      <c r="C23" s="178" t="s">
        <v>248</v>
      </c>
      <c r="D23" s="19" t="s">
        <v>37</v>
      </c>
      <c r="E23" s="20">
        <v>1075630179</v>
      </c>
      <c r="F23" s="19"/>
      <c r="G23" s="21">
        <v>6</v>
      </c>
      <c r="H23" s="19"/>
      <c r="I23" s="19"/>
      <c r="J23" s="19" t="s">
        <v>34</v>
      </c>
      <c r="K23" s="19" t="s">
        <v>138</v>
      </c>
      <c r="L23" s="19"/>
      <c r="M23" s="19"/>
      <c r="N23" s="19"/>
      <c r="O23" s="19"/>
      <c r="P23" s="175"/>
      <c r="T23" s="182"/>
      <c r="U23" s="182"/>
    </row>
    <row r="24" spans="1:21" x14ac:dyDescent="0.25">
      <c r="A24" s="72">
        <v>5</v>
      </c>
      <c r="B24" s="37">
        <v>21</v>
      </c>
      <c r="C24" s="18" t="s">
        <v>97</v>
      </c>
      <c r="D24" s="6" t="s">
        <v>12</v>
      </c>
      <c r="E24" s="13">
        <v>52530263</v>
      </c>
      <c r="F24" s="6"/>
      <c r="G24" s="9">
        <v>25</v>
      </c>
      <c r="H24" s="6"/>
      <c r="I24" s="16" t="s">
        <v>23</v>
      </c>
      <c r="J24" s="6" t="s">
        <v>34</v>
      </c>
      <c r="K24" s="14" t="s">
        <v>61</v>
      </c>
      <c r="L24" s="6" t="s">
        <v>152</v>
      </c>
      <c r="M24" s="6"/>
      <c r="N24" s="6"/>
      <c r="O24" s="6"/>
      <c r="P24" s="29"/>
    </row>
    <row r="25" spans="1:21" x14ac:dyDescent="0.25">
      <c r="A25" s="72">
        <v>6</v>
      </c>
      <c r="B25" s="37">
        <v>22</v>
      </c>
      <c r="C25" s="18" t="s">
        <v>224</v>
      </c>
      <c r="D25" s="6" t="s">
        <v>12</v>
      </c>
      <c r="E25" s="13">
        <v>21013901</v>
      </c>
      <c r="F25" s="6"/>
      <c r="G25" s="9">
        <v>67</v>
      </c>
      <c r="H25" s="6"/>
      <c r="I25" s="16" t="s">
        <v>23</v>
      </c>
      <c r="J25" s="6" t="s">
        <v>34</v>
      </c>
      <c r="K25" s="14" t="s">
        <v>61</v>
      </c>
      <c r="L25" s="6" t="s">
        <v>152</v>
      </c>
      <c r="M25" s="6"/>
      <c r="N25" s="6"/>
      <c r="O25" s="6"/>
      <c r="P25" s="29"/>
    </row>
    <row r="26" spans="1:21" x14ac:dyDescent="0.25">
      <c r="A26" s="72">
        <v>7</v>
      </c>
      <c r="B26" s="37">
        <v>23</v>
      </c>
      <c r="C26" s="18" t="s">
        <v>222</v>
      </c>
      <c r="D26" s="6" t="s">
        <v>12</v>
      </c>
      <c r="E26" s="13">
        <v>21014615</v>
      </c>
      <c r="F26" s="6"/>
      <c r="G26" s="9">
        <v>62</v>
      </c>
      <c r="H26" s="6" t="s">
        <v>175</v>
      </c>
      <c r="I26" s="16" t="s">
        <v>23</v>
      </c>
      <c r="J26" s="6" t="s">
        <v>34</v>
      </c>
      <c r="K26" s="14" t="s">
        <v>61</v>
      </c>
      <c r="L26" s="6" t="s">
        <v>152</v>
      </c>
      <c r="M26" s="6"/>
      <c r="N26" s="6"/>
      <c r="O26" s="6"/>
      <c r="P26" s="29"/>
    </row>
    <row r="27" spans="1:21" x14ac:dyDescent="0.25">
      <c r="A27" s="72">
        <v>8</v>
      </c>
      <c r="B27" s="37">
        <v>24</v>
      </c>
      <c r="C27" s="18" t="s">
        <v>143</v>
      </c>
      <c r="D27" s="6" t="s">
        <v>32</v>
      </c>
      <c r="E27" s="13">
        <v>1075628981</v>
      </c>
      <c r="F27" s="6"/>
      <c r="G27" s="9">
        <v>10</v>
      </c>
      <c r="H27" s="6"/>
      <c r="I27" s="16" t="s">
        <v>23</v>
      </c>
      <c r="J27" s="6" t="s">
        <v>34</v>
      </c>
      <c r="K27" s="133" t="s">
        <v>62</v>
      </c>
      <c r="L27" s="6" t="s">
        <v>152</v>
      </c>
      <c r="M27" s="6"/>
      <c r="N27" s="6">
        <v>4</v>
      </c>
      <c r="O27" s="6"/>
      <c r="P27" s="29"/>
    </row>
    <row r="28" spans="1:21" s="55" customFormat="1" ht="15.75" thickBot="1" x14ac:dyDescent="0.3">
      <c r="A28" s="73">
        <v>9</v>
      </c>
      <c r="B28" s="37">
        <v>25</v>
      </c>
      <c r="C28" s="56" t="s">
        <v>99</v>
      </c>
      <c r="D28" s="46" t="s">
        <v>12</v>
      </c>
      <c r="E28" s="52">
        <v>3209381</v>
      </c>
      <c r="F28" s="46"/>
      <c r="G28" s="50">
        <v>66</v>
      </c>
      <c r="H28" s="46"/>
      <c r="I28" s="57" t="s">
        <v>23</v>
      </c>
      <c r="J28" s="46" t="s">
        <v>34</v>
      </c>
      <c r="K28" s="134" t="s">
        <v>62</v>
      </c>
      <c r="L28" s="46" t="s">
        <v>152</v>
      </c>
      <c r="M28" s="46"/>
      <c r="N28" s="46">
        <v>5</v>
      </c>
      <c r="O28" s="46"/>
      <c r="P28" s="46"/>
      <c r="T28" s="183"/>
      <c r="U28" s="183"/>
    </row>
    <row r="29" spans="1:21" x14ac:dyDescent="0.25">
      <c r="B29" s="37">
        <v>26</v>
      </c>
      <c r="C29" s="5" t="s">
        <v>73</v>
      </c>
      <c r="D29" s="6" t="s">
        <v>12</v>
      </c>
      <c r="E29" s="13">
        <v>19194477</v>
      </c>
      <c r="F29" s="6"/>
      <c r="G29" s="9">
        <v>71</v>
      </c>
      <c r="H29" s="6">
        <v>3005535034</v>
      </c>
      <c r="I29" s="10" t="s">
        <v>13</v>
      </c>
      <c r="J29" s="6" t="s">
        <v>14</v>
      </c>
      <c r="K29" s="10" t="s">
        <v>63</v>
      </c>
      <c r="L29" s="6"/>
      <c r="M29" s="6">
        <v>13</v>
      </c>
      <c r="N29" s="6"/>
      <c r="O29" s="6"/>
      <c r="P29" s="29"/>
    </row>
    <row r="30" spans="1:21" x14ac:dyDescent="0.25">
      <c r="B30" s="37">
        <v>27</v>
      </c>
      <c r="C30" s="5" t="s">
        <v>74</v>
      </c>
      <c r="D30" s="6" t="s">
        <v>12</v>
      </c>
      <c r="E30" s="13">
        <v>41410632</v>
      </c>
      <c r="F30" s="6"/>
      <c r="G30" s="9">
        <v>77</v>
      </c>
      <c r="H30" s="6"/>
      <c r="I30" s="10" t="s">
        <v>13</v>
      </c>
      <c r="J30" s="6" t="s">
        <v>14</v>
      </c>
      <c r="K30" s="144" t="s">
        <v>138</v>
      </c>
      <c r="L30" s="6"/>
      <c r="M30" s="6"/>
      <c r="N30" s="6"/>
      <c r="O30" s="6"/>
      <c r="P30" s="29"/>
    </row>
    <row r="31" spans="1:21" x14ac:dyDescent="0.25">
      <c r="B31" s="37">
        <v>28</v>
      </c>
      <c r="C31" s="5" t="s">
        <v>35</v>
      </c>
      <c r="D31" s="6" t="s">
        <v>12</v>
      </c>
      <c r="E31" s="13">
        <v>79538678</v>
      </c>
      <c r="F31" s="6"/>
      <c r="G31" s="9">
        <v>53</v>
      </c>
      <c r="H31" s="6"/>
      <c r="I31" s="10" t="s">
        <v>13</v>
      </c>
      <c r="J31" s="6" t="s">
        <v>88</v>
      </c>
      <c r="K31" s="133" t="s">
        <v>62</v>
      </c>
      <c r="L31" s="6"/>
      <c r="M31" s="6"/>
      <c r="N31" s="6">
        <v>6</v>
      </c>
      <c r="O31" s="6"/>
      <c r="P31" s="29"/>
    </row>
    <row r="32" spans="1:21" x14ac:dyDescent="0.25">
      <c r="B32" s="37">
        <v>29</v>
      </c>
      <c r="C32" s="15" t="s">
        <v>151</v>
      </c>
      <c r="D32" s="6" t="s">
        <v>12</v>
      </c>
      <c r="E32" s="13">
        <v>1075627540</v>
      </c>
      <c r="F32" s="6"/>
      <c r="G32" s="9">
        <v>28</v>
      </c>
      <c r="H32" s="6"/>
      <c r="I32" s="16" t="s">
        <v>23</v>
      </c>
      <c r="J32" s="6" t="s">
        <v>88</v>
      </c>
      <c r="K32" s="133" t="s">
        <v>62</v>
      </c>
      <c r="L32" s="6"/>
      <c r="M32" s="6"/>
      <c r="N32" s="6">
        <v>7</v>
      </c>
      <c r="O32" s="6"/>
      <c r="P32" s="29"/>
    </row>
    <row r="33" spans="1:21" x14ac:dyDescent="0.25">
      <c r="B33" s="37">
        <v>30</v>
      </c>
      <c r="C33" s="15" t="s">
        <v>36</v>
      </c>
      <c r="D33" s="6" t="s">
        <v>12</v>
      </c>
      <c r="E33" s="13">
        <v>79656808</v>
      </c>
      <c r="F33" s="6"/>
      <c r="G33" s="9">
        <v>50</v>
      </c>
      <c r="H33" s="6"/>
      <c r="I33" s="16" t="s">
        <v>23</v>
      </c>
      <c r="J33" s="6" t="s">
        <v>88</v>
      </c>
      <c r="K33" s="133" t="s">
        <v>62</v>
      </c>
      <c r="L33" s="6"/>
      <c r="M33" s="6"/>
      <c r="N33" s="6">
        <v>8</v>
      </c>
      <c r="O33" s="6"/>
      <c r="P33" s="29"/>
    </row>
    <row r="34" spans="1:21" x14ac:dyDescent="0.25">
      <c r="B34" s="37">
        <v>31</v>
      </c>
      <c r="C34" s="15" t="s">
        <v>42</v>
      </c>
      <c r="D34" s="6" t="s">
        <v>12</v>
      </c>
      <c r="E34" s="13">
        <v>41568536</v>
      </c>
      <c r="F34" s="6"/>
      <c r="G34" s="9">
        <v>70</v>
      </c>
      <c r="H34" s="6"/>
      <c r="I34" s="16" t="s">
        <v>23</v>
      </c>
      <c r="J34" s="6" t="s">
        <v>34</v>
      </c>
      <c r="K34" s="10" t="s">
        <v>63</v>
      </c>
      <c r="L34" s="11" t="s">
        <v>152</v>
      </c>
      <c r="M34" s="6">
        <v>14</v>
      </c>
      <c r="N34" s="6"/>
      <c r="O34" s="6"/>
      <c r="P34" s="29"/>
    </row>
    <row r="35" spans="1:21" x14ac:dyDescent="0.25">
      <c r="B35" s="37">
        <v>32</v>
      </c>
      <c r="C35" s="15" t="s">
        <v>227</v>
      </c>
      <c r="D35" s="6" t="s">
        <v>12</v>
      </c>
      <c r="E35" s="13">
        <v>65739854</v>
      </c>
      <c r="F35" s="6"/>
      <c r="G35" s="9">
        <v>56</v>
      </c>
      <c r="H35" s="6">
        <v>3118125877</v>
      </c>
      <c r="I35" s="16" t="s">
        <v>23</v>
      </c>
      <c r="J35" s="6" t="s">
        <v>34</v>
      </c>
      <c r="K35" s="10" t="s">
        <v>63</v>
      </c>
      <c r="L35" s="11" t="s">
        <v>152</v>
      </c>
      <c r="M35" s="6">
        <v>15</v>
      </c>
      <c r="N35" s="6"/>
      <c r="O35" s="6"/>
      <c r="P35" s="29"/>
    </row>
    <row r="36" spans="1:21" x14ac:dyDescent="0.25">
      <c r="B36" s="37">
        <v>33</v>
      </c>
      <c r="C36" s="15" t="s">
        <v>241</v>
      </c>
      <c r="D36" s="6" t="s">
        <v>12</v>
      </c>
      <c r="E36" s="13">
        <v>21015224</v>
      </c>
      <c r="F36" s="6"/>
      <c r="G36" s="9">
        <v>66</v>
      </c>
      <c r="H36" s="6">
        <v>3142101407</v>
      </c>
      <c r="I36" s="16" t="s">
        <v>23</v>
      </c>
      <c r="J36" s="6" t="s">
        <v>34</v>
      </c>
      <c r="K36" s="133" t="s">
        <v>62</v>
      </c>
      <c r="L36" s="11"/>
      <c r="M36" s="6"/>
      <c r="N36" s="6"/>
      <c r="O36" s="6"/>
      <c r="P36" s="29"/>
    </row>
    <row r="37" spans="1:21" x14ac:dyDescent="0.25">
      <c r="B37" s="37">
        <v>34</v>
      </c>
      <c r="C37" s="15" t="s">
        <v>244</v>
      </c>
      <c r="D37" s="6" t="s">
        <v>12</v>
      </c>
      <c r="E37" s="13">
        <v>3138469137</v>
      </c>
      <c r="F37" s="6"/>
      <c r="G37" s="9">
        <v>39</v>
      </c>
      <c r="H37" s="6"/>
      <c r="I37" s="16" t="s">
        <v>23</v>
      </c>
      <c r="J37" s="6" t="s">
        <v>34</v>
      </c>
      <c r="K37" s="14" t="s">
        <v>61</v>
      </c>
      <c r="L37" s="11"/>
      <c r="M37" s="6"/>
      <c r="N37" s="6"/>
      <c r="O37" s="6"/>
      <c r="P37" s="29"/>
    </row>
    <row r="38" spans="1:21" x14ac:dyDescent="0.25">
      <c r="B38" s="37">
        <v>35</v>
      </c>
      <c r="C38" s="15" t="s">
        <v>218</v>
      </c>
      <c r="D38" s="6" t="s">
        <v>12</v>
      </c>
      <c r="E38" s="13">
        <v>21017918</v>
      </c>
      <c r="F38" s="6"/>
      <c r="G38" s="9">
        <v>45</v>
      </c>
      <c r="H38" s="6"/>
      <c r="I38" s="16" t="s">
        <v>23</v>
      </c>
      <c r="J38" s="6" t="s">
        <v>34</v>
      </c>
      <c r="K38" s="14" t="s">
        <v>61</v>
      </c>
      <c r="L38" s="6" t="s">
        <v>152</v>
      </c>
      <c r="M38" s="6"/>
      <c r="N38" s="6"/>
      <c r="O38" s="6"/>
      <c r="P38" s="29"/>
    </row>
    <row r="39" spans="1:21" x14ac:dyDescent="0.25">
      <c r="B39" s="37">
        <v>36</v>
      </c>
      <c r="C39" s="5" t="s">
        <v>43</v>
      </c>
      <c r="D39" s="6" t="s">
        <v>12</v>
      </c>
      <c r="E39" s="13">
        <v>1015478891</v>
      </c>
      <c r="F39" s="8">
        <v>36152</v>
      </c>
      <c r="G39" s="9">
        <v>25</v>
      </c>
      <c r="H39" s="6"/>
      <c r="I39" s="10" t="s">
        <v>13</v>
      </c>
      <c r="J39" s="43" t="s">
        <v>21</v>
      </c>
      <c r="K39" s="10" t="s">
        <v>63</v>
      </c>
      <c r="L39" s="11" t="s">
        <v>152</v>
      </c>
      <c r="M39" s="6">
        <v>16</v>
      </c>
      <c r="N39" s="6"/>
      <c r="O39" s="6"/>
      <c r="P39" s="29">
        <v>14</v>
      </c>
    </row>
    <row r="40" spans="1:21" s="38" customFormat="1" x14ac:dyDescent="0.25">
      <c r="B40" s="37">
        <v>37</v>
      </c>
      <c r="C40" s="5" t="s">
        <v>44</v>
      </c>
      <c r="D40" s="37" t="s">
        <v>37</v>
      </c>
      <c r="E40" s="130">
        <v>1023037329</v>
      </c>
      <c r="F40" s="131">
        <v>42936</v>
      </c>
      <c r="G40" s="132">
        <v>6</v>
      </c>
      <c r="H40" s="37"/>
      <c r="I40" s="10" t="s">
        <v>13</v>
      </c>
      <c r="J40" s="37" t="s">
        <v>21</v>
      </c>
      <c r="K40" s="133" t="s">
        <v>62</v>
      </c>
      <c r="L40" s="37" t="s">
        <v>152</v>
      </c>
      <c r="M40" s="37"/>
      <c r="N40" s="37">
        <v>9</v>
      </c>
      <c r="O40" s="37"/>
      <c r="P40" s="69"/>
      <c r="T40" s="184"/>
      <c r="U40" s="184"/>
    </row>
    <row r="41" spans="1:21" s="38" customFormat="1" x14ac:dyDescent="0.25">
      <c r="B41" s="37">
        <v>38</v>
      </c>
      <c r="C41" s="30" t="s">
        <v>142</v>
      </c>
      <c r="D41" s="29" t="s">
        <v>12</v>
      </c>
      <c r="E41" s="35">
        <v>1072962282</v>
      </c>
      <c r="F41" s="36">
        <v>34316</v>
      </c>
      <c r="G41" s="32">
        <f>2023-1993</f>
        <v>30</v>
      </c>
      <c r="H41" s="37"/>
      <c r="I41" s="10" t="s">
        <v>13</v>
      </c>
      <c r="J41" s="43" t="s">
        <v>21</v>
      </c>
      <c r="K41" s="19" t="s">
        <v>139</v>
      </c>
      <c r="L41" s="40" t="s">
        <v>152</v>
      </c>
      <c r="M41" s="37"/>
      <c r="N41" s="37"/>
      <c r="O41" s="37"/>
      <c r="P41" s="69"/>
      <c r="T41" s="184"/>
      <c r="U41" s="184"/>
    </row>
    <row r="42" spans="1:21" x14ac:dyDescent="0.25">
      <c r="B42" s="37">
        <v>39</v>
      </c>
      <c r="C42" s="5" t="s">
        <v>154</v>
      </c>
      <c r="D42" s="6" t="s">
        <v>12</v>
      </c>
      <c r="E42" s="13">
        <v>20872142</v>
      </c>
      <c r="F42" s="8">
        <v>29475</v>
      </c>
      <c r="G42" s="9">
        <v>43</v>
      </c>
      <c r="H42" s="6"/>
      <c r="I42" s="10" t="s">
        <v>13</v>
      </c>
      <c r="J42" s="43" t="s">
        <v>21</v>
      </c>
      <c r="K42" s="14" t="s">
        <v>61</v>
      </c>
      <c r="L42" s="6" t="s">
        <v>152</v>
      </c>
      <c r="M42" s="6"/>
      <c r="N42" s="6"/>
      <c r="O42" s="6"/>
      <c r="P42" s="29"/>
    </row>
    <row r="43" spans="1:21" x14ac:dyDescent="0.25">
      <c r="B43" s="37">
        <v>40</v>
      </c>
      <c r="C43" s="5" t="s">
        <v>45</v>
      </c>
      <c r="D43" s="6" t="s">
        <v>12</v>
      </c>
      <c r="E43" s="13">
        <v>4137931</v>
      </c>
      <c r="F43" s="8">
        <v>28442</v>
      </c>
      <c r="G43" s="9">
        <f>2023-1977</f>
        <v>46</v>
      </c>
      <c r="H43" s="6"/>
      <c r="I43" s="10" t="s">
        <v>13</v>
      </c>
      <c r="J43" s="43" t="s">
        <v>21</v>
      </c>
      <c r="K43" s="133" t="s">
        <v>62</v>
      </c>
      <c r="L43" s="6" t="s">
        <v>152</v>
      </c>
      <c r="M43" s="6"/>
      <c r="N43" s="6">
        <v>10</v>
      </c>
      <c r="O43" s="6"/>
      <c r="P43" s="29"/>
    </row>
    <row r="44" spans="1:21" x14ac:dyDescent="0.25">
      <c r="A44" s="72">
        <v>10</v>
      </c>
      <c r="B44" s="37">
        <v>41</v>
      </c>
      <c r="C44" s="18" t="s">
        <v>46</v>
      </c>
      <c r="D44" s="6" t="s">
        <v>12</v>
      </c>
      <c r="E44" s="13">
        <v>21012039</v>
      </c>
      <c r="F44" s="6"/>
      <c r="G44" s="9">
        <v>73</v>
      </c>
      <c r="H44" s="6" t="s">
        <v>47</v>
      </c>
      <c r="I44" s="16" t="s">
        <v>23</v>
      </c>
      <c r="J44" s="6" t="s">
        <v>34</v>
      </c>
      <c r="K44" s="14" t="s">
        <v>61</v>
      </c>
      <c r="L44" s="6"/>
      <c r="M44" s="6"/>
      <c r="N44" s="6"/>
      <c r="O44" s="6"/>
      <c r="P44" s="29"/>
    </row>
    <row r="45" spans="1:21" x14ac:dyDescent="0.25">
      <c r="A45" s="72">
        <v>11</v>
      </c>
      <c r="B45" s="37">
        <v>42</v>
      </c>
      <c r="C45" s="18" t="s">
        <v>48</v>
      </c>
      <c r="D45" s="6" t="s">
        <v>12</v>
      </c>
      <c r="E45" s="13">
        <v>21013371</v>
      </c>
      <c r="F45" s="6"/>
      <c r="G45" s="9">
        <v>68</v>
      </c>
      <c r="H45" s="6" t="s">
        <v>49</v>
      </c>
      <c r="I45" s="16" t="s">
        <v>23</v>
      </c>
      <c r="J45" s="6" t="s">
        <v>34</v>
      </c>
      <c r="K45" s="14" t="s">
        <v>61</v>
      </c>
      <c r="L45" s="11">
        <v>50000</v>
      </c>
      <c r="M45" s="6"/>
      <c r="N45" s="6"/>
      <c r="O45" s="6"/>
      <c r="P45" s="29"/>
    </row>
    <row r="46" spans="1:21" x14ac:dyDescent="0.25">
      <c r="A46" s="72">
        <v>12</v>
      </c>
      <c r="B46" s="37">
        <v>43</v>
      </c>
      <c r="C46" s="18" t="s">
        <v>50</v>
      </c>
      <c r="D46" s="6" t="s">
        <v>12</v>
      </c>
      <c r="E46" s="13">
        <v>21013874</v>
      </c>
      <c r="F46" s="6"/>
      <c r="G46" s="9">
        <v>67</v>
      </c>
      <c r="H46" s="6" t="s">
        <v>52</v>
      </c>
      <c r="I46" s="16" t="s">
        <v>23</v>
      </c>
      <c r="J46" s="6" t="s">
        <v>34</v>
      </c>
      <c r="K46" s="10" t="s">
        <v>63</v>
      </c>
      <c r="L46" s="11">
        <v>50000</v>
      </c>
      <c r="M46" s="6">
        <v>17</v>
      </c>
      <c r="N46" s="6"/>
      <c r="O46" s="6"/>
      <c r="P46" s="29"/>
    </row>
    <row r="47" spans="1:21" x14ac:dyDescent="0.25">
      <c r="A47" s="72">
        <v>13</v>
      </c>
      <c r="B47" s="37">
        <v>44</v>
      </c>
      <c r="C47" s="18" t="s">
        <v>51</v>
      </c>
      <c r="D47" s="6" t="s">
        <v>12</v>
      </c>
      <c r="E47" s="13">
        <v>21011498</v>
      </c>
      <c r="F47" s="6"/>
      <c r="G47" s="9">
        <v>75</v>
      </c>
      <c r="H47" s="6" t="s">
        <v>53</v>
      </c>
      <c r="I47" s="16" t="s">
        <v>23</v>
      </c>
      <c r="J47" s="6" t="s">
        <v>34</v>
      </c>
      <c r="K47" s="10" t="s">
        <v>63</v>
      </c>
      <c r="L47" s="6"/>
      <c r="M47" s="6">
        <v>18</v>
      </c>
      <c r="N47" s="6"/>
      <c r="O47" s="6"/>
      <c r="P47" s="29"/>
    </row>
    <row r="48" spans="1:21" x14ac:dyDescent="0.25">
      <c r="A48" s="72">
        <v>14</v>
      </c>
      <c r="B48" s="37">
        <v>45</v>
      </c>
      <c r="C48" s="18" t="s">
        <v>220</v>
      </c>
      <c r="D48" s="6" t="s">
        <v>12</v>
      </c>
      <c r="E48" s="13">
        <v>21015192</v>
      </c>
      <c r="F48" s="6"/>
      <c r="G48" s="9">
        <v>60</v>
      </c>
      <c r="H48" s="6" t="s">
        <v>54</v>
      </c>
      <c r="I48" s="16" t="s">
        <v>23</v>
      </c>
      <c r="J48" s="6" t="s">
        <v>34</v>
      </c>
      <c r="K48" s="10" t="s">
        <v>63</v>
      </c>
      <c r="L48" s="6"/>
      <c r="M48" s="6">
        <v>19</v>
      </c>
      <c r="N48" s="6"/>
      <c r="O48" s="6"/>
      <c r="P48" s="29"/>
    </row>
    <row r="49" spans="1:16" x14ac:dyDescent="0.25">
      <c r="A49" s="72">
        <v>15</v>
      </c>
      <c r="B49" s="37">
        <v>46</v>
      </c>
      <c r="C49" s="18" t="s">
        <v>55</v>
      </c>
      <c r="D49" s="6" t="s">
        <v>12</v>
      </c>
      <c r="E49" s="13">
        <v>37241037</v>
      </c>
      <c r="F49" s="6"/>
      <c r="G49" s="9">
        <v>70</v>
      </c>
      <c r="H49" s="6" t="s">
        <v>56</v>
      </c>
      <c r="I49" s="16" t="s">
        <v>23</v>
      </c>
      <c r="J49" s="6" t="s">
        <v>34</v>
      </c>
      <c r="K49" s="10" t="s">
        <v>63</v>
      </c>
      <c r="L49" s="6"/>
      <c r="M49" s="6">
        <v>20</v>
      </c>
      <c r="N49" s="6"/>
      <c r="O49" s="6"/>
      <c r="P49" s="29"/>
    </row>
    <row r="50" spans="1:16" x14ac:dyDescent="0.25">
      <c r="A50" s="72">
        <v>16</v>
      </c>
      <c r="B50" s="37">
        <v>47</v>
      </c>
      <c r="C50" s="18" t="s">
        <v>98</v>
      </c>
      <c r="D50" s="6" t="s">
        <v>32</v>
      </c>
      <c r="E50" s="13">
        <v>1195463766</v>
      </c>
      <c r="F50" s="8">
        <v>40692</v>
      </c>
      <c r="G50" s="9">
        <v>12</v>
      </c>
      <c r="H50" s="6"/>
      <c r="I50" s="16" t="s">
        <v>23</v>
      </c>
      <c r="J50" s="6" t="s">
        <v>34</v>
      </c>
      <c r="K50" s="133" t="s">
        <v>62</v>
      </c>
      <c r="L50" s="6"/>
      <c r="M50" s="6"/>
      <c r="N50" s="6">
        <v>10</v>
      </c>
      <c r="O50" s="6"/>
      <c r="P50" s="29"/>
    </row>
    <row r="51" spans="1:16" x14ac:dyDescent="0.25">
      <c r="A51" s="72">
        <v>17</v>
      </c>
      <c r="B51" s="37">
        <v>48</v>
      </c>
      <c r="C51" s="18" t="s">
        <v>226</v>
      </c>
      <c r="D51" s="6" t="s">
        <v>12</v>
      </c>
      <c r="E51" s="13">
        <v>21018576</v>
      </c>
      <c r="F51" s="6" t="s">
        <v>57</v>
      </c>
      <c r="G51" s="9">
        <v>41</v>
      </c>
      <c r="H51" s="6">
        <v>3142116642</v>
      </c>
      <c r="I51" s="16" t="s">
        <v>23</v>
      </c>
      <c r="J51" s="6" t="s">
        <v>34</v>
      </c>
      <c r="K51" s="10" t="s">
        <v>63</v>
      </c>
      <c r="L51" s="11">
        <v>100000</v>
      </c>
      <c r="M51" s="6">
        <v>21</v>
      </c>
      <c r="N51" s="6"/>
      <c r="O51" s="6"/>
      <c r="P51" s="29">
        <v>22</v>
      </c>
    </row>
    <row r="52" spans="1:16" x14ac:dyDescent="0.25">
      <c r="B52" s="37">
        <v>49</v>
      </c>
      <c r="C52" s="5" t="s">
        <v>58</v>
      </c>
      <c r="D52" s="6" t="s">
        <v>12</v>
      </c>
      <c r="E52" s="13">
        <v>35511678</v>
      </c>
      <c r="F52" s="8">
        <v>25104</v>
      </c>
      <c r="G52" s="9">
        <f>2023-1968</f>
        <v>55</v>
      </c>
      <c r="H52" s="6"/>
      <c r="I52" s="10" t="s">
        <v>13</v>
      </c>
      <c r="J52" s="6" t="s">
        <v>21</v>
      </c>
      <c r="K52" s="10" t="s">
        <v>63</v>
      </c>
      <c r="L52" s="6"/>
      <c r="M52" s="6">
        <v>22</v>
      </c>
      <c r="N52" s="6"/>
      <c r="O52" s="6"/>
      <c r="P52" s="29"/>
    </row>
    <row r="53" spans="1:16" x14ac:dyDescent="0.25">
      <c r="B53" s="37">
        <v>50</v>
      </c>
      <c r="C53" s="5" t="s">
        <v>59</v>
      </c>
      <c r="D53" s="6" t="s">
        <v>12</v>
      </c>
      <c r="E53" s="13">
        <v>1073629922</v>
      </c>
      <c r="F53" s="8">
        <v>34937</v>
      </c>
      <c r="G53" s="9">
        <f>2023-1995</f>
        <v>28</v>
      </c>
      <c r="H53" s="6"/>
      <c r="I53" s="10" t="s">
        <v>13</v>
      </c>
      <c r="J53" s="6" t="s">
        <v>21</v>
      </c>
      <c r="K53" s="19" t="s">
        <v>139</v>
      </c>
      <c r="L53" s="6"/>
      <c r="M53" s="6"/>
      <c r="N53" s="6"/>
      <c r="O53" s="6"/>
      <c r="P53" s="29">
        <v>15</v>
      </c>
    </row>
    <row r="54" spans="1:16" x14ac:dyDescent="0.25">
      <c r="B54" s="37">
        <v>51</v>
      </c>
      <c r="C54" s="15" t="s">
        <v>66</v>
      </c>
      <c r="D54" s="6" t="s">
        <v>12</v>
      </c>
      <c r="E54" s="13">
        <v>21018743</v>
      </c>
      <c r="F54" s="6"/>
      <c r="G54" s="9">
        <v>40</v>
      </c>
      <c r="H54" s="6"/>
      <c r="I54" s="16" t="s">
        <v>23</v>
      </c>
      <c r="J54" s="6" t="s">
        <v>14</v>
      </c>
      <c r="K54" s="10" t="s">
        <v>63</v>
      </c>
      <c r="L54" s="6" t="s">
        <v>152</v>
      </c>
      <c r="M54" s="6">
        <v>23</v>
      </c>
      <c r="N54" s="6"/>
      <c r="O54" s="23"/>
      <c r="P54" s="29"/>
    </row>
    <row r="55" spans="1:16" x14ac:dyDescent="0.25">
      <c r="B55" s="37">
        <v>52</v>
      </c>
      <c r="C55" s="15" t="s">
        <v>41</v>
      </c>
      <c r="D55" s="6" t="s">
        <v>32</v>
      </c>
      <c r="E55" s="13">
        <v>1075629884</v>
      </c>
      <c r="F55" s="6"/>
      <c r="G55" s="9">
        <v>7</v>
      </c>
      <c r="H55" s="6"/>
      <c r="I55" s="16" t="s">
        <v>23</v>
      </c>
      <c r="J55" s="6" t="s">
        <v>14</v>
      </c>
      <c r="K55" s="133" t="s">
        <v>62</v>
      </c>
      <c r="L55" s="6" t="s">
        <v>152</v>
      </c>
      <c r="M55" s="6"/>
      <c r="N55" s="6">
        <v>11</v>
      </c>
      <c r="O55" s="23"/>
      <c r="P55" s="29"/>
    </row>
    <row r="56" spans="1:16" x14ac:dyDescent="0.25">
      <c r="B56" s="37">
        <v>53</v>
      </c>
      <c r="C56" s="15" t="s">
        <v>69</v>
      </c>
      <c r="D56" s="6" t="s">
        <v>12</v>
      </c>
      <c r="E56" s="13">
        <v>21016741</v>
      </c>
      <c r="F56" s="6"/>
      <c r="G56" s="9">
        <v>52</v>
      </c>
      <c r="H56" s="6"/>
      <c r="I56" s="16" t="s">
        <v>23</v>
      </c>
      <c r="J56" s="6" t="s">
        <v>34</v>
      </c>
      <c r="K56" s="10" t="s">
        <v>63</v>
      </c>
      <c r="L56" s="11">
        <v>50000</v>
      </c>
      <c r="M56" s="6">
        <v>24</v>
      </c>
      <c r="N56" s="6"/>
      <c r="O56" s="23"/>
      <c r="P56" s="29"/>
    </row>
    <row r="57" spans="1:16" x14ac:dyDescent="0.25">
      <c r="B57" s="37">
        <v>54</v>
      </c>
      <c r="C57" s="15" t="s">
        <v>242</v>
      </c>
      <c r="D57" s="6" t="s">
        <v>12</v>
      </c>
      <c r="E57" s="13">
        <v>80357515</v>
      </c>
      <c r="F57" s="6"/>
      <c r="G57" s="9">
        <v>43</v>
      </c>
      <c r="H57" s="6">
        <v>3212974859</v>
      </c>
      <c r="I57" s="16" t="s">
        <v>23</v>
      </c>
      <c r="J57" s="6" t="s">
        <v>34</v>
      </c>
      <c r="K57" s="10" t="s">
        <v>63</v>
      </c>
      <c r="L57" s="11">
        <v>50000</v>
      </c>
      <c r="M57" s="6"/>
      <c r="N57" s="6"/>
      <c r="O57" s="6"/>
      <c r="P57" s="29"/>
    </row>
    <row r="58" spans="1:16" x14ac:dyDescent="0.25">
      <c r="B58" s="37">
        <v>55</v>
      </c>
      <c r="C58" s="15" t="s">
        <v>77</v>
      </c>
      <c r="D58" s="6" t="s">
        <v>12</v>
      </c>
      <c r="E58" s="13">
        <v>19143337</v>
      </c>
      <c r="F58" s="6"/>
      <c r="G58" s="9">
        <v>73</v>
      </c>
      <c r="H58" s="6" t="s">
        <v>170</v>
      </c>
      <c r="I58" s="16" t="s">
        <v>23</v>
      </c>
      <c r="J58" s="6" t="s">
        <v>14</v>
      </c>
      <c r="K58" s="10" t="s">
        <v>63</v>
      </c>
      <c r="L58" s="11">
        <v>250000</v>
      </c>
      <c r="M58" s="6">
        <v>25</v>
      </c>
      <c r="N58" s="6"/>
      <c r="O58" s="6"/>
      <c r="P58" s="29"/>
    </row>
    <row r="59" spans="1:16" x14ac:dyDescent="0.25">
      <c r="B59" s="37">
        <v>56</v>
      </c>
      <c r="C59" s="15" t="s">
        <v>78</v>
      </c>
      <c r="D59" s="6" t="s">
        <v>12</v>
      </c>
      <c r="E59" s="13">
        <v>41721559</v>
      </c>
      <c r="F59" s="6"/>
      <c r="G59" s="9">
        <v>67</v>
      </c>
      <c r="H59" s="6" t="s">
        <v>72</v>
      </c>
      <c r="I59" s="16" t="s">
        <v>23</v>
      </c>
      <c r="J59" s="6" t="s">
        <v>14</v>
      </c>
      <c r="K59" s="10" t="s">
        <v>63</v>
      </c>
      <c r="L59" s="6" t="s">
        <v>22</v>
      </c>
      <c r="M59" s="6">
        <v>26</v>
      </c>
      <c r="N59" s="6"/>
      <c r="O59" s="6"/>
      <c r="P59" s="29"/>
    </row>
    <row r="60" spans="1:16" x14ac:dyDescent="0.25">
      <c r="B60" s="37">
        <v>57</v>
      </c>
      <c r="C60" s="15" t="s">
        <v>79</v>
      </c>
      <c r="D60" s="6" t="s">
        <v>12</v>
      </c>
      <c r="E60" s="13">
        <v>41745302</v>
      </c>
      <c r="F60" s="6"/>
      <c r="G60" s="9">
        <v>69</v>
      </c>
      <c r="H60" s="6" t="s">
        <v>171</v>
      </c>
      <c r="I60" s="16" t="s">
        <v>23</v>
      </c>
      <c r="J60" s="6" t="s">
        <v>14</v>
      </c>
      <c r="K60" s="10" t="s">
        <v>63</v>
      </c>
      <c r="L60" s="6" t="s">
        <v>22</v>
      </c>
      <c r="M60" s="6">
        <v>27</v>
      </c>
      <c r="N60" s="6"/>
      <c r="O60" s="6"/>
      <c r="P60" s="29"/>
    </row>
    <row r="61" spans="1:16" x14ac:dyDescent="0.25">
      <c r="B61" s="37">
        <v>58</v>
      </c>
      <c r="C61" s="15" t="s">
        <v>80</v>
      </c>
      <c r="D61" s="6" t="s">
        <v>12</v>
      </c>
      <c r="E61" s="13">
        <v>51747869</v>
      </c>
      <c r="F61" s="6"/>
      <c r="G61" s="9">
        <v>59</v>
      </c>
      <c r="H61" s="6" t="s">
        <v>172</v>
      </c>
      <c r="I61" s="16" t="s">
        <v>23</v>
      </c>
      <c r="J61" s="6" t="s">
        <v>14</v>
      </c>
      <c r="K61" s="10" t="s">
        <v>63</v>
      </c>
      <c r="L61" s="6" t="s">
        <v>22</v>
      </c>
      <c r="M61" s="6">
        <v>28</v>
      </c>
      <c r="N61" s="6"/>
      <c r="O61" s="6"/>
      <c r="P61" s="29"/>
    </row>
    <row r="62" spans="1:16" ht="15.75" thickBot="1" x14ac:dyDescent="0.3">
      <c r="B62" s="37">
        <v>59</v>
      </c>
      <c r="C62" s="58" t="s">
        <v>81</v>
      </c>
      <c r="D62" s="46" t="s">
        <v>12</v>
      </c>
      <c r="E62" s="52">
        <v>35504848</v>
      </c>
      <c r="F62" s="46" t="s">
        <v>174</v>
      </c>
      <c r="G62" s="50">
        <v>62</v>
      </c>
      <c r="H62" s="46" t="s">
        <v>173</v>
      </c>
      <c r="I62" s="57" t="s">
        <v>23</v>
      </c>
      <c r="J62" s="46" t="s">
        <v>14</v>
      </c>
      <c r="K62" s="51" t="s">
        <v>61</v>
      </c>
      <c r="L62" s="46" t="s">
        <v>22</v>
      </c>
      <c r="M62" s="6"/>
      <c r="N62" s="6"/>
      <c r="O62" s="6"/>
      <c r="P62" s="29">
        <v>31</v>
      </c>
    </row>
    <row r="63" spans="1:16" x14ac:dyDescent="0.25">
      <c r="B63" s="37">
        <v>60</v>
      </c>
      <c r="C63" s="12" t="s">
        <v>82</v>
      </c>
      <c r="D63" s="6" t="s">
        <v>12</v>
      </c>
      <c r="E63" s="7">
        <v>20357650</v>
      </c>
      <c r="F63" s="6" t="s">
        <v>83</v>
      </c>
      <c r="G63" s="9">
        <f>2023-1962</f>
        <v>61</v>
      </c>
      <c r="H63" s="6"/>
      <c r="I63" s="14" t="s">
        <v>15</v>
      </c>
      <c r="J63" s="6" t="s">
        <v>14</v>
      </c>
      <c r="K63" s="10" t="s">
        <v>63</v>
      </c>
      <c r="L63" s="11">
        <v>150000</v>
      </c>
      <c r="M63" s="6">
        <v>29</v>
      </c>
      <c r="N63" s="6"/>
      <c r="O63" s="6"/>
      <c r="P63" s="29"/>
    </row>
    <row r="64" spans="1:16" x14ac:dyDescent="0.25">
      <c r="B64" s="37">
        <v>61</v>
      </c>
      <c r="C64" s="12" t="s">
        <v>84</v>
      </c>
      <c r="D64" s="6" t="s">
        <v>12</v>
      </c>
      <c r="E64" s="13">
        <v>178772</v>
      </c>
      <c r="F64" s="6" t="s">
        <v>85</v>
      </c>
      <c r="G64" s="9">
        <f>2024-1956</f>
        <v>68</v>
      </c>
      <c r="H64" s="6"/>
      <c r="I64" s="14" t="s">
        <v>15</v>
      </c>
      <c r="J64" s="6" t="s">
        <v>14</v>
      </c>
      <c r="K64" s="19" t="s">
        <v>139</v>
      </c>
      <c r="L64" s="6" t="s">
        <v>22</v>
      </c>
      <c r="M64" s="6"/>
      <c r="N64" s="6"/>
      <c r="O64" s="6"/>
      <c r="P64" s="29"/>
    </row>
    <row r="65" spans="1:16" ht="15.75" thickBot="1" x14ac:dyDescent="0.3">
      <c r="B65" s="37">
        <v>62</v>
      </c>
      <c r="C65" s="47" t="s">
        <v>86</v>
      </c>
      <c r="D65" s="46" t="s">
        <v>12</v>
      </c>
      <c r="E65" s="52">
        <v>1072960803</v>
      </c>
      <c r="F65" s="46" t="s">
        <v>87</v>
      </c>
      <c r="G65" s="50">
        <f>2024-1989</f>
        <v>35</v>
      </c>
      <c r="H65" s="46">
        <v>3118842333</v>
      </c>
      <c r="I65" s="51" t="s">
        <v>15</v>
      </c>
      <c r="J65" s="46" t="s">
        <v>14</v>
      </c>
      <c r="K65" s="145" t="s">
        <v>138</v>
      </c>
      <c r="L65" s="46" t="s">
        <v>22</v>
      </c>
      <c r="M65" s="6"/>
      <c r="N65" s="6"/>
      <c r="O65" s="6"/>
      <c r="P65" s="29"/>
    </row>
    <row r="66" spans="1:16" x14ac:dyDescent="0.25">
      <c r="B66" s="37">
        <v>63</v>
      </c>
      <c r="C66" s="5" t="s">
        <v>95</v>
      </c>
      <c r="D66" s="6" t="s">
        <v>12</v>
      </c>
      <c r="E66" s="13">
        <v>1010219257</v>
      </c>
      <c r="F66" s="6"/>
      <c r="G66" s="9">
        <v>29</v>
      </c>
      <c r="H66" s="6"/>
      <c r="I66" s="10" t="s">
        <v>13</v>
      </c>
      <c r="J66" s="6" t="s">
        <v>14</v>
      </c>
      <c r="K66" s="10" t="s">
        <v>63</v>
      </c>
      <c r="L66" s="6" t="s">
        <v>152</v>
      </c>
      <c r="M66" s="6">
        <v>30</v>
      </c>
      <c r="N66" s="6"/>
      <c r="O66" s="6"/>
      <c r="P66" s="29"/>
    </row>
    <row r="67" spans="1:16" x14ac:dyDescent="0.25">
      <c r="A67">
        <v>1</v>
      </c>
      <c r="B67" s="37">
        <v>64</v>
      </c>
      <c r="C67" s="25" t="s">
        <v>101</v>
      </c>
      <c r="D67" s="6" t="s">
        <v>12</v>
      </c>
      <c r="E67" s="13">
        <v>20871590</v>
      </c>
      <c r="F67" s="26">
        <v>25440</v>
      </c>
      <c r="G67" s="9">
        <f>2023-1969</f>
        <v>54</v>
      </c>
      <c r="H67" s="6"/>
      <c r="I67" s="10" t="s">
        <v>13</v>
      </c>
      <c r="J67" s="6" t="s">
        <v>102</v>
      </c>
      <c r="K67" s="10" t="s">
        <v>63</v>
      </c>
      <c r="L67" s="6" t="s">
        <v>152</v>
      </c>
      <c r="M67" s="6">
        <v>31</v>
      </c>
      <c r="N67" s="6">
        <v>1</v>
      </c>
      <c r="O67" s="6"/>
      <c r="P67" s="29"/>
    </row>
    <row r="68" spans="1:16" x14ac:dyDescent="0.25">
      <c r="A68">
        <v>2</v>
      </c>
      <c r="B68" s="37">
        <v>65</v>
      </c>
      <c r="C68" s="5" t="s">
        <v>103</v>
      </c>
      <c r="D68" s="6" t="s">
        <v>12</v>
      </c>
      <c r="E68" s="11">
        <v>65739648</v>
      </c>
      <c r="F68" s="26">
        <v>24632</v>
      </c>
      <c r="G68" s="9">
        <f>2023-1967</f>
        <v>56</v>
      </c>
      <c r="H68" s="6"/>
      <c r="I68" s="10" t="s">
        <v>13</v>
      </c>
      <c r="J68" s="6" t="s">
        <v>102</v>
      </c>
      <c r="K68" s="10" t="s">
        <v>63</v>
      </c>
      <c r="L68" s="6"/>
      <c r="M68" s="6">
        <v>32</v>
      </c>
      <c r="N68" s="6">
        <v>2</v>
      </c>
      <c r="O68" s="6"/>
      <c r="P68" s="29"/>
    </row>
    <row r="69" spans="1:16" x14ac:dyDescent="0.25">
      <c r="A69">
        <v>3</v>
      </c>
      <c r="B69" s="37">
        <v>66</v>
      </c>
      <c r="C69" s="5" t="s">
        <v>246</v>
      </c>
      <c r="D69" s="6" t="s">
        <v>12</v>
      </c>
      <c r="E69" s="11">
        <v>18910334</v>
      </c>
      <c r="F69" s="26">
        <v>17635</v>
      </c>
      <c r="G69" s="9">
        <f>2024-1948</f>
        <v>76</v>
      </c>
      <c r="H69" s="6"/>
      <c r="I69" s="10" t="s">
        <v>13</v>
      </c>
      <c r="J69" s="6" t="s">
        <v>102</v>
      </c>
      <c r="K69" s="10" t="s">
        <v>63</v>
      </c>
      <c r="L69" s="6"/>
      <c r="M69" s="6"/>
      <c r="N69" s="6">
        <v>3</v>
      </c>
      <c r="O69" s="6"/>
      <c r="P69" s="29"/>
    </row>
    <row r="70" spans="1:16" x14ac:dyDescent="0.25">
      <c r="A70">
        <v>4</v>
      </c>
      <c r="B70" s="37">
        <v>67</v>
      </c>
      <c r="C70" s="5" t="s">
        <v>187</v>
      </c>
      <c r="D70" s="6" t="s">
        <v>12</v>
      </c>
      <c r="E70" s="11">
        <v>20869989</v>
      </c>
      <c r="F70" s="27">
        <v>13998</v>
      </c>
      <c r="G70" s="9">
        <f>2024-1938</f>
        <v>86</v>
      </c>
      <c r="H70" s="6"/>
      <c r="I70" s="10" t="s">
        <v>13</v>
      </c>
      <c r="J70" s="6" t="s">
        <v>102</v>
      </c>
      <c r="K70" s="10" t="s">
        <v>63</v>
      </c>
      <c r="L70" s="11">
        <v>110000</v>
      </c>
      <c r="M70" s="6">
        <v>33</v>
      </c>
      <c r="N70" s="6">
        <v>4</v>
      </c>
      <c r="O70" s="6"/>
      <c r="P70" s="29"/>
    </row>
    <row r="71" spans="1:16" x14ac:dyDescent="0.25">
      <c r="A71">
        <v>5</v>
      </c>
      <c r="B71" s="37">
        <v>68</v>
      </c>
      <c r="C71" s="5" t="s">
        <v>104</v>
      </c>
      <c r="D71" s="6" t="s">
        <v>12</v>
      </c>
      <c r="E71" s="28">
        <v>39561291</v>
      </c>
      <c r="F71" s="26">
        <v>24141</v>
      </c>
      <c r="G71" s="9">
        <f>2024-1966</f>
        <v>58</v>
      </c>
      <c r="H71" s="6"/>
      <c r="I71" s="10" t="s">
        <v>13</v>
      </c>
      <c r="J71" s="6" t="s">
        <v>102</v>
      </c>
      <c r="K71" s="10" t="s">
        <v>63</v>
      </c>
      <c r="L71" s="11">
        <v>100000</v>
      </c>
      <c r="M71" s="6">
        <v>34</v>
      </c>
      <c r="N71" s="6">
        <v>5</v>
      </c>
      <c r="O71" s="6"/>
      <c r="P71" s="29"/>
    </row>
    <row r="72" spans="1:16" x14ac:dyDescent="0.25">
      <c r="A72">
        <v>6</v>
      </c>
      <c r="B72" s="37">
        <v>69</v>
      </c>
      <c r="C72" s="5" t="s">
        <v>105</v>
      </c>
      <c r="D72" s="6" t="s">
        <v>12</v>
      </c>
      <c r="E72" s="11">
        <v>41331947</v>
      </c>
      <c r="F72" s="26">
        <v>15896</v>
      </c>
      <c r="G72" s="9">
        <f>2023-1943</f>
        <v>80</v>
      </c>
      <c r="H72" s="6"/>
      <c r="I72" s="10" t="s">
        <v>13</v>
      </c>
      <c r="J72" s="6" t="s">
        <v>102</v>
      </c>
      <c r="K72" s="10" t="s">
        <v>63</v>
      </c>
      <c r="L72" s="11">
        <v>100000</v>
      </c>
      <c r="M72" s="6">
        <v>35</v>
      </c>
      <c r="N72" s="6">
        <v>6</v>
      </c>
      <c r="O72" s="6"/>
      <c r="P72" s="29"/>
    </row>
    <row r="73" spans="1:16" x14ac:dyDescent="0.25">
      <c r="A73">
        <v>7</v>
      </c>
      <c r="B73" s="37">
        <v>70</v>
      </c>
      <c r="C73" s="5" t="s">
        <v>106</v>
      </c>
      <c r="D73" s="6" t="s">
        <v>12</v>
      </c>
      <c r="E73" s="11">
        <v>27971839</v>
      </c>
      <c r="F73" s="26">
        <v>15398</v>
      </c>
      <c r="G73" s="9">
        <f>2024-1942</f>
        <v>82</v>
      </c>
      <c r="H73" s="6"/>
      <c r="I73" s="10" t="s">
        <v>13</v>
      </c>
      <c r="J73" s="6" t="s">
        <v>102</v>
      </c>
      <c r="K73" s="10" t="s">
        <v>63</v>
      </c>
      <c r="L73" s="11" t="s">
        <v>152</v>
      </c>
      <c r="M73" s="6">
        <v>36</v>
      </c>
      <c r="N73" s="6">
        <v>7</v>
      </c>
      <c r="O73" s="6"/>
      <c r="P73" s="29"/>
    </row>
    <row r="74" spans="1:16" x14ac:dyDescent="0.25">
      <c r="A74">
        <v>8</v>
      </c>
      <c r="B74" s="37">
        <v>71</v>
      </c>
      <c r="C74" s="5" t="s">
        <v>107</v>
      </c>
      <c r="D74" s="6" t="s">
        <v>12</v>
      </c>
      <c r="E74" s="11">
        <v>20278409</v>
      </c>
      <c r="F74" s="26">
        <v>13297</v>
      </c>
      <c r="G74" s="9">
        <f>2023-1936</f>
        <v>87</v>
      </c>
      <c r="H74" s="6"/>
      <c r="I74" s="10" t="s">
        <v>13</v>
      </c>
      <c r="J74" s="6" t="s">
        <v>102</v>
      </c>
      <c r="K74" s="10" t="s">
        <v>63</v>
      </c>
      <c r="L74" s="11" t="s">
        <v>152</v>
      </c>
      <c r="M74" s="6">
        <v>37</v>
      </c>
      <c r="N74" s="6">
        <v>8</v>
      </c>
      <c r="O74" s="6"/>
      <c r="P74" s="29"/>
    </row>
    <row r="75" spans="1:16" x14ac:dyDescent="0.25">
      <c r="A75">
        <v>9</v>
      </c>
      <c r="B75" s="37">
        <v>72</v>
      </c>
      <c r="C75" s="5" t="s">
        <v>108</v>
      </c>
      <c r="D75" s="6" t="s">
        <v>12</v>
      </c>
      <c r="E75" s="11">
        <v>20871360</v>
      </c>
      <c r="F75" s="26">
        <v>23413</v>
      </c>
      <c r="G75" s="9">
        <f>2024-1964</f>
        <v>60</v>
      </c>
      <c r="H75" s="6"/>
      <c r="I75" s="10" t="s">
        <v>13</v>
      </c>
      <c r="J75" s="6" t="s">
        <v>102</v>
      </c>
      <c r="K75" s="10" t="s">
        <v>63</v>
      </c>
      <c r="L75" s="11" t="s">
        <v>152</v>
      </c>
      <c r="M75" s="6">
        <v>38</v>
      </c>
      <c r="N75" s="6">
        <v>9</v>
      </c>
      <c r="O75" s="6"/>
      <c r="P75" s="29"/>
    </row>
    <row r="76" spans="1:16" x14ac:dyDescent="0.25">
      <c r="A76">
        <v>10</v>
      </c>
      <c r="B76" s="37">
        <v>73</v>
      </c>
      <c r="C76" s="5" t="s">
        <v>109</v>
      </c>
      <c r="D76" s="6" t="s">
        <v>12</v>
      </c>
      <c r="E76" s="28">
        <v>41432259</v>
      </c>
      <c r="F76" s="26">
        <v>17943</v>
      </c>
      <c r="G76" s="9">
        <f>2024-1949</f>
        <v>75</v>
      </c>
      <c r="H76" s="6"/>
      <c r="I76" s="10" t="s">
        <v>13</v>
      </c>
      <c r="J76" s="6" t="s">
        <v>102</v>
      </c>
      <c r="K76" s="10" t="s">
        <v>63</v>
      </c>
      <c r="L76" s="11" t="s">
        <v>152</v>
      </c>
      <c r="M76" s="6">
        <v>39</v>
      </c>
      <c r="N76" s="6">
        <v>10</v>
      </c>
      <c r="O76" s="6"/>
      <c r="P76" s="29"/>
    </row>
    <row r="77" spans="1:16" x14ac:dyDescent="0.25">
      <c r="A77">
        <v>11</v>
      </c>
      <c r="B77" s="37">
        <v>74</v>
      </c>
      <c r="C77" s="25" t="s">
        <v>110</v>
      </c>
      <c r="D77" s="6" t="s">
        <v>12</v>
      </c>
      <c r="E77" s="11">
        <v>10248545</v>
      </c>
      <c r="F77" s="26">
        <v>21427</v>
      </c>
      <c r="G77" s="9">
        <f>2023-1958</f>
        <v>65</v>
      </c>
      <c r="H77" s="6"/>
      <c r="I77" s="10" t="s">
        <v>13</v>
      </c>
      <c r="J77" s="6" t="s">
        <v>102</v>
      </c>
      <c r="K77" s="10" t="s">
        <v>63</v>
      </c>
      <c r="L77" s="11" t="s">
        <v>152</v>
      </c>
      <c r="M77" s="6">
        <v>40</v>
      </c>
      <c r="N77" s="6">
        <v>11</v>
      </c>
      <c r="O77" s="6"/>
      <c r="P77" s="29"/>
    </row>
    <row r="78" spans="1:16" x14ac:dyDescent="0.25">
      <c r="A78">
        <v>12</v>
      </c>
      <c r="B78" s="37">
        <v>75</v>
      </c>
      <c r="C78" s="5" t="s">
        <v>137</v>
      </c>
      <c r="D78" s="6" t="s">
        <v>12</v>
      </c>
      <c r="E78" s="11">
        <v>20614682</v>
      </c>
      <c r="F78" s="27">
        <v>16452</v>
      </c>
      <c r="G78" s="9">
        <f>2024-1945</f>
        <v>79</v>
      </c>
      <c r="H78" s="6"/>
      <c r="I78" s="10" t="s">
        <v>13</v>
      </c>
      <c r="J78" s="6" t="s">
        <v>102</v>
      </c>
      <c r="K78" s="10" t="s">
        <v>63</v>
      </c>
      <c r="L78" s="11" t="s">
        <v>152</v>
      </c>
      <c r="M78" s="6">
        <v>41</v>
      </c>
      <c r="N78" s="6">
        <v>12</v>
      </c>
      <c r="O78" s="6"/>
      <c r="P78" s="29"/>
    </row>
    <row r="79" spans="1:16" x14ac:dyDescent="0.25">
      <c r="A79">
        <v>13</v>
      </c>
      <c r="B79" s="37">
        <v>76</v>
      </c>
      <c r="C79" s="5" t="s">
        <v>111</v>
      </c>
      <c r="D79" s="6" t="s">
        <v>12</v>
      </c>
      <c r="E79" s="11">
        <v>20871799</v>
      </c>
      <c r="F79" s="26">
        <v>22957</v>
      </c>
      <c r="G79" s="9">
        <f>2023-1962</f>
        <v>61</v>
      </c>
      <c r="H79" s="6"/>
      <c r="I79" s="10" t="s">
        <v>13</v>
      </c>
      <c r="J79" s="6" t="s">
        <v>102</v>
      </c>
      <c r="K79" s="10" t="s">
        <v>63</v>
      </c>
      <c r="L79" s="11" t="s">
        <v>152</v>
      </c>
      <c r="M79" s="6">
        <v>42</v>
      </c>
      <c r="N79" s="6">
        <v>13</v>
      </c>
      <c r="O79" s="6"/>
      <c r="P79" s="29"/>
    </row>
    <row r="80" spans="1:16" x14ac:dyDescent="0.25">
      <c r="A80">
        <v>14</v>
      </c>
      <c r="B80" s="37">
        <v>77</v>
      </c>
      <c r="C80" s="5" t="s">
        <v>112</v>
      </c>
      <c r="D80" s="6" t="s">
        <v>12</v>
      </c>
      <c r="E80" s="11">
        <v>1030645467</v>
      </c>
      <c r="F80" s="26">
        <v>34489</v>
      </c>
      <c r="G80" s="9">
        <f>2023-1994</f>
        <v>29</v>
      </c>
      <c r="H80" s="6"/>
      <c r="I80" s="10" t="s">
        <v>13</v>
      </c>
      <c r="J80" s="6" t="s">
        <v>102</v>
      </c>
      <c r="K80" s="133" t="s">
        <v>62</v>
      </c>
      <c r="L80" s="11" t="s">
        <v>152</v>
      </c>
      <c r="M80" s="6"/>
      <c r="N80" s="6">
        <v>12</v>
      </c>
      <c r="O80" s="6"/>
      <c r="P80" s="29"/>
    </row>
    <row r="81" spans="1:16" x14ac:dyDescent="0.25">
      <c r="A81">
        <v>15</v>
      </c>
      <c r="B81" s="37">
        <v>78</v>
      </c>
      <c r="C81" s="5" t="s">
        <v>113</v>
      </c>
      <c r="D81" s="6" t="s">
        <v>32</v>
      </c>
      <c r="E81" s="11">
        <v>1188215947</v>
      </c>
      <c r="F81" s="26">
        <v>40779</v>
      </c>
      <c r="G81" s="9">
        <f>2023-2011</f>
        <v>12</v>
      </c>
      <c r="H81" s="6"/>
      <c r="I81" s="10" t="s">
        <v>13</v>
      </c>
      <c r="J81" s="6" t="s">
        <v>102</v>
      </c>
      <c r="K81" s="144" t="s">
        <v>138</v>
      </c>
      <c r="L81" s="11" t="s">
        <v>152</v>
      </c>
      <c r="M81" s="6"/>
      <c r="N81" s="6"/>
      <c r="O81" s="6"/>
      <c r="P81" s="29"/>
    </row>
    <row r="82" spans="1:16" x14ac:dyDescent="0.25">
      <c r="A82">
        <v>16</v>
      </c>
      <c r="B82" s="37">
        <v>79</v>
      </c>
      <c r="C82" s="5" t="s">
        <v>114</v>
      </c>
      <c r="D82" s="6" t="s">
        <v>12</v>
      </c>
      <c r="E82" s="28">
        <v>1030554290</v>
      </c>
      <c r="F82" s="26">
        <v>32541</v>
      </c>
      <c r="G82" s="9">
        <f>2024-1989</f>
        <v>35</v>
      </c>
      <c r="H82" s="6"/>
      <c r="I82" s="10" t="s">
        <v>13</v>
      </c>
      <c r="J82" s="6" t="s">
        <v>102</v>
      </c>
      <c r="K82" s="10" t="s">
        <v>63</v>
      </c>
      <c r="L82" s="11" t="s">
        <v>152</v>
      </c>
      <c r="M82" s="6">
        <v>43</v>
      </c>
      <c r="N82" s="6"/>
      <c r="O82" s="6"/>
      <c r="P82" s="29"/>
    </row>
    <row r="83" spans="1:16" x14ac:dyDescent="0.25">
      <c r="A83">
        <v>17</v>
      </c>
      <c r="B83" s="37">
        <v>80</v>
      </c>
      <c r="C83" s="5" t="s">
        <v>115</v>
      </c>
      <c r="D83" s="6" t="s">
        <v>32</v>
      </c>
      <c r="E83" s="28">
        <v>1023410143</v>
      </c>
      <c r="F83" s="26">
        <v>42629</v>
      </c>
      <c r="G83" s="9">
        <f>2023-2016</f>
        <v>7</v>
      </c>
      <c r="H83" s="6"/>
      <c r="I83" s="10" t="s">
        <v>13</v>
      </c>
      <c r="J83" s="6" t="s">
        <v>102</v>
      </c>
      <c r="K83" s="144" t="s">
        <v>138</v>
      </c>
      <c r="L83" s="11">
        <v>76000</v>
      </c>
      <c r="M83" s="6"/>
      <c r="N83" s="6"/>
      <c r="O83" s="6"/>
      <c r="P83" s="29"/>
    </row>
    <row r="84" spans="1:16" x14ac:dyDescent="0.25">
      <c r="A84">
        <v>18</v>
      </c>
      <c r="B84" s="37">
        <v>81</v>
      </c>
      <c r="C84" s="5" t="s">
        <v>116</v>
      </c>
      <c r="D84" s="6" t="s">
        <v>12</v>
      </c>
      <c r="E84" s="11">
        <v>6333891</v>
      </c>
      <c r="F84" s="26">
        <v>31231</v>
      </c>
      <c r="G84" s="9">
        <f>2023-1985</f>
        <v>38</v>
      </c>
      <c r="H84" s="6"/>
      <c r="I84" s="10" t="s">
        <v>13</v>
      </c>
      <c r="J84" s="6" t="s">
        <v>102</v>
      </c>
      <c r="K84" s="133" t="s">
        <v>62</v>
      </c>
      <c r="L84" s="11">
        <v>50000</v>
      </c>
      <c r="M84" s="6"/>
      <c r="N84" s="6">
        <v>13</v>
      </c>
      <c r="O84" s="6"/>
      <c r="P84" s="29"/>
    </row>
    <row r="85" spans="1:16" x14ac:dyDescent="0.25">
      <c r="A85">
        <v>19</v>
      </c>
      <c r="B85" s="37">
        <v>82</v>
      </c>
      <c r="C85" s="25" t="s">
        <v>117</v>
      </c>
      <c r="D85" s="6" t="s">
        <v>12</v>
      </c>
      <c r="E85" s="11">
        <v>20872348</v>
      </c>
      <c r="F85" s="26">
        <v>31066</v>
      </c>
      <c r="G85" s="9">
        <f>2024-1985</f>
        <v>39</v>
      </c>
      <c r="H85" s="6"/>
      <c r="I85" s="10" t="s">
        <v>13</v>
      </c>
      <c r="J85" s="6" t="s">
        <v>102</v>
      </c>
      <c r="K85" s="133" t="s">
        <v>62</v>
      </c>
      <c r="L85" s="11">
        <v>50000</v>
      </c>
      <c r="M85" s="6"/>
      <c r="N85" s="6">
        <v>14</v>
      </c>
      <c r="O85" s="6"/>
      <c r="P85" s="29"/>
    </row>
    <row r="86" spans="1:16" x14ac:dyDescent="0.25">
      <c r="A86">
        <v>20</v>
      </c>
      <c r="B86" s="37">
        <v>83</v>
      </c>
      <c r="C86" s="25" t="s">
        <v>181</v>
      </c>
      <c r="D86" s="6" t="s">
        <v>32</v>
      </c>
      <c r="E86" s="11">
        <v>1030593363</v>
      </c>
      <c r="F86" s="26">
        <v>39954</v>
      </c>
      <c r="G86" s="9">
        <f>2023-2009</f>
        <v>14</v>
      </c>
      <c r="H86" s="6"/>
      <c r="I86" s="10" t="s">
        <v>13</v>
      </c>
      <c r="J86" s="6" t="s">
        <v>102</v>
      </c>
      <c r="K86" s="133" t="s">
        <v>62</v>
      </c>
      <c r="L86" s="11" t="s">
        <v>152</v>
      </c>
      <c r="M86" s="6"/>
      <c r="N86" s="6">
        <v>15</v>
      </c>
      <c r="O86" s="6"/>
      <c r="P86" s="29"/>
    </row>
    <row r="87" spans="1:16" x14ac:dyDescent="0.25">
      <c r="A87">
        <v>21</v>
      </c>
      <c r="B87" s="37">
        <v>84</v>
      </c>
      <c r="C87" s="5" t="s">
        <v>118</v>
      </c>
      <c r="D87" s="6" t="s">
        <v>12</v>
      </c>
      <c r="E87" s="11">
        <v>20871480</v>
      </c>
      <c r="F87" s="26">
        <v>24952</v>
      </c>
      <c r="G87" s="9">
        <f>2024-1968</f>
        <v>56</v>
      </c>
      <c r="H87" s="6"/>
      <c r="I87" s="10" t="s">
        <v>13</v>
      </c>
      <c r="J87" s="6" t="s">
        <v>102</v>
      </c>
      <c r="K87" s="10" t="s">
        <v>203</v>
      </c>
      <c r="L87" s="11" t="s">
        <v>152</v>
      </c>
      <c r="M87" s="6">
        <v>44</v>
      </c>
      <c r="N87" s="6"/>
      <c r="O87" s="6"/>
      <c r="P87" s="29"/>
    </row>
    <row r="88" spans="1:16" x14ac:dyDescent="0.25">
      <c r="A88">
        <v>22</v>
      </c>
      <c r="B88" s="37">
        <v>85</v>
      </c>
      <c r="C88" s="5" t="s">
        <v>119</v>
      </c>
      <c r="D88" s="6" t="s">
        <v>12</v>
      </c>
      <c r="E88" s="11">
        <v>28626506</v>
      </c>
      <c r="F88" s="26">
        <v>14651</v>
      </c>
      <c r="G88" s="9">
        <f>2024-1940</f>
        <v>84</v>
      </c>
      <c r="H88" s="6"/>
      <c r="I88" s="10" t="s">
        <v>13</v>
      </c>
      <c r="J88" s="6" t="s">
        <v>102</v>
      </c>
      <c r="K88" s="10" t="s">
        <v>63</v>
      </c>
      <c r="L88" s="11">
        <v>100000</v>
      </c>
      <c r="M88" s="6">
        <v>45</v>
      </c>
      <c r="N88" s="6"/>
      <c r="O88" s="6"/>
      <c r="P88" s="29"/>
    </row>
    <row r="89" spans="1:16" x14ac:dyDescent="0.25">
      <c r="A89">
        <v>23</v>
      </c>
      <c r="B89" s="37">
        <v>86</v>
      </c>
      <c r="C89" s="5" t="s">
        <v>120</v>
      </c>
      <c r="D89" s="6" t="s">
        <v>32</v>
      </c>
      <c r="E89" s="11">
        <v>1073629444</v>
      </c>
      <c r="F89" s="26">
        <v>40603</v>
      </c>
      <c r="G89" s="9">
        <f>2024-2011</f>
        <v>13</v>
      </c>
      <c r="H89" s="6"/>
      <c r="I89" s="10" t="s">
        <v>13</v>
      </c>
      <c r="J89" s="6" t="s">
        <v>102</v>
      </c>
      <c r="K89" s="144" t="s">
        <v>138</v>
      </c>
      <c r="L89" s="11">
        <v>100000</v>
      </c>
      <c r="M89" s="6"/>
      <c r="N89" s="6"/>
      <c r="O89" s="6"/>
      <c r="P89" s="29"/>
    </row>
    <row r="90" spans="1:16" x14ac:dyDescent="0.25">
      <c r="A90">
        <v>24</v>
      </c>
      <c r="B90" s="37">
        <v>87</v>
      </c>
      <c r="C90" s="5" t="s">
        <v>121</v>
      </c>
      <c r="D90" s="6" t="s">
        <v>12</v>
      </c>
      <c r="E90" s="11">
        <v>11451728</v>
      </c>
      <c r="F90" s="26">
        <v>29804</v>
      </c>
      <c r="G90" s="9">
        <f>2023-1981</f>
        <v>42</v>
      </c>
      <c r="H90" s="6"/>
      <c r="I90" s="10" t="s">
        <v>13</v>
      </c>
      <c r="J90" s="6" t="s">
        <v>102</v>
      </c>
      <c r="K90" s="14" t="s">
        <v>61</v>
      </c>
      <c r="L90" s="11">
        <v>100000</v>
      </c>
      <c r="M90" s="6"/>
      <c r="N90" s="6"/>
      <c r="O90" s="6"/>
      <c r="P90" s="29"/>
    </row>
    <row r="91" spans="1:16" x14ac:dyDescent="0.25">
      <c r="A91">
        <v>25</v>
      </c>
      <c r="B91" s="37">
        <v>88</v>
      </c>
      <c r="C91" s="5" t="s">
        <v>122</v>
      </c>
      <c r="D91" s="6" t="s">
        <v>12</v>
      </c>
      <c r="E91" s="11">
        <v>20872366</v>
      </c>
      <c r="F91" s="24" t="s">
        <v>123</v>
      </c>
      <c r="G91" s="9">
        <f>2023-1985</f>
        <v>38</v>
      </c>
      <c r="H91" s="6"/>
      <c r="I91" s="10" t="s">
        <v>13</v>
      </c>
      <c r="J91" s="6" t="s">
        <v>102</v>
      </c>
      <c r="K91" s="19" t="s">
        <v>139</v>
      </c>
      <c r="L91" s="11">
        <v>100000</v>
      </c>
      <c r="M91" s="6"/>
      <c r="N91" s="6"/>
      <c r="O91" s="6"/>
      <c r="P91" s="29"/>
    </row>
    <row r="92" spans="1:16" x14ac:dyDescent="0.25">
      <c r="A92">
        <v>26</v>
      </c>
      <c r="B92" s="37">
        <v>89</v>
      </c>
      <c r="C92" s="5" t="s">
        <v>124</v>
      </c>
      <c r="D92" s="6" t="s">
        <v>12</v>
      </c>
      <c r="E92" s="11">
        <v>51651341</v>
      </c>
      <c r="F92" s="26">
        <v>22405</v>
      </c>
      <c r="G92" s="9">
        <f>2024-1961</f>
        <v>63</v>
      </c>
      <c r="H92" s="6"/>
      <c r="I92" s="10" t="s">
        <v>13</v>
      </c>
      <c r="J92" s="6" t="s">
        <v>102</v>
      </c>
      <c r="K92" s="10" t="s">
        <v>63</v>
      </c>
      <c r="L92" s="6"/>
      <c r="M92" s="6">
        <v>46</v>
      </c>
      <c r="N92" s="6"/>
      <c r="O92" s="6"/>
      <c r="P92" s="29"/>
    </row>
    <row r="93" spans="1:16" x14ac:dyDescent="0.25">
      <c r="A93">
        <v>27</v>
      </c>
      <c r="B93" s="37">
        <v>90</v>
      </c>
      <c r="C93" s="5" t="s">
        <v>125</v>
      </c>
      <c r="D93" s="6" t="s">
        <v>12</v>
      </c>
      <c r="E93" s="28">
        <v>51954742</v>
      </c>
      <c r="F93" s="26">
        <v>25474</v>
      </c>
      <c r="G93" s="9">
        <f>2023-1969</f>
        <v>54</v>
      </c>
      <c r="H93" s="6"/>
      <c r="I93" s="10" t="s">
        <v>13</v>
      </c>
      <c r="J93" s="6" t="s">
        <v>102</v>
      </c>
      <c r="K93" s="10" t="s">
        <v>63</v>
      </c>
      <c r="L93" s="11" t="s">
        <v>152</v>
      </c>
      <c r="M93" s="6">
        <v>47</v>
      </c>
      <c r="N93" s="6"/>
      <c r="O93" s="6"/>
      <c r="P93" s="29"/>
    </row>
    <row r="94" spans="1:16" x14ac:dyDescent="0.25">
      <c r="A94">
        <v>28</v>
      </c>
      <c r="B94" s="37">
        <v>91</v>
      </c>
      <c r="C94" s="25" t="s">
        <v>126</v>
      </c>
      <c r="D94" s="6" t="s">
        <v>12</v>
      </c>
      <c r="E94" s="11">
        <v>39558486</v>
      </c>
      <c r="F94" s="26">
        <v>23826</v>
      </c>
      <c r="G94" s="9">
        <f>2024-1965</f>
        <v>59</v>
      </c>
      <c r="H94" s="6"/>
      <c r="I94" s="10" t="s">
        <v>13</v>
      </c>
      <c r="J94" s="6" t="s">
        <v>102</v>
      </c>
      <c r="K94" s="10" t="s">
        <v>63</v>
      </c>
      <c r="L94" s="11" t="s">
        <v>152</v>
      </c>
      <c r="M94" s="6">
        <v>48</v>
      </c>
      <c r="N94" s="6"/>
      <c r="O94" s="6"/>
      <c r="P94" s="29"/>
    </row>
    <row r="95" spans="1:16" x14ac:dyDescent="0.25">
      <c r="A95">
        <v>29</v>
      </c>
      <c r="B95" s="37">
        <v>92</v>
      </c>
      <c r="C95" s="5" t="s">
        <v>127</v>
      </c>
      <c r="D95" s="6" t="s">
        <v>12</v>
      </c>
      <c r="E95" s="11">
        <v>41727190</v>
      </c>
      <c r="F95" s="26">
        <v>21310</v>
      </c>
      <c r="G95" s="9">
        <f>2024-1958</f>
        <v>66</v>
      </c>
      <c r="H95" s="6"/>
      <c r="I95" s="10" t="s">
        <v>13</v>
      </c>
      <c r="J95" s="6" t="s">
        <v>102</v>
      </c>
      <c r="K95" s="10" t="s">
        <v>63</v>
      </c>
      <c r="L95" s="11" t="s">
        <v>152</v>
      </c>
      <c r="M95" s="6">
        <v>49</v>
      </c>
      <c r="N95" s="6"/>
      <c r="O95" s="6"/>
      <c r="P95" s="29"/>
    </row>
    <row r="96" spans="1:16" x14ac:dyDescent="0.25">
      <c r="A96">
        <v>30</v>
      </c>
      <c r="B96" s="37">
        <v>93</v>
      </c>
      <c r="C96" s="5" t="s">
        <v>204</v>
      </c>
      <c r="D96" s="6" t="s">
        <v>12</v>
      </c>
      <c r="E96" s="11">
        <v>20617525</v>
      </c>
      <c r="F96" s="26">
        <v>18909</v>
      </c>
      <c r="G96" s="9">
        <f>2023-1951</f>
        <v>72</v>
      </c>
      <c r="H96" s="6"/>
      <c r="I96" s="10" t="s">
        <v>13</v>
      </c>
      <c r="J96" s="6" t="s">
        <v>102</v>
      </c>
      <c r="K96" s="10" t="s">
        <v>63</v>
      </c>
      <c r="L96" s="6" t="s">
        <v>152</v>
      </c>
      <c r="M96" s="6">
        <v>50</v>
      </c>
      <c r="N96" s="6"/>
      <c r="O96" s="6"/>
      <c r="P96" s="29"/>
    </row>
    <row r="97" spans="1:16" x14ac:dyDescent="0.25">
      <c r="A97">
        <v>31</v>
      </c>
      <c r="B97" s="37">
        <v>94</v>
      </c>
      <c r="C97" s="25" t="s">
        <v>128</v>
      </c>
      <c r="D97" s="6" t="s">
        <v>12</v>
      </c>
      <c r="E97" s="11">
        <v>43043664</v>
      </c>
      <c r="F97" s="26">
        <v>23086</v>
      </c>
      <c r="G97" s="9">
        <f>2024-1963</f>
        <v>61</v>
      </c>
      <c r="H97" s="6"/>
      <c r="I97" s="10" t="s">
        <v>13</v>
      </c>
      <c r="J97" s="6" t="s">
        <v>102</v>
      </c>
      <c r="K97" s="19" t="s">
        <v>139</v>
      </c>
      <c r="L97" s="11">
        <v>100000</v>
      </c>
      <c r="M97" s="6"/>
      <c r="N97" s="6"/>
      <c r="O97" s="6"/>
      <c r="P97" s="29"/>
    </row>
    <row r="98" spans="1:16" x14ac:dyDescent="0.25">
      <c r="A98">
        <v>32</v>
      </c>
      <c r="B98" s="37">
        <v>95</v>
      </c>
      <c r="C98" s="5" t="s">
        <v>129</v>
      </c>
      <c r="D98" s="6" t="s">
        <v>12</v>
      </c>
      <c r="E98" s="11">
        <v>41600310</v>
      </c>
      <c r="F98" s="6" t="s">
        <v>89</v>
      </c>
      <c r="G98" s="9">
        <v>72</v>
      </c>
      <c r="H98" s="6"/>
      <c r="I98" s="10" t="s">
        <v>13</v>
      </c>
      <c r="J98" s="6" t="s">
        <v>102</v>
      </c>
      <c r="K98" s="10" t="s">
        <v>63</v>
      </c>
      <c r="L98" s="6" t="s">
        <v>152</v>
      </c>
      <c r="M98" s="6">
        <v>51</v>
      </c>
      <c r="N98" s="6"/>
      <c r="O98" s="6"/>
      <c r="P98" s="29"/>
    </row>
    <row r="99" spans="1:16" x14ac:dyDescent="0.25">
      <c r="A99">
        <v>33</v>
      </c>
      <c r="B99" s="37">
        <v>96</v>
      </c>
      <c r="C99" s="5" t="s">
        <v>130</v>
      </c>
      <c r="D99" s="6" t="s">
        <v>12</v>
      </c>
      <c r="E99" s="11">
        <v>14248202</v>
      </c>
      <c r="F99" s="6" t="s">
        <v>90</v>
      </c>
      <c r="G99" s="9">
        <v>78</v>
      </c>
      <c r="H99" s="6"/>
      <c r="I99" s="10" t="s">
        <v>13</v>
      </c>
      <c r="J99" s="6" t="s">
        <v>102</v>
      </c>
      <c r="K99" s="10" t="s">
        <v>63</v>
      </c>
      <c r="L99" s="6" t="s">
        <v>152</v>
      </c>
      <c r="M99" s="6">
        <v>52</v>
      </c>
      <c r="N99" s="6"/>
      <c r="O99" s="6"/>
      <c r="P99" s="29"/>
    </row>
    <row r="100" spans="1:16" x14ac:dyDescent="0.25">
      <c r="A100">
        <v>34</v>
      </c>
      <c r="B100" s="37">
        <v>97</v>
      </c>
      <c r="C100" s="5" t="s">
        <v>132</v>
      </c>
      <c r="D100" s="6" t="s">
        <v>12</v>
      </c>
      <c r="E100" s="11">
        <v>21017230</v>
      </c>
      <c r="F100" s="23" t="s">
        <v>133</v>
      </c>
      <c r="G100" s="9">
        <v>58</v>
      </c>
      <c r="H100" s="6"/>
      <c r="I100" s="10" t="s">
        <v>13</v>
      </c>
      <c r="J100" s="6" t="s">
        <v>102</v>
      </c>
      <c r="K100" s="133" t="s">
        <v>62</v>
      </c>
      <c r="L100" s="6" t="s">
        <v>152</v>
      </c>
      <c r="M100" s="6"/>
      <c r="N100" s="6">
        <v>16</v>
      </c>
      <c r="O100" s="6"/>
      <c r="P100" s="29"/>
    </row>
    <row r="101" spans="1:16" x14ac:dyDescent="0.25">
      <c r="A101">
        <v>35</v>
      </c>
      <c r="B101" s="37">
        <v>98</v>
      </c>
      <c r="C101" s="5" t="s">
        <v>134</v>
      </c>
      <c r="D101" s="6" t="s">
        <v>12</v>
      </c>
      <c r="E101" s="11">
        <v>1193518169</v>
      </c>
      <c r="F101" s="26">
        <v>37040</v>
      </c>
      <c r="G101" s="9">
        <f>2023-2001</f>
        <v>22</v>
      </c>
      <c r="H101" s="6"/>
      <c r="I101" s="10" t="s">
        <v>13</v>
      </c>
      <c r="J101" s="6" t="s">
        <v>102</v>
      </c>
      <c r="K101" s="133" t="s">
        <v>62</v>
      </c>
      <c r="L101" s="6" t="s">
        <v>152</v>
      </c>
      <c r="M101" s="6"/>
      <c r="N101" s="6">
        <v>17</v>
      </c>
      <c r="O101" s="6"/>
      <c r="P101" s="29"/>
    </row>
    <row r="102" spans="1:16" x14ac:dyDescent="0.25">
      <c r="A102">
        <v>36</v>
      </c>
      <c r="B102" s="37">
        <v>99</v>
      </c>
      <c r="C102" s="12" t="s">
        <v>140</v>
      </c>
      <c r="D102" s="6" t="s">
        <v>12</v>
      </c>
      <c r="E102" s="11">
        <v>39424382</v>
      </c>
      <c r="F102" s="26">
        <v>30124</v>
      </c>
      <c r="G102" s="9">
        <f>2023-1982</f>
        <v>41</v>
      </c>
      <c r="H102" s="6"/>
      <c r="I102" s="76" t="s">
        <v>228</v>
      </c>
      <c r="J102" s="6" t="s">
        <v>102</v>
      </c>
      <c r="K102" s="10" t="s">
        <v>63</v>
      </c>
      <c r="L102" s="6" t="s">
        <v>152</v>
      </c>
      <c r="M102" s="6">
        <v>53</v>
      </c>
      <c r="N102" s="6"/>
      <c r="O102" s="6"/>
      <c r="P102" s="29"/>
    </row>
    <row r="103" spans="1:16" x14ac:dyDescent="0.25">
      <c r="A103">
        <v>37</v>
      </c>
      <c r="B103" s="37">
        <v>100</v>
      </c>
      <c r="C103" s="12" t="s">
        <v>202</v>
      </c>
      <c r="D103" s="6" t="s">
        <v>12</v>
      </c>
      <c r="E103" s="11">
        <v>7128185</v>
      </c>
      <c r="F103" s="26">
        <v>28827</v>
      </c>
      <c r="G103" s="9">
        <f>2023-1978</f>
        <v>45</v>
      </c>
      <c r="H103" s="6"/>
      <c r="I103" s="76" t="s">
        <v>228</v>
      </c>
      <c r="J103" s="6" t="s">
        <v>102</v>
      </c>
      <c r="K103" s="133" t="s">
        <v>62</v>
      </c>
      <c r="L103" s="6"/>
      <c r="M103" s="6"/>
      <c r="N103" s="6">
        <v>18</v>
      </c>
      <c r="O103" s="6"/>
      <c r="P103" s="29"/>
    </row>
    <row r="104" spans="1:16" x14ac:dyDescent="0.25">
      <c r="A104">
        <v>38</v>
      </c>
      <c r="B104" s="37">
        <v>101</v>
      </c>
      <c r="C104" s="12" t="s">
        <v>256</v>
      </c>
      <c r="D104" s="6" t="s">
        <v>32</v>
      </c>
      <c r="E104" s="11">
        <v>1072101477</v>
      </c>
      <c r="F104" s="26">
        <v>39841</v>
      </c>
      <c r="G104" s="9">
        <f>2024-2009</f>
        <v>15</v>
      </c>
      <c r="H104" s="6"/>
      <c r="I104" s="76" t="s">
        <v>228</v>
      </c>
      <c r="J104" s="6" t="s">
        <v>102</v>
      </c>
      <c r="K104" s="144" t="s">
        <v>138</v>
      </c>
      <c r="L104" s="6"/>
      <c r="M104" s="6"/>
      <c r="N104" s="6"/>
      <c r="O104" s="6"/>
      <c r="P104" s="29"/>
    </row>
    <row r="105" spans="1:16" x14ac:dyDescent="0.25">
      <c r="A105">
        <v>39</v>
      </c>
      <c r="B105" s="37">
        <v>102</v>
      </c>
      <c r="C105" s="12" t="s">
        <v>231</v>
      </c>
      <c r="D105" s="6" t="s">
        <v>32</v>
      </c>
      <c r="E105" s="11">
        <v>1073630258</v>
      </c>
      <c r="F105" s="26">
        <v>42176</v>
      </c>
      <c r="G105" s="9">
        <f>2023-2015</f>
        <v>8</v>
      </c>
      <c r="H105" s="6"/>
      <c r="I105" s="76" t="s">
        <v>228</v>
      </c>
      <c r="J105" s="6" t="s">
        <v>102</v>
      </c>
      <c r="K105" s="133" t="s">
        <v>62</v>
      </c>
      <c r="L105" s="6"/>
      <c r="M105" s="6">
        <v>54</v>
      </c>
      <c r="N105" s="6"/>
      <c r="O105" s="6"/>
      <c r="P105" s="29"/>
    </row>
    <row r="106" spans="1:16" x14ac:dyDescent="0.25">
      <c r="A106">
        <v>40</v>
      </c>
      <c r="B106" s="37">
        <v>103</v>
      </c>
      <c r="C106" s="12" t="s">
        <v>230</v>
      </c>
      <c r="D106" s="6" t="s">
        <v>32</v>
      </c>
      <c r="E106" s="11">
        <v>1073629758</v>
      </c>
      <c r="F106" s="26">
        <v>41250</v>
      </c>
      <c r="G106" s="9">
        <f>2023-2012</f>
        <v>11</v>
      </c>
      <c r="H106" s="6"/>
      <c r="I106" s="76" t="s">
        <v>228</v>
      </c>
      <c r="J106" s="6" t="s">
        <v>102</v>
      </c>
      <c r="K106" s="133" t="s">
        <v>62</v>
      </c>
      <c r="L106" s="6"/>
      <c r="M106" s="6"/>
      <c r="N106" s="6"/>
      <c r="O106" s="6"/>
      <c r="P106" s="29"/>
    </row>
    <row r="107" spans="1:16" x14ac:dyDescent="0.25">
      <c r="A107">
        <v>41</v>
      </c>
      <c r="B107" s="37">
        <v>104</v>
      </c>
      <c r="C107" s="15" t="s">
        <v>135</v>
      </c>
      <c r="D107" s="6" t="s">
        <v>12</v>
      </c>
      <c r="E107" s="11">
        <v>39420287</v>
      </c>
      <c r="F107" s="26">
        <v>29063</v>
      </c>
      <c r="G107" s="9">
        <f>2023-1979</f>
        <v>44</v>
      </c>
      <c r="H107" s="6"/>
      <c r="I107" s="16" t="s">
        <v>23</v>
      </c>
      <c r="J107" s="6" t="s">
        <v>102</v>
      </c>
      <c r="K107" s="10" t="s">
        <v>63</v>
      </c>
      <c r="L107" s="6" t="s">
        <v>152</v>
      </c>
      <c r="M107" s="6">
        <v>55</v>
      </c>
      <c r="N107" s="6"/>
      <c r="O107" s="6"/>
      <c r="P107" s="29"/>
    </row>
    <row r="108" spans="1:16" x14ac:dyDescent="0.25">
      <c r="A108">
        <v>42</v>
      </c>
      <c r="B108" s="37">
        <v>105</v>
      </c>
      <c r="C108" s="15" t="s">
        <v>136</v>
      </c>
      <c r="D108" s="6" t="s">
        <v>32</v>
      </c>
      <c r="E108" s="11">
        <v>1028014237</v>
      </c>
      <c r="F108" s="26">
        <v>40759</v>
      </c>
      <c r="G108" s="9">
        <f>2023-2011</f>
        <v>12</v>
      </c>
      <c r="H108" s="6"/>
      <c r="I108" s="16" t="s">
        <v>23</v>
      </c>
      <c r="J108" s="6" t="s">
        <v>102</v>
      </c>
      <c r="K108" s="144" t="s">
        <v>138</v>
      </c>
      <c r="L108" s="6" t="s">
        <v>152</v>
      </c>
      <c r="M108" s="6"/>
      <c r="N108" s="6"/>
      <c r="O108" s="6"/>
      <c r="P108" s="29"/>
    </row>
    <row r="109" spans="1:16" x14ac:dyDescent="0.25">
      <c r="A109">
        <v>43</v>
      </c>
      <c r="B109" s="37">
        <v>106</v>
      </c>
      <c r="C109" s="25" t="s">
        <v>182</v>
      </c>
      <c r="D109" s="6" t="s">
        <v>12</v>
      </c>
      <c r="E109" s="28">
        <v>39656450</v>
      </c>
      <c r="F109" s="27">
        <v>25962</v>
      </c>
      <c r="G109" s="9">
        <f>2024-1971</f>
        <v>53</v>
      </c>
      <c r="H109" s="6"/>
      <c r="I109" s="10" t="s">
        <v>13</v>
      </c>
      <c r="J109" s="6" t="s">
        <v>102</v>
      </c>
      <c r="K109" s="10" t="s">
        <v>63</v>
      </c>
      <c r="L109" s="6" t="s">
        <v>152</v>
      </c>
      <c r="M109" s="6">
        <v>56</v>
      </c>
      <c r="N109" s="6"/>
      <c r="O109" s="6"/>
      <c r="P109" s="29"/>
    </row>
    <row r="110" spans="1:16" x14ac:dyDescent="0.25">
      <c r="A110">
        <v>44</v>
      </c>
      <c r="B110" s="37">
        <v>107</v>
      </c>
      <c r="C110" s="25" t="s">
        <v>183</v>
      </c>
      <c r="D110" s="6" t="s">
        <v>12</v>
      </c>
      <c r="E110" s="13">
        <v>19488559</v>
      </c>
      <c r="F110" s="8">
        <v>22678</v>
      </c>
      <c r="G110" s="9">
        <f>2024-1962</f>
        <v>62</v>
      </c>
      <c r="H110" s="6"/>
      <c r="I110" s="10" t="s">
        <v>13</v>
      </c>
      <c r="J110" s="6" t="s">
        <v>102</v>
      </c>
      <c r="K110" s="10" t="s">
        <v>63</v>
      </c>
      <c r="L110" s="6" t="s">
        <v>152</v>
      </c>
      <c r="M110" s="6">
        <v>57</v>
      </c>
      <c r="N110" s="6"/>
      <c r="O110" s="6"/>
      <c r="P110" s="29"/>
    </row>
    <row r="111" spans="1:16" x14ac:dyDescent="0.25">
      <c r="A111">
        <v>45</v>
      </c>
      <c r="B111" s="37">
        <v>108</v>
      </c>
      <c r="C111" s="59" t="s">
        <v>188</v>
      </c>
      <c r="D111" s="6" t="s">
        <v>12</v>
      </c>
      <c r="E111" s="13">
        <v>19442454</v>
      </c>
      <c r="F111" s="8">
        <v>21996</v>
      </c>
      <c r="G111" s="9">
        <f>2024-1960</f>
        <v>64</v>
      </c>
      <c r="H111" s="6"/>
      <c r="I111" s="10" t="s">
        <v>13</v>
      </c>
      <c r="J111" s="6" t="s">
        <v>102</v>
      </c>
      <c r="K111" s="14" t="s">
        <v>61</v>
      </c>
      <c r="L111" s="11">
        <v>100000</v>
      </c>
      <c r="M111" s="6"/>
      <c r="N111" s="6"/>
      <c r="O111" s="6"/>
      <c r="P111" s="29"/>
    </row>
    <row r="112" spans="1:16" x14ac:dyDescent="0.25">
      <c r="A112">
        <v>46</v>
      </c>
      <c r="B112" s="37">
        <v>109</v>
      </c>
      <c r="C112" s="59" t="s">
        <v>189</v>
      </c>
      <c r="D112" s="6" t="s">
        <v>12</v>
      </c>
      <c r="E112" s="13">
        <v>20871909</v>
      </c>
      <c r="F112" s="8">
        <v>26886</v>
      </c>
      <c r="G112" s="9">
        <f>2023-1973</f>
        <v>50</v>
      </c>
      <c r="H112" s="6"/>
      <c r="I112" s="10" t="s">
        <v>13</v>
      </c>
      <c r="J112" s="6" t="s">
        <v>102</v>
      </c>
      <c r="K112" s="10" t="s">
        <v>63</v>
      </c>
      <c r="L112" s="6" t="s">
        <v>152</v>
      </c>
      <c r="M112" s="6">
        <v>58</v>
      </c>
      <c r="N112" s="6"/>
      <c r="O112" s="6"/>
      <c r="P112" s="29"/>
    </row>
    <row r="113" spans="1:21" x14ac:dyDescent="0.25">
      <c r="A113">
        <v>47</v>
      </c>
      <c r="B113" s="37">
        <v>110</v>
      </c>
      <c r="C113" s="59" t="s">
        <v>233</v>
      </c>
      <c r="D113" s="6" t="s">
        <v>201</v>
      </c>
      <c r="E113" s="13">
        <v>20871311</v>
      </c>
      <c r="F113" s="8">
        <v>23666</v>
      </c>
      <c r="G113" s="9">
        <f>2023-1964</f>
        <v>59</v>
      </c>
      <c r="H113" s="6"/>
      <c r="I113" s="10" t="s">
        <v>13</v>
      </c>
      <c r="J113" s="6" t="s">
        <v>102</v>
      </c>
      <c r="K113" s="10" t="s">
        <v>63</v>
      </c>
      <c r="L113" s="6"/>
      <c r="M113" s="6">
        <v>59</v>
      </c>
      <c r="N113" s="6"/>
      <c r="O113" s="6"/>
      <c r="P113" s="29"/>
    </row>
    <row r="114" spans="1:21" x14ac:dyDescent="0.25">
      <c r="A114">
        <v>48</v>
      </c>
      <c r="B114" s="37">
        <v>111</v>
      </c>
      <c r="C114" s="59" t="s">
        <v>247</v>
      </c>
      <c r="D114" s="6" t="s">
        <v>201</v>
      </c>
      <c r="E114" s="13">
        <v>21016560</v>
      </c>
      <c r="F114" s="8">
        <v>25997</v>
      </c>
      <c r="G114" s="9">
        <f>2024-1971</f>
        <v>53</v>
      </c>
      <c r="H114" s="6"/>
      <c r="I114" s="10" t="s">
        <v>13</v>
      </c>
      <c r="J114" s="6" t="s">
        <v>102</v>
      </c>
      <c r="K114" s="10" t="s">
        <v>63</v>
      </c>
      <c r="L114" s="6"/>
      <c r="M114" s="6">
        <v>60</v>
      </c>
      <c r="N114" s="6"/>
      <c r="O114" s="6"/>
      <c r="P114" s="29"/>
    </row>
    <row r="115" spans="1:21" s="55" customFormat="1" ht="15.75" thickBot="1" x14ac:dyDescent="0.3">
      <c r="A115">
        <v>49</v>
      </c>
      <c r="B115" s="37">
        <v>112</v>
      </c>
      <c r="C115" s="60" t="s">
        <v>190</v>
      </c>
      <c r="D115" s="46" t="s">
        <v>12</v>
      </c>
      <c r="E115" s="52">
        <v>20871462</v>
      </c>
      <c r="F115" s="49">
        <v>24788</v>
      </c>
      <c r="G115" s="50">
        <f>2023-1967</f>
        <v>56</v>
      </c>
      <c r="H115" s="46"/>
      <c r="I115" s="54" t="s">
        <v>13</v>
      </c>
      <c r="J115" s="46" t="s">
        <v>102</v>
      </c>
      <c r="K115" s="51" t="s">
        <v>61</v>
      </c>
      <c r="L115" s="61">
        <v>40000</v>
      </c>
      <c r="M115" s="46"/>
      <c r="N115" s="46"/>
      <c r="O115" s="46"/>
      <c r="P115" s="46"/>
      <c r="T115" s="183"/>
      <c r="U115" s="183"/>
    </row>
    <row r="116" spans="1:21" x14ac:dyDescent="0.25">
      <c r="B116" s="37">
        <v>113</v>
      </c>
      <c r="C116" s="30" t="s">
        <v>141</v>
      </c>
      <c r="D116" s="29" t="s">
        <v>12</v>
      </c>
      <c r="E116" s="31">
        <v>20871803</v>
      </c>
      <c r="F116" s="29"/>
      <c r="G116" s="32">
        <v>51</v>
      </c>
      <c r="H116" s="29">
        <v>3143457528</v>
      </c>
      <c r="I116" s="34" t="s">
        <v>13</v>
      </c>
      <c r="J116" s="29" t="s">
        <v>14</v>
      </c>
      <c r="K116" s="147" t="s">
        <v>62</v>
      </c>
      <c r="L116" s="33">
        <v>60000</v>
      </c>
      <c r="M116" s="29"/>
      <c r="N116" s="29">
        <v>19</v>
      </c>
      <c r="O116" s="29"/>
      <c r="P116" s="29"/>
    </row>
    <row r="117" spans="1:21" x14ac:dyDescent="0.25">
      <c r="B117" s="37">
        <v>114</v>
      </c>
      <c r="C117" s="30" t="s">
        <v>145</v>
      </c>
      <c r="D117" s="29" t="s">
        <v>12</v>
      </c>
      <c r="E117" s="35">
        <v>63455837</v>
      </c>
      <c r="F117" s="36">
        <v>25692</v>
      </c>
      <c r="G117" s="32">
        <f>2024-1970</f>
        <v>54</v>
      </c>
      <c r="H117" s="29"/>
      <c r="I117" s="34" t="s">
        <v>13</v>
      </c>
      <c r="J117" s="29" t="s">
        <v>14</v>
      </c>
      <c r="K117" s="34" t="s">
        <v>63</v>
      </c>
      <c r="L117" s="29" t="s">
        <v>152</v>
      </c>
      <c r="M117" s="29">
        <v>61</v>
      </c>
      <c r="N117" s="29"/>
      <c r="O117" s="29"/>
      <c r="P117" s="29"/>
    </row>
    <row r="118" spans="1:21" x14ac:dyDescent="0.25">
      <c r="B118" s="37">
        <v>115</v>
      </c>
      <c r="C118" s="30" t="s">
        <v>146</v>
      </c>
      <c r="D118" s="29" t="s">
        <v>12</v>
      </c>
      <c r="E118" s="35">
        <v>1072970119</v>
      </c>
      <c r="F118" s="39">
        <v>31265</v>
      </c>
      <c r="G118" s="32">
        <f>2023-1985</f>
        <v>38</v>
      </c>
      <c r="H118" s="29"/>
      <c r="I118" s="34" t="s">
        <v>13</v>
      </c>
      <c r="J118" s="29" t="s">
        <v>14</v>
      </c>
      <c r="K118" s="65" t="s">
        <v>61</v>
      </c>
      <c r="L118" s="29" t="s">
        <v>152</v>
      </c>
      <c r="M118" s="29"/>
      <c r="N118" s="29"/>
      <c r="O118" s="29"/>
      <c r="P118" s="29"/>
    </row>
    <row r="119" spans="1:21" x14ac:dyDescent="0.25">
      <c r="B119" s="37">
        <v>116</v>
      </c>
      <c r="C119" s="30" t="s">
        <v>147</v>
      </c>
      <c r="D119" s="29" t="s">
        <v>12</v>
      </c>
      <c r="E119" s="35">
        <v>35324024</v>
      </c>
      <c r="F119" s="39">
        <v>21625</v>
      </c>
      <c r="G119" s="32">
        <f>2024-1959</f>
        <v>65</v>
      </c>
      <c r="H119" s="29"/>
      <c r="I119" s="34" t="s">
        <v>13</v>
      </c>
      <c r="J119" s="29" t="s">
        <v>14</v>
      </c>
      <c r="K119" s="65" t="s">
        <v>61</v>
      </c>
      <c r="L119" s="29" t="s">
        <v>152</v>
      </c>
      <c r="M119" s="29"/>
      <c r="N119" s="29"/>
      <c r="O119" s="29"/>
      <c r="P119" s="29"/>
    </row>
    <row r="120" spans="1:21" x14ac:dyDescent="0.25">
      <c r="B120" s="37">
        <v>117</v>
      </c>
      <c r="C120" s="64" t="s">
        <v>149</v>
      </c>
      <c r="D120" s="29" t="s">
        <v>12</v>
      </c>
      <c r="E120" s="35">
        <v>20871593</v>
      </c>
      <c r="F120" s="39">
        <v>22682</v>
      </c>
      <c r="G120" s="32">
        <f>2024-1962</f>
        <v>62</v>
      </c>
      <c r="H120" s="29" t="s">
        <v>176</v>
      </c>
      <c r="I120" s="63" t="s">
        <v>148</v>
      </c>
      <c r="J120" s="29" t="s">
        <v>21</v>
      </c>
      <c r="K120" s="34" t="s">
        <v>63</v>
      </c>
      <c r="L120" s="29" t="s">
        <v>152</v>
      </c>
      <c r="M120" s="29">
        <v>62</v>
      </c>
      <c r="N120" s="29"/>
      <c r="O120" s="29"/>
      <c r="P120" s="29"/>
    </row>
    <row r="121" spans="1:21" x14ac:dyDescent="0.25">
      <c r="B121" s="37">
        <v>118</v>
      </c>
      <c r="C121" s="64" t="s">
        <v>150</v>
      </c>
      <c r="D121" s="29" t="s">
        <v>12</v>
      </c>
      <c r="E121" s="35">
        <v>1073628129</v>
      </c>
      <c r="F121" s="39">
        <v>31671</v>
      </c>
      <c r="G121" s="32">
        <f>2023-1986</f>
        <v>37</v>
      </c>
      <c r="H121" s="29" t="s">
        <v>176</v>
      </c>
      <c r="I121" s="63" t="s">
        <v>148</v>
      </c>
      <c r="J121" s="29" t="s">
        <v>21</v>
      </c>
      <c r="K121" s="147" t="s">
        <v>62</v>
      </c>
      <c r="L121" s="33" t="s">
        <v>152</v>
      </c>
      <c r="M121" s="29"/>
      <c r="N121" s="29">
        <v>20</v>
      </c>
      <c r="O121" s="29"/>
      <c r="P121" s="29"/>
    </row>
    <row r="122" spans="1:21" x14ac:dyDescent="0.25">
      <c r="B122" s="37">
        <v>119</v>
      </c>
      <c r="C122" s="30" t="s">
        <v>155</v>
      </c>
      <c r="D122" s="29" t="s">
        <v>12</v>
      </c>
      <c r="E122" s="35">
        <v>39523509</v>
      </c>
      <c r="F122" s="29"/>
      <c r="G122" s="32">
        <v>62</v>
      </c>
      <c r="H122" s="29">
        <v>3213589883</v>
      </c>
      <c r="I122" s="34" t="s">
        <v>13</v>
      </c>
      <c r="J122" s="29" t="s">
        <v>158</v>
      </c>
      <c r="K122" s="34" t="s">
        <v>63</v>
      </c>
      <c r="L122" s="29" t="s">
        <v>152</v>
      </c>
      <c r="M122" s="29">
        <v>63</v>
      </c>
      <c r="N122" s="29"/>
      <c r="O122" s="29"/>
      <c r="P122" s="29"/>
    </row>
    <row r="123" spans="1:21" x14ac:dyDescent="0.25">
      <c r="B123" s="37">
        <v>120</v>
      </c>
      <c r="C123" s="30" t="s">
        <v>156</v>
      </c>
      <c r="D123" s="29" t="s">
        <v>12</v>
      </c>
      <c r="E123" s="35">
        <v>51914877</v>
      </c>
      <c r="F123" s="29"/>
      <c r="G123" s="32">
        <v>56</v>
      </c>
      <c r="H123" s="29">
        <v>3041697071</v>
      </c>
      <c r="I123" s="34" t="s">
        <v>13</v>
      </c>
      <c r="J123" s="29" t="s">
        <v>158</v>
      </c>
      <c r="K123" s="147" t="s">
        <v>62</v>
      </c>
      <c r="L123" s="29" t="s">
        <v>152</v>
      </c>
      <c r="M123" s="29"/>
      <c r="N123" s="29"/>
      <c r="O123" s="29"/>
      <c r="P123" s="29"/>
    </row>
    <row r="124" spans="1:21" x14ac:dyDescent="0.25">
      <c r="B124" s="37">
        <v>121</v>
      </c>
      <c r="C124" s="30" t="s">
        <v>157</v>
      </c>
      <c r="D124" s="29" t="s">
        <v>12</v>
      </c>
      <c r="E124" s="35">
        <v>20501336</v>
      </c>
      <c r="F124" s="29"/>
      <c r="G124" s="32">
        <v>59</v>
      </c>
      <c r="H124" s="29">
        <v>3112033935</v>
      </c>
      <c r="I124" s="34" t="s">
        <v>13</v>
      </c>
      <c r="J124" s="29" t="s">
        <v>158</v>
      </c>
      <c r="K124" s="65" t="s">
        <v>61</v>
      </c>
      <c r="L124" s="29" t="s">
        <v>152</v>
      </c>
      <c r="M124" s="29"/>
      <c r="N124" s="29"/>
      <c r="O124" s="29"/>
      <c r="P124" s="29"/>
    </row>
    <row r="125" spans="1:21" x14ac:dyDescent="0.25">
      <c r="B125" s="37">
        <v>122</v>
      </c>
      <c r="C125" s="30" t="s">
        <v>219</v>
      </c>
      <c r="D125" s="29" t="s">
        <v>12</v>
      </c>
      <c r="E125" s="35">
        <v>39612927</v>
      </c>
      <c r="F125" s="29"/>
      <c r="G125" s="32">
        <v>62</v>
      </c>
      <c r="H125" s="29">
        <v>3213181566</v>
      </c>
      <c r="I125" s="34" t="s">
        <v>13</v>
      </c>
      <c r="J125" s="29" t="s">
        <v>158</v>
      </c>
      <c r="K125" s="34" t="s">
        <v>63</v>
      </c>
      <c r="L125" s="29" t="s">
        <v>152</v>
      </c>
      <c r="M125" s="29">
        <v>64</v>
      </c>
      <c r="N125" s="29"/>
      <c r="O125" s="29"/>
      <c r="P125" s="29"/>
    </row>
    <row r="126" spans="1:21" x14ac:dyDescent="0.25">
      <c r="B126" s="37">
        <v>123</v>
      </c>
      <c r="C126" s="45" t="s">
        <v>165</v>
      </c>
      <c r="D126" s="29" t="s">
        <v>12</v>
      </c>
      <c r="E126" s="35">
        <v>21012620</v>
      </c>
      <c r="F126" s="39">
        <v>19389</v>
      </c>
      <c r="G126" s="32">
        <f>2024-1953</f>
        <v>71</v>
      </c>
      <c r="H126" s="29" t="s">
        <v>164</v>
      </c>
      <c r="I126" s="66" t="s">
        <v>23</v>
      </c>
      <c r="J126" s="29" t="s">
        <v>159</v>
      </c>
      <c r="K126" s="34" t="s">
        <v>63</v>
      </c>
      <c r="L126" s="33">
        <v>200000</v>
      </c>
      <c r="M126" s="29">
        <v>65</v>
      </c>
      <c r="N126" s="29"/>
      <c r="O126" s="29"/>
      <c r="P126" s="29"/>
    </row>
    <row r="127" spans="1:21" x14ac:dyDescent="0.25">
      <c r="B127" s="37">
        <v>124</v>
      </c>
      <c r="C127" s="45" t="s">
        <v>179</v>
      </c>
      <c r="D127" s="29" t="s">
        <v>12</v>
      </c>
      <c r="E127" s="35">
        <v>21056217</v>
      </c>
      <c r="F127" s="39">
        <v>21290</v>
      </c>
      <c r="G127" s="32">
        <f>2024-1958</f>
        <v>66</v>
      </c>
      <c r="H127" s="29"/>
      <c r="I127" s="66" t="s">
        <v>23</v>
      </c>
      <c r="J127" s="29" t="s">
        <v>159</v>
      </c>
      <c r="K127" s="34" t="s">
        <v>63</v>
      </c>
      <c r="L127" s="29" t="s">
        <v>22</v>
      </c>
      <c r="M127" s="29">
        <v>66</v>
      </c>
      <c r="N127" s="29"/>
      <c r="O127" s="29"/>
      <c r="P127" s="29"/>
    </row>
    <row r="128" spans="1:21" x14ac:dyDescent="0.25">
      <c r="B128" s="37">
        <v>125</v>
      </c>
      <c r="C128" s="45" t="s">
        <v>166</v>
      </c>
      <c r="D128" s="29" t="s">
        <v>12</v>
      </c>
      <c r="E128" s="35">
        <v>19375825</v>
      </c>
      <c r="F128" s="39">
        <v>21704</v>
      </c>
      <c r="G128" s="32">
        <f>2023-1959</f>
        <v>64</v>
      </c>
      <c r="H128" s="29"/>
      <c r="I128" s="66" t="s">
        <v>23</v>
      </c>
      <c r="J128" s="29" t="s">
        <v>159</v>
      </c>
      <c r="K128" s="34" t="s">
        <v>63</v>
      </c>
      <c r="L128" s="29" t="s">
        <v>22</v>
      </c>
      <c r="M128" s="29">
        <v>67</v>
      </c>
      <c r="N128" s="29"/>
      <c r="O128" s="29"/>
      <c r="P128" s="29"/>
    </row>
    <row r="129" spans="2:21" x14ac:dyDescent="0.25">
      <c r="B129" s="37">
        <v>126</v>
      </c>
      <c r="C129" s="45" t="s">
        <v>167</v>
      </c>
      <c r="D129" s="29" t="s">
        <v>12</v>
      </c>
      <c r="E129" s="35">
        <v>21012699</v>
      </c>
      <c r="F129" s="39">
        <v>19237</v>
      </c>
      <c r="G129" s="32">
        <f>2023-1952</f>
        <v>71</v>
      </c>
      <c r="H129" s="29">
        <v>3012184308</v>
      </c>
      <c r="I129" s="66" t="s">
        <v>23</v>
      </c>
      <c r="J129" s="29" t="s">
        <v>159</v>
      </c>
      <c r="K129" s="34" t="s">
        <v>63</v>
      </c>
      <c r="L129" s="29" t="s">
        <v>22</v>
      </c>
      <c r="M129" s="29">
        <v>68</v>
      </c>
      <c r="N129" s="29"/>
      <c r="O129" s="29"/>
      <c r="P129" s="29"/>
      <c r="R129" s="77" t="s">
        <v>11</v>
      </c>
      <c r="S129" s="77"/>
      <c r="T129" s="185"/>
      <c r="U129" s="185"/>
    </row>
    <row r="130" spans="2:21" x14ac:dyDescent="0.25">
      <c r="B130" s="37">
        <v>127</v>
      </c>
      <c r="C130" s="45" t="s">
        <v>177</v>
      </c>
      <c r="D130" s="29" t="s">
        <v>12</v>
      </c>
      <c r="E130" s="35">
        <v>21014236</v>
      </c>
      <c r="F130" s="39">
        <v>21234</v>
      </c>
      <c r="G130" s="32">
        <f>2024-1958</f>
        <v>66</v>
      </c>
      <c r="H130" s="29"/>
      <c r="I130" s="66" t="s">
        <v>23</v>
      </c>
      <c r="J130" s="29" t="s">
        <v>159</v>
      </c>
      <c r="K130" s="34" t="s">
        <v>63</v>
      </c>
      <c r="L130" s="33">
        <v>100000</v>
      </c>
      <c r="M130" s="29">
        <v>69</v>
      </c>
      <c r="N130" s="29"/>
      <c r="O130" s="29"/>
      <c r="P130" s="29"/>
      <c r="R130" s="77" t="s">
        <v>21</v>
      </c>
      <c r="S130" s="77"/>
      <c r="T130" s="185"/>
      <c r="U130" s="185"/>
    </row>
    <row r="131" spans="2:21" x14ac:dyDescent="0.25">
      <c r="B131" s="37">
        <v>128</v>
      </c>
      <c r="C131" s="45" t="s">
        <v>178</v>
      </c>
      <c r="D131" s="29" t="s">
        <v>12</v>
      </c>
      <c r="E131" s="35">
        <v>21015380</v>
      </c>
      <c r="F131" s="39">
        <v>23787</v>
      </c>
      <c r="G131" s="32">
        <f>2024-1965</f>
        <v>59</v>
      </c>
      <c r="H131" s="29"/>
      <c r="I131" s="66" t="s">
        <v>23</v>
      </c>
      <c r="J131" s="29" t="s">
        <v>159</v>
      </c>
      <c r="K131" s="34" t="s">
        <v>63</v>
      </c>
      <c r="L131" s="29" t="s">
        <v>22</v>
      </c>
      <c r="M131" s="29">
        <v>70</v>
      </c>
      <c r="N131" s="29"/>
      <c r="O131" s="29"/>
      <c r="P131" s="29">
        <v>37</v>
      </c>
      <c r="R131" s="77" t="s">
        <v>159</v>
      </c>
      <c r="S131" s="77"/>
      <c r="T131" s="185"/>
      <c r="U131" s="185"/>
    </row>
    <row r="132" spans="2:21" x14ac:dyDescent="0.25">
      <c r="B132" s="37">
        <v>129</v>
      </c>
      <c r="C132" s="30" t="s">
        <v>160</v>
      </c>
      <c r="D132" s="29" t="s">
        <v>12</v>
      </c>
      <c r="E132" s="31" t="s">
        <v>210</v>
      </c>
      <c r="F132" s="29"/>
      <c r="G132" s="32">
        <v>74</v>
      </c>
      <c r="H132" s="29"/>
      <c r="I132" s="34" t="s">
        <v>13</v>
      </c>
      <c r="J132" s="29" t="s">
        <v>14</v>
      </c>
      <c r="K132" s="34" t="s">
        <v>63</v>
      </c>
      <c r="L132" s="29" t="s">
        <v>152</v>
      </c>
      <c r="M132" s="29">
        <v>71</v>
      </c>
      <c r="N132" s="29"/>
      <c r="O132" s="29"/>
      <c r="P132" s="29"/>
      <c r="R132" s="77" t="s">
        <v>158</v>
      </c>
      <c r="S132" s="77"/>
      <c r="T132" s="185"/>
      <c r="U132" s="185"/>
    </row>
    <row r="133" spans="2:21" x14ac:dyDescent="0.25">
      <c r="B133" s="37">
        <v>130</v>
      </c>
      <c r="C133" s="30" t="s">
        <v>161</v>
      </c>
      <c r="D133" s="29" t="s">
        <v>12</v>
      </c>
      <c r="E133" s="31" t="s">
        <v>209</v>
      </c>
      <c r="F133" s="29"/>
      <c r="G133" s="32">
        <v>71</v>
      </c>
      <c r="H133" s="29"/>
      <c r="I133" s="34" t="s">
        <v>13</v>
      </c>
      <c r="J133" s="29" t="s">
        <v>14</v>
      </c>
      <c r="K133" s="34" t="s">
        <v>63</v>
      </c>
      <c r="L133" s="29" t="s">
        <v>152</v>
      </c>
      <c r="M133" s="29">
        <v>72</v>
      </c>
      <c r="N133" s="29"/>
      <c r="O133" s="29"/>
      <c r="P133" s="29"/>
      <c r="R133" s="77" t="s">
        <v>14</v>
      </c>
      <c r="S133" s="77"/>
      <c r="T133" s="185"/>
      <c r="U133" s="185"/>
    </row>
    <row r="134" spans="2:21" x14ac:dyDescent="0.25">
      <c r="B134" s="37">
        <v>131</v>
      </c>
      <c r="C134" s="30" t="s">
        <v>162</v>
      </c>
      <c r="D134" s="29" t="s">
        <v>12</v>
      </c>
      <c r="E134" s="31" t="s">
        <v>208</v>
      </c>
      <c r="F134" s="29"/>
      <c r="G134" s="32">
        <v>47</v>
      </c>
      <c r="H134" s="29"/>
      <c r="I134" s="34" t="s">
        <v>13</v>
      </c>
      <c r="J134" s="29" t="s">
        <v>14</v>
      </c>
      <c r="K134" s="34" t="s">
        <v>63</v>
      </c>
      <c r="L134" s="29" t="s">
        <v>152</v>
      </c>
      <c r="M134" s="29">
        <v>73</v>
      </c>
      <c r="N134" s="29"/>
      <c r="O134" s="29"/>
      <c r="P134" s="29"/>
      <c r="R134" s="77" t="s">
        <v>34</v>
      </c>
      <c r="S134" s="77"/>
      <c r="T134" s="185"/>
      <c r="U134" s="185"/>
    </row>
    <row r="135" spans="2:21" x14ac:dyDescent="0.25">
      <c r="B135" s="37">
        <v>132</v>
      </c>
      <c r="C135" s="30" t="s">
        <v>163</v>
      </c>
      <c r="D135" s="29" t="s">
        <v>12</v>
      </c>
      <c r="E135" s="31" t="s">
        <v>207</v>
      </c>
      <c r="F135" s="29"/>
      <c r="G135" s="32">
        <v>49</v>
      </c>
      <c r="H135" s="29"/>
      <c r="I135" s="34" t="s">
        <v>13</v>
      </c>
      <c r="J135" s="29" t="s">
        <v>14</v>
      </c>
      <c r="K135" s="147" t="s">
        <v>62</v>
      </c>
      <c r="L135" s="29" t="s">
        <v>152</v>
      </c>
      <c r="M135" s="29"/>
      <c r="N135" s="29">
        <v>21</v>
      </c>
      <c r="O135" s="29"/>
      <c r="P135" s="29"/>
      <c r="R135" s="77" t="s">
        <v>88</v>
      </c>
      <c r="S135" s="77"/>
      <c r="T135" s="185"/>
      <c r="U135" s="185"/>
    </row>
    <row r="136" spans="2:21" x14ac:dyDescent="0.25">
      <c r="B136" s="37">
        <v>133</v>
      </c>
      <c r="C136" s="30" t="s">
        <v>184</v>
      </c>
      <c r="D136" s="29" t="s">
        <v>12</v>
      </c>
      <c r="E136" s="35">
        <v>51728120</v>
      </c>
      <c r="F136" s="29"/>
      <c r="G136" s="32">
        <v>60</v>
      </c>
      <c r="H136" s="29">
        <v>3204746691</v>
      </c>
      <c r="I136" s="34" t="s">
        <v>13</v>
      </c>
      <c r="J136" s="29" t="s">
        <v>14</v>
      </c>
      <c r="K136" s="34" t="s">
        <v>63</v>
      </c>
      <c r="L136" s="29"/>
      <c r="M136" s="29">
        <v>74</v>
      </c>
      <c r="N136" s="29"/>
      <c r="O136" s="29"/>
      <c r="P136" s="29"/>
      <c r="R136" s="77" t="s">
        <v>102</v>
      </c>
      <c r="S136" s="77">
        <v>49</v>
      </c>
      <c r="T136" s="185">
        <v>15000</v>
      </c>
      <c r="U136" s="185">
        <f>T136*S136</f>
        <v>735000</v>
      </c>
    </row>
    <row r="137" spans="2:21" x14ac:dyDescent="0.25">
      <c r="B137" s="37">
        <v>134</v>
      </c>
      <c r="C137" s="30" t="s">
        <v>185</v>
      </c>
      <c r="D137" s="29" t="s">
        <v>12</v>
      </c>
      <c r="E137" s="35">
        <v>1010005588</v>
      </c>
      <c r="F137" s="29"/>
      <c r="G137" s="32">
        <v>23</v>
      </c>
      <c r="H137" s="29">
        <v>3134417557</v>
      </c>
      <c r="I137" s="34" t="s">
        <v>13</v>
      </c>
      <c r="J137" s="29" t="s">
        <v>14</v>
      </c>
      <c r="K137" s="34" t="s">
        <v>63</v>
      </c>
      <c r="L137" s="29"/>
      <c r="M137" s="29">
        <v>75</v>
      </c>
      <c r="N137" s="29"/>
      <c r="O137" s="29"/>
      <c r="P137" s="29"/>
    </row>
    <row r="138" spans="2:21" x14ac:dyDescent="0.25">
      <c r="B138" s="37">
        <v>135</v>
      </c>
      <c r="C138" s="30" t="s">
        <v>186</v>
      </c>
      <c r="D138" s="29" t="s">
        <v>12</v>
      </c>
      <c r="E138" s="35">
        <v>41467849</v>
      </c>
      <c r="F138" s="39">
        <v>18259</v>
      </c>
      <c r="G138" s="32">
        <f>2023-1949</f>
        <v>74</v>
      </c>
      <c r="H138" s="29"/>
      <c r="I138" s="34" t="s">
        <v>13</v>
      </c>
      <c r="J138" s="29" t="s">
        <v>21</v>
      </c>
      <c r="K138" s="147" t="s">
        <v>62</v>
      </c>
      <c r="L138" s="29" t="s">
        <v>152</v>
      </c>
      <c r="M138" s="29"/>
      <c r="N138" s="29">
        <v>22</v>
      </c>
      <c r="O138" s="29"/>
      <c r="P138" s="29"/>
    </row>
    <row r="139" spans="2:21" x14ac:dyDescent="0.25">
      <c r="B139" s="37">
        <v>136</v>
      </c>
      <c r="C139" s="45" t="s">
        <v>191</v>
      </c>
      <c r="D139" s="29" t="s">
        <v>12</v>
      </c>
      <c r="E139" s="35">
        <v>28558180</v>
      </c>
      <c r="F139" s="29"/>
      <c r="G139" s="32">
        <v>41</v>
      </c>
      <c r="H139" s="29">
        <v>3214913800</v>
      </c>
      <c r="I139" s="66" t="s">
        <v>23</v>
      </c>
      <c r="J139" s="29" t="s">
        <v>14</v>
      </c>
      <c r="K139" s="65" t="s">
        <v>61</v>
      </c>
      <c r="L139" s="29"/>
      <c r="M139" s="29"/>
      <c r="N139" s="29"/>
      <c r="O139" s="29"/>
      <c r="P139" s="29"/>
    </row>
    <row r="140" spans="2:21" s="3" customFormat="1" x14ac:dyDescent="0.25">
      <c r="B140" s="19"/>
      <c r="C140" s="174" t="s">
        <v>258</v>
      </c>
      <c r="D140" s="175" t="s">
        <v>32</v>
      </c>
      <c r="E140" s="176">
        <v>1075629888</v>
      </c>
      <c r="F140" s="175"/>
      <c r="G140" s="177">
        <v>7</v>
      </c>
      <c r="H140" s="175"/>
      <c r="I140" s="175"/>
      <c r="J140" s="175" t="s">
        <v>14</v>
      </c>
      <c r="K140" s="175"/>
      <c r="L140" s="175"/>
      <c r="M140" s="175"/>
      <c r="N140" s="175">
        <v>23</v>
      </c>
      <c r="O140" s="175"/>
      <c r="P140" s="175"/>
      <c r="T140" s="182"/>
      <c r="U140" s="182"/>
    </row>
    <row r="141" spans="2:21" x14ac:dyDescent="0.25">
      <c r="B141" s="37">
        <v>137</v>
      </c>
      <c r="C141" s="45" t="s">
        <v>257</v>
      </c>
      <c r="D141" s="29" t="s">
        <v>32</v>
      </c>
      <c r="E141" s="35">
        <v>1072104731</v>
      </c>
      <c r="F141" s="29"/>
      <c r="G141" s="32">
        <v>13</v>
      </c>
      <c r="H141" s="29"/>
      <c r="I141" s="66" t="s">
        <v>23</v>
      </c>
      <c r="J141" s="29" t="s">
        <v>14</v>
      </c>
      <c r="K141" s="147" t="s">
        <v>62</v>
      </c>
      <c r="L141" s="29"/>
      <c r="M141" s="29"/>
      <c r="N141" s="29"/>
      <c r="O141" s="29"/>
      <c r="P141" s="29"/>
    </row>
    <row r="142" spans="2:21" x14ac:dyDescent="0.25">
      <c r="B142" s="37">
        <v>138</v>
      </c>
      <c r="C142" s="166" t="s">
        <v>194</v>
      </c>
      <c r="D142" s="29" t="s">
        <v>12</v>
      </c>
      <c r="E142" s="35">
        <v>1003658868</v>
      </c>
      <c r="F142" s="29"/>
      <c r="G142" s="32">
        <v>21</v>
      </c>
      <c r="H142" s="29"/>
      <c r="I142" s="75" t="s">
        <v>148</v>
      </c>
      <c r="J142" s="29" t="s">
        <v>88</v>
      </c>
      <c r="K142" s="147" t="s">
        <v>62</v>
      </c>
      <c r="L142" s="29"/>
      <c r="M142" s="29"/>
      <c r="N142" s="29">
        <v>24</v>
      </c>
      <c r="O142" s="29"/>
      <c r="P142" s="29"/>
    </row>
    <row r="143" spans="2:21" x14ac:dyDescent="0.25">
      <c r="B143" s="37">
        <v>139</v>
      </c>
      <c r="C143" s="30" t="s">
        <v>195</v>
      </c>
      <c r="D143" s="29" t="s">
        <v>12</v>
      </c>
      <c r="E143" s="35">
        <v>21015482</v>
      </c>
      <c r="F143" s="29"/>
      <c r="G143" s="32">
        <v>58</v>
      </c>
      <c r="H143" s="29">
        <v>3112624413</v>
      </c>
      <c r="I143" s="34" t="s">
        <v>13</v>
      </c>
      <c r="J143" s="29" t="s">
        <v>14</v>
      </c>
      <c r="K143" s="147" t="s">
        <v>62</v>
      </c>
      <c r="L143" s="29"/>
      <c r="M143" s="29"/>
      <c r="N143" s="29">
        <v>25</v>
      </c>
      <c r="O143" s="29"/>
      <c r="P143" s="29"/>
    </row>
    <row r="144" spans="2:21" x14ac:dyDescent="0.25">
      <c r="B144" s="37">
        <v>140</v>
      </c>
      <c r="C144" s="41" t="s">
        <v>196</v>
      </c>
      <c r="D144" s="29" t="s">
        <v>12</v>
      </c>
      <c r="E144" s="35">
        <v>20357616</v>
      </c>
      <c r="F144" s="29"/>
      <c r="G144" s="32">
        <v>62</v>
      </c>
      <c r="H144" s="29"/>
      <c r="I144" s="65" t="s">
        <v>15</v>
      </c>
      <c r="J144" s="29" t="s">
        <v>14</v>
      </c>
      <c r="K144" s="149" t="s">
        <v>61</v>
      </c>
      <c r="L144" s="29"/>
      <c r="M144" s="29"/>
      <c r="N144" s="29"/>
      <c r="O144" s="29"/>
      <c r="P144" s="29"/>
    </row>
    <row r="145" spans="1:16" x14ac:dyDescent="0.25">
      <c r="A145" s="72"/>
      <c r="B145" s="37">
        <v>141</v>
      </c>
      <c r="C145" s="45" t="s">
        <v>197</v>
      </c>
      <c r="D145" s="29" t="s">
        <v>12</v>
      </c>
      <c r="E145" s="35">
        <v>1075629194</v>
      </c>
      <c r="F145" s="29"/>
      <c r="G145" s="32">
        <v>27</v>
      </c>
      <c r="H145" s="29">
        <v>3118826220</v>
      </c>
      <c r="I145" s="66" t="s">
        <v>23</v>
      </c>
      <c r="J145" s="29" t="s">
        <v>34</v>
      </c>
      <c r="K145" s="147" t="s">
        <v>62</v>
      </c>
      <c r="L145" s="29"/>
      <c r="M145" s="29"/>
      <c r="N145" s="29">
        <v>26</v>
      </c>
      <c r="O145" s="29"/>
      <c r="P145" s="29"/>
    </row>
    <row r="146" spans="1:16" x14ac:dyDescent="0.25">
      <c r="A146" s="72" t="s">
        <v>243</v>
      </c>
      <c r="B146" s="37">
        <v>142</v>
      </c>
      <c r="C146" s="62" t="s">
        <v>198</v>
      </c>
      <c r="D146" s="1" t="s">
        <v>12</v>
      </c>
      <c r="E146" s="68">
        <v>41681426</v>
      </c>
      <c r="G146" s="2">
        <v>67</v>
      </c>
      <c r="H146" s="1" t="s">
        <v>199</v>
      </c>
      <c r="I146" s="67" t="s">
        <v>23</v>
      </c>
      <c r="J146" s="1" t="s">
        <v>34</v>
      </c>
      <c r="K146" s="148" t="s">
        <v>62</v>
      </c>
      <c r="L146" s="29"/>
      <c r="M146" s="29"/>
      <c r="N146" s="29">
        <v>27</v>
      </c>
      <c r="O146" s="29"/>
      <c r="P146" s="29"/>
    </row>
    <row r="147" spans="1:16" x14ac:dyDescent="0.25">
      <c r="A147" s="72"/>
      <c r="B147" s="37">
        <v>143</v>
      </c>
      <c r="C147" s="62" t="s">
        <v>200</v>
      </c>
      <c r="D147" s="1" t="s">
        <v>201</v>
      </c>
      <c r="E147" s="68">
        <v>4211176</v>
      </c>
      <c r="G147" s="2">
        <v>66</v>
      </c>
      <c r="H147" s="1" t="s">
        <v>199</v>
      </c>
      <c r="I147" s="67" t="s">
        <v>23</v>
      </c>
      <c r="J147" s="1" t="s">
        <v>34</v>
      </c>
      <c r="K147" s="146" t="s">
        <v>63</v>
      </c>
      <c r="L147" s="29"/>
      <c r="M147" s="29">
        <v>76</v>
      </c>
      <c r="N147" s="29"/>
      <c r="O147" s="29"/>
      <c r="P147" s="29"/>
    </row>
    <row r="148" spans="1:16" x14ac:dyDescent="0.25">
      <c r="B148" s="37">
        <v>144</v>
      </c>
      <c r="C148" s="45" t="s">
        <v>205</v>
      </c>
      <c r="D148" s="29" t="s">
        <v>201</v>
      </c>
      <c r="E148" s="35">
        <v>79346819</v>
      </c>
      <c r="F148" s="29"/>
      <c r="G148" s="32">
        <v>59</v>
      </c>
      <c r="H148" s="29"/>
      <c r="I148" s="66" t="s">
        <v>23</v>
      </c>
      <c r="J148" s="29" t="s">
        <v>14</v>
      </c>
      <c r="K148" s="34" t="s">
        <v>63</v>
      </c>
      <c r="L148" s="29"/>
      <c r="M148" s="29">
        <v>77</v>
      </c>
      <c r="N148" s="29"/>
      <c r="O148" s="29"/>
      <c r="P148" s="29"/>
    </row>
    <row r="149" spans="1:16" x14ac:dyDescent="0.25">
      <c r="B149" s="37">
        <v>145</v>
      </c>
      <c r="C149" s="45" t="s">
        <v>211</v>
      </c>
      <c r="D149" s="29" t="s">
        <v>201</v>
      </c>
      <c r="E149" s="31">
        <v>51697265</v>
      </c>
      <c r="F149" s="29"/>
      <c r="G149" s="32">
        <v>61</v>
      </c>
      <c r="H149" s="29"/>
      <c r="I149" s="66" t="s">
        <v>23</v>
      </c>
      <c r="J149" s="29" t="s">
        <v>14</v>
      </c>
      <c r="K149" s="34" t="s">
        <v>63</v>
      </c>
      <c r="L149" s="29"/>
      <c r="M149" s="29">
        <v>78</v>
      </c>
      <c r="N149" s="29"/>
      <c r="O149" s="29"/>
      <c r="P149" s="29"/>
    </row>
    <row r="150" spans="1:16" x14ac:dyDescent="0.25">
      <c r="B150" s="37">
        <v>146</v>
      </c>
      <c r="C150" s="45" t="s">
        <v>249</v>
      </c>
      <c r="D150" s="29" t="s">
        <v>201</v>
      </c>
      <c r="E150" s="35">
        <v>21018645</v>
      </c>
      <c r="F150" s="29"/>
      <c r="G150" s="32">
        <v>42</v>
      </c>
      <c r="H150" s="29"/>
      <c r="I150" s="66" t="s">
        <v>23</v>
      </c>
      <c r="J150" s="29" t="s">
        <v>14</v>
      </c>
      <c r="K150" s="34" t="s">
        <v>63</v>
      </c>
      <c r="L150" s="29"/>
      <c r="M150" s="29"/>
      <c r="N150" s="29"/>
      <c r="O150" s="29"/>
      <c r="P150" s="29"/>
    </row>
    <row r="151" spans="1:16" x14ac:dyDescent="0.25">
      <c r="B151" s="37">
        <v>147</v>
      </c>
      <c r="C151" s="45" t="s">
        <v>250</v>
      </c>
      <c r="D151" s="29" t="s">
        <v>201</v>
      </c>
      <c r="E151" s="35">
        <v>80355026</v>
      </c>
      <c r="F151" s="29"/>
      <c r="G151" s="32">
        <v>59</v>
      </c>
      <c r="H151" s="29"/>
      <c r="I151" s="66" t="s">
        <v>23</v>
      </c>
      <c r="J151" s="29" t="s">
        <v>34</v>
      </c>
      <c r="K151" s="34" t="s">
        <v>63</v>
      </c>
      <c r="L151" s="29"/>
      <c r="M151" s="29"/>
      <c r="N151" s="29"/>
      <c r="O151" s="29"/>
      <c r="P151" s="29"/>
    </row>
    <row r="152" spans="1:16" x14ac:dyDescent="0.25">
      <c r="B152" s="37">
        <v>148</v>
      </c>
      <c r="C152" s="45" t="s">
        <v>259</v>
      </c>
      <c r="D152" s="29" t="s">
        <v>201</v>
      </c>
      <c r="E152" s="35">
        <v>21016659</v>
      </c>
      <c r="F152" s="29"/>
      <c r="G152" s="32">
        <v>54</v>
      </c>
      <c r="H152" s="29"/>
      <c r="I152" s="66" t="s">
        <v>23</v>
      </c>
      <c r="J152" s="29" t="s">
        <v>34</v>
      </c>
      <c r="K152" s="34" t="s">
        <v>63</v>
      </c>
      <c r="L152" s="29"/>
      <c r="M152" s="29"/>
      <c r="N152" s="29"/>
      <c r="O152" s="29"/>
      <c r="P152" s="29"/>
    </row>
    <row r="153" spans="1:16" x14ac:dyDescent="0.25">
      <c r="B153" s="37">
        <v>149</v>
      </c>
      <c r="C153" s="45" t="s">
        <v>260</v>
      </c>
      <c r="D153" s="29" t="s">
        <v>201</v>
      </c>
      <c r="E153" s="35">
        <v>21016967</v>
      </c>
      <c r="F153" s="29"/>
      <c r="G153" s="32">
        <v>52</v>
      </c>
      <c r="H153" s="29"/>
      <c r="I153" s="66" t="s">
        <v>23</v>
      </c>
      <c r="J153" s="29" t="s">
        <v>34</v>
      </c>
      <c r="K153" s="65" t="s">
        <v>61</v>
      </c>
      <c r="L153" s="29"/>
      <c r="M153" s="29"/>
      <c r="N153" s="29"/>
      <c r="O153" s="29"/>
      <c r="P153" s="29"/>
    </row>
    <row r="155" spans="1:16" x14ac:dyDescent="0.25">
      <c r="F155" s="74" t="s">
        <v>13</v>
      </c>
      <c r="G155" s="70">
        <f>COUNTIF(I2:I154,"APULO")</f>
        <v>72</v>
      </c>
      <c r="I155" s="70" t="s">
        <v>63</v>
      </c>
      <c r="J155" s="70">
        <f>COUNTIF(K2:K152,"MOJARRA FRITA")</f>
        <v>81</v>
      </c>
      <c r="K155" s="1">
        <v>78</v>
      </c>
      <c r="L155" s="70" t="s">
        <v>14</v>
      </c>
      <c r="M155" s="77">
        <f>COUNTIF(Tabla2[COMISIONISTAS],"LAD")</f>
        <v>36</v>
      </c>
      <c r="N155"/>
    </row>
    <row r="156" spans="1:16" x14ac:dyDescent="0.25">
      <c r="F156" s="179" t="s">
        <v>15</v>
      </c>
      <c r="G156" s="70">
        <f>COUNTIF(Tabla2[MUNICIPIO],"ANAPOIMA")</f>
        <v>14</v>
      </c>
      <c r="I156" s="70" t="s">
        <v>61</v>
      </c>
      <c r="J156" s="70">
        <f>COUNTIF(K2:K152,"MOJARRA SUDADA")</f>
        <v>21</v>
      </c>
      <c r="K156" s="1">
        <v>22</v>
      </c>
      <c r="L156" s="70" t="s">
        <v>34</v>
      </c>
      <c r="M156" s="77">
        <f>COUNTIF(Tabla2[COMISIONISTAS],"MAFE")</f>
        <v>30</v>
      </c>
      <c r="N156"/>
    </row>
    <row r="157" spans="1:16" x14ac:dyDescent="0.25">
      <c r="F157" s="180" t="s">
        <v>23</v>
      </c>
      <c r="G157" s="70">
        <f>COUNTIF(Tabla2[MUNICIPIO],"TOCAIMA")</f>
        <v>51</v>
      </c>
      <c r="I157" s="70" t="s">
        <v>217</v>
      </c>
      <c r="J157" s="70">
        <f>COUNTIF(K2:K152,"LOMO DE CERDO")</f>
        <v>5</v>
      </c>
      <c r="K157" s="1">
        <v>6</v>
      </c>
      <c r="L157" s="70" t="s">
        <v>102</v>
      </c>
      <c r="M157" s="77">
        <f>COUNTIF(Tabla2[COMISIONISTAS],"EDITH")</f>
        <v>49</v>
      </c>
      <c r="N157"/>
    </row>
    <row r="158" spans="1:16" x14ac:dyDescent="0.25">
      <c r="F158" s="179" t="s">
        <v>148</v>
      </c>
      <c r="G158" s="70">
        <f>COUNTIF(Tabla2[MUNICIPIO],"HULANDAS")</f>
        <v>3</v>
      </c>
      <c r="I158" s="70" t="s">
        <v>238</v>
      </c>
      <c r="J158" s="70">
        <f>COUNTIF(K2:K150,"COSTILLAS BBQ")</f>
        <v>32</v>
      </c>
      <c r="K158" s="1">
        <v>29</v>
      </c>
      <c r="L158" s="70" t="s">
        <v>21</v>
      </c>
      <c r="M158" s="77">
        <f>COUNTIF(Tabla2[COMISIONISTAS],"TETE")</f>
        <v>22</v>
      </c>
      <c r="N158"/>
    </row>
    <row r="159" spans="1:16" x14ac:dyDescent="0.25">
      <c r="F159" s="74" t="s">
        <v>228</v>
      </c>
      <c r="G159" s="70">
        <f>COUNTIF(Tabla2[MUNICIPIO],"PALOQUEMAO")</f>
        <v>5</v>
      </c>
      <c r="I159" s="70" t="s">
        <v>71</v>
      </c>
      <c r="J159" s="70">
        <f>COUNTIF(K2:K152,"PECHUGA A LA PLANCHA")</f>
        <v>9</v>
      </c>
      <c r="K159" s="1">
        <v>10</v>
      </c>
      <c r="L159" s="70" t="s">
        <v>159</v>
      </c>
      <c r="M159" s="78">
        <f>COUNTIF(Tabla2[COMISIONISTAS],"MIREYA")</f>
        <v>6</v>
      </c>
      <c r="N159"/>
    </row>
    <row r="160" spans="1:16" x14ac:dyDescent="0.25">
      <c r="F160" s="179" t="s">
        <v>234</v>
      </c>
      <c r="G160" s="71">
        <f>COUNTIF(Tabla2[MUNICIPIO],"MESETA")</f>
        <v>4</v>
      </c>
      <c r="I160" s="74"/>
      <c r="J160" s="70"/>
      <c r="K160" s="1">
        <f>SUM(K155:K159)</f>
        <v>145</v>
      </c>
      <c r="L160" s="70" t="s">
        <v>158</v>
      </c>
      <c r="M160" s="78">
        <f>COUNTIF(Tabla2[COMISIONISTAS],"JHONATAN")</f>
        <v>4</v>
      </c>
    </row>
    <row r="161" spans="3:13" x14ac:dyDescent="0.25">
      <c r="F161" s="80" t="s">
        <v>152</v>
      </c>
      <c r="G161" s="71">
        <f>SUM(G155:G160)</f>
        <v>149</v>
      </c>
      <c r="L161" s="70" t="s">
        <v>88</v>
      </c>
      <c r="M161" s="78">
        <f>COUNTIF(Tabla2[COMISIONISTAS],"EMPRESA")</f>
        <v>4</v>
      </c>
    </row>
    <row r="162" spans="3:13" x14ac:dyDescent="0.25">
      <c r="I162" s="70" t="s">
        <v>203</v>
      </c>
      <c r="J162" s="70">
        <v>83</v>
      </c>
      <c r="L162" s="79" t="s">
        <v>152</v>
      </c>
      <c r="M162" s="77">
        <f>SUM(M155:M161)</f>
        <v>151</v>
      </c>
    </row>
    <row r="163" spans="3:13" x14ac:dyDescent="0.25">
      <c r="I163" s="70" t="s">
        <v>61</v>
      </c>
      <c r="J163" s="70">
        <v>22</v>
      </c>
    </row>
    <row r="164" spans="3:13" x14ac:dyDescent="0.25">
      <c r="C164" t="s">
        <v>13</v>
      </c>
      <c r="D164" s="1">
        <f>G155+G159</f>
        <v>77</v>
      </c>
      <c r="I164" s="70" t="s">
        <v>217</v>
      </c>
      <c r="J164" s="70">
        <v>6</v>
      </c>
    </row>
    <row r="165" spans="3:13" x14ac:dyDescent="0.25">
      <c r="C165" t="s">
        <v>15</v>
      </c>
      <c r="D165" s="1">
        <f>G156+G158+G160</f>
        <v>21</v>
      </c>
      <c r="G165" s="2">
        <f>G160+G158+G156</f>
        <v>21</v>
      </c>
      <c r="I165" s="70" t="s">
        <v>238</v>
      </c>
      <c r="J165" s="70">
        <v>30</v>
      </c>
    </row>
    <row r="166" spans="3:13" x14ac:dyDescent="0.25">
      <c r="C166" t="s">
        <v>23</v>
      </c>
      <c r="D166" s="1">
        <v>49</v>
      </c>
      <c r="I166" s="70" t="s">
        <v>71</v>
      </c>
      <c r="J166" s="70">
        <v>9</v>
      </c>
    </row>
    <row r="167" spans="3:13" x14ac:dyDescent="0.25">
      <c r="D167" s="1">
        <f>SUM(D164:D166)</f>
        <v>147</v>
      </c>
      <c r="I167" s="74" t="s">
        <v>152</v>
      </c>
      <c r="J167" s="70">
        <f>SUM(J162:J166)</f>
        <v>150</v>
      </c>
    </row>
  </sheetData>
  <phoneticPr fontId="5" type="noConversion"/>
  <conditionalFormatting sqref="C1:C1048576">
    <cfRule type="duplicateValues" dxfId="128" priority="4"/>
  </conditionalFormatting>
  <conditionalFormatting sqref="E1:E1048576">
    <cfRule type="duplicateValues" dxfId="127" priority="3"/>
  </conditionalFormatting>
  <conditionalFormatting sqref="E2:E116">
    <cfRule type="duplicateValues" dxfId="126" priority="372"/>
  </conditionalFormatting>
  <conditionalFormatting sqref="E2:E145">
    <cfRule type="duplicateValues" dxfId="125" priority="374"/>
  </conditionalFormatting>
  <conditionalFormatting sqref="C2:C145">
    <cfRule type="duplicateValues" dxfId="124" priority="376"/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33CB-D68D-41D4-A982-8038AA63CCFF}">
  <dimension ref="B2:J150"/>
  <sheetViews>
    <sheetView workbookViewId="0">
      <selection activeCell="J6" sqref="J6"/>
    </sheetView>
  </sheetViews>
  <sheetFormatPr baseColWidth="10" defaultRowHeight="15" x14ac:dyDescent="0.25"/>
  <cols>
    <col min="3" max="3" width="22.85546875" bestFit="1" customWidth="1"/>
    <col min="4" max="4" width="22.85546875" style="38" customWidth="1"/>
    <col min="6" max="6" width="22.85546875" bestFit="1" customWidth="1"/>
    <col min="9" max="9" width="22.85546875" bestFit="1" customWidth="1"/>
  </cols>
  <sheetData>
    <row r="2" spans="2:10" x14ac:dyDescent="0.25">
      <c r="B2">
        <v>1</v>
      </c>
      <c r="C2" s="150" t="s">
        <v>138</v>
      </c>
      <c r="D2" s="37">
        <v>1</v>
      </c>
      <c r="E2" t="s">
        <v>71</v>
      </c>
      <c r="F2">
        <f>COUNTIF(C2:C149,"PECHUGA A LA PLANCHA")</f>
        <v>9</v>
      </c>
      <c r="G2">
        <v>9</v>
      </c>
      <c r="I2" s="77" t="s">
        <v>138</v>
      </c>
      <c r="J2" s="77">
        <v>9</v>
      </c>
    </row>
    <row r="3" spans="2:10" x14ac:dyDescent="0.25">
      <c r="B3">
        <v>2</v>
      </c>
      <c r="C3" s="140" t="s">
        <v>62</v>
      </c>
      <c r="D3" s="37">
        <v>1</v>
      </c>
      <c r="E3" t="s">
        <v>238</v>
      </c>
      <c r="F3">
        <f>COUNTIF(C2:C150,"COSTILLAS BBQ")</f>
        <v>32</v>
      </c>
      <c r="G3">
        <v>32</v>
      </c>
      <c r="I3" s="77" t="s">
        <v>62</v>
      </c>
      <c r="J3" s="77">
        <v>32</v>
      </c>
    </row>
    <row r="4" spans="2:10" x14ac:dyDescent="0.25">
      <c r="B4">
        <v>3</v>
      </c>
      <c r="C4" s="102" t="s">
        <v>63</v>
      </c>
      <c r="D4" s="37">
        <v>1</v>
      </c>
      <c r="E4" t="s">
        <v>254</v>
      </c>
      <c r="F4">
        <f>COUNTIF(C2:C149,"MOJARRA FRITA")</f>
        <v>80</v>
      </c>
      <c r="G4">
        <v>82</v>
      </c>
      <c r="I4" s="77" t="s">
        <v>63</v>
      </c>
      <c r="J4" s="77">
        <v>82</v>
      </c>
    </row>
    <row r="5" spans="2:10" x14ac:dyDescent="0.25">
      <c r="B5">
        <v>4</v>
      </c>
      <c r="C5" s="102" t="s">
        <v>63</v>
      </c>
      <c r="D5" s="37">
        <v>2</v>
      </c>
      <c r="E5" t="s">
        <v>255</v>
      </c>
      <c r="F5">
        <f>COUNTIF(C2:C149,"MOJARRA SUDADA")</f>
        <v>21</v>
      </c>
      <c r="G5">
        <v>22</v>
      </c>
      <c r="I5" s="77" t="s">
        <v>61</v>
      </c>
      <c r="J5" s="77">
        <v>22</v>
      </c>
    </row>
    <row r="6" spans="2:10" x14ac:dyDescent="0.25">
      <c r="B6">
        <v>5</v>
      </c>
      <c r="C6" s="102" t="s">
        <v>63</v>
      </c>
      <c r="D6" s="37">
        <v>3</v>
      </c>
      <c r="E6" t="s">
        <v>217</v>
      </c>
      <c r="F6">
        <f>COUNTIF(C2:C149,"LOMO DE CERDO")</f>
        <v>5</v>
      </c>
      <c r="G6">
        <v>5</v>
      </c>
      <c r="I6" s="77" t="s">
        <v>139</v>
      </c>
      <c r="J6" s="77">
        <v>5</v>
      </c>
    </row>
    <row r="7" spans="2:10" x14ac:dyDescent="0.25">
      <c r="B7">
        <v>6</v>
      </c>
      <c r="C7" s="102" t="s">
        <v>63</v>
      </c>
      <c r="D7" s="37">
        <v>4</v>
      </c>
      <c r="E7" t="s">
        <v>152</v>
      </c>
      <c r="F7">
        <f>SUM(F2:F6)</f>
        <v>147</v>
      </c>
      <c r="G7">
        <f>SUM(G2:G6)</f>
        <v>150</v>
      </c>
      <c r="I7" s="157" t="s">
        <v>152</v>
      </c>
      <c r="J7" s="77">
        <f>SUM(J2:J6)</f>
        <v>150</v>
      </c>
    </row>
    <row r="8" spans="2:10" x14ac:dyDescent="0.25">
      <c r="B8">
        <v>7</v>
      </c>
      <c r="C8" s="102" t="s">
        <v>63</v>
      </c>
      <c r="D8" s="37">
        <v>5</v>
      </c>
    </row>
    <row r="9" spans="2:10" x14ac:dyDescent="0.25">
      <c r="B9">
        <v>8</v>
      </c>
      <c r="C9" s="90" t="s">
        <v>61</v>
      </c>
      <c r="D9" s="37">
        <v>1</v>
      </c>
    </row>
    <row r="10" spans="2:10" x14ac:dyDescent="0.25">
      <c r="B10">
        <v>9</v>
      </c>
      <c r="C10" s="90" t="s">
        <v>61</v>
      </c>
      <c r="D10" s="37">
        <v>2</v>
      </c>
    </row>
    <row r="11" spans="2:10" x14ac:dyDescent="0.25">
      <c r="B11">
        <v>10</v>
      </c>
      <c r="C11" s="90" t="s">
        <v>61</v>
      </c>
      <c r="D11" s="37">
        <v>3</v>
      </c>
    </row>
    <row r="12" spans="2:10" x14ac:dyDescent="0.25">
      <c r="B12">
        <v>11</v>
      </c>
      <c r="C12" s="102" t="s">
        <v>63</v>
      </c>
      <c r="D12" s="37">
        <v>6</v>
      </c>
    </row>
    <row r="13" spans="2:10" ht="15.75" thickBot="1" x14ac:dyDescent="0.3">
      <c r="B13">
        <v>12</v>
      </c>
      <c r="C13" s="91" t="s">
        <v>61</v>
      </c>
      <c r="D13" s="37">
        <v>4</v>
      </c>
    </row>
    <row r="14" spans="2:10" x14ac:dyDescent="0.25">
      <c r="B14">
        <v>13</v>
      </c>
      <c r="C14" s="102" t="s">
        <v>63</v>
      </c>
      <c r="D14" s="37">
        <v>7</v>
      </c>
    </row>
    <row r="15" spans="2:10" x14ac:dyDescent="0.25">
      <c r="B15">
        <v>14</v>
      </c>
      <c r="C15" s="102" t="s">
        <v>63</v>
      </c>
      <c r="D15" s="37">
        <v>8</v>
      </c>
    </row>
    <row r="16" spans="2:10" x14ac:dyDescent="0.25">
      <c r="B16">
        <v>15</v>
      </c>
      <c r="C16" s="102" t="s">
        <v>63</v>
      </c>
      <c r="D16" s="37">
        <v>9</v>
      </c>
    </row>
    <row r="17" spans="2:4" x14ac:dyDescent="0.25">
      <c r="B17">
        <v>16</v>
      </c>
      <c r="C17" s="102" t="s">
        <v>63</v>
      </c>
      <c r="D17" s="37">
        <v>10</v>
      </c>
    </row>
    <row r="18" spans="2:4" x14ac:dyDescent="0.25">
      <c r="B18">
        <v>17</v>
      </c>
      <c r="C18" s="102" t="s">
        <v>63</v>
      </c>
      <c r="D18" s="37">
        <v>11</v>
      </c>
    </row>
    <row r="19" spans="2:4" x14ac:dyDescent="0.25">
      <c r="B19">
        <v>18</v>
      </c>
      <c r="C19" s="140" t="s">
        <v>62</v>
      </c>
      <c r="D19" s="37">
        <v>2</v>
      </c>
    </row>
    <row r="20" spans="2:4" x14ac:dyDescent="0.25">
      <c r="B20">
        <v>19</v>
      </c>
      <c r="C20" s="140" t="s">
        <v>62</v>
      </c>
      <c r="D20" s="37">
        <v>3</v>
      </c>
    </row>
    <row r="21" spans="2:4" x14ac:dyDescent="0.25">
      <c r="B21">
        <v>20</v>
      </c>
      <c r="C21" s="102" t="s">
        <v>63</v>
      </c>
      <c r="D21" s="37">
        <v>12</v>
      </c>
    </row>
    <row r="22" spans="2:4" x14ac:dyDescent="0.25">
      <c r="B22">
        <v>21</v>
      </c>
      <c r="C22" s="150" t="s">
        <v>138</v>
      </c>
      <c r="D22" s="37">
        <v>2</v>
      </c>
    </row>
    <row r="23" spans="2:4" x14ac:dyDescent="0.25">
      <c r="B23">
        <v>22</v>
      </c>
      <c r="C23" s="90" t="s">
        <v>61</v>
      </c>
      <c r="D23" s="37">
        <v>5</v>
      </c>
    </row>
    <row r="24" spans="2:4" x14ac:dyDescent="0.25">
      <c r="B24">
        <v>23</v>
      </c>
      <c r="C24" s="90" t="s">
        <v>61</v>
      </c>
      <c r="D24" s="37">
        <v>6</v>
      </c>
    </row>
    <row r="25" spans="2:4" x14ac:dyDescent="0.25">
      <c r="B25">
        <v>24</v>
      </c>
      <c r="C25" s="90" t="s">
        <v>61</v>
      </c>
      <c r="D25" s="37">
        <v>7</v>
      </c>
    </row>
    <row r="26" spans="2:4" x14ac:dyDescent="0.25">
      <c r="B26">
        <v>25</v>
      </c>
      <c r="C26" s="140" t="s">
        <v>62</v>
      </c>
      <c r="D26" s="37">
        <v>4</v>
      </c>
    </row>
    <row r="27" spans="2:4" ht="15.75" thickBot="1" x14ac:dyDescent="0.3">
      <c r="B27">
        <v>26</v>
      </c>
      <c r="C27" s="142" t="s">
        <v>62</v>
      </c>
      <c r="D27" s="37">
        <v>5</v>
      </c>
    </row>
    <row r="28" spans="2:4" x14ac:dyDescent="0.25">
      <c r="B28">
        <v>27</v>
      </c>
      <c r="C28" s="102" t="s">
        <v>63</v>
      </c>
      <c r="D28" s="37">
        <v>13</v>
      </c>
    </row>
    <row r="29" spans="2:4" x14ac:dyDescent="0.25">
      <c r="B29">
        <v>28</v>
      </c>
      <c r="C29" s="150" t="s">
        <v>138</v>
      </c>
      <c r="D29" s="37">
        <v>3</v>
      </c>
    </row>
    <row r="30" spans="2:4" x14ac:dyDescent="0.25">
      <c r="B30">
        <v>29</v>
      </c>
      <c r="C30" s="140" t="s">
        <v>62</v>
      </c>
      <c r="D30" s="37">
        <v>6</v>
      </c>
    </row>
    <row r="31" spans="2:4" x14ac:dyDescent="0.25">
      <c r="B31">
        <v>30</v>
      </c>
      <c r="C31" s="140" t="s">
        <v>62</v>
      </c>
      <c r="D31" s="37">
        <v>7</v>
      </c>
    </row>
    <row r="32" spans="2:4" x14ac:dyDescent="0.25">
      <c r="B32">
        <v>31</v>
      </c>
      <c r="C32" s="140" t="s">
        <v>62</v>
      </c>
      <c r="D32" s="37">
        <v>8</v>
      </c>
    </row>
    <row r="33" spans="2:4" x14ac:dyDescent="0.25">
      <c r="B33">
        <v>32</v>
      </c>
      <c r="C33" s="102" t="s">
        <v>63</v>
      </c>
      <c r="D33" s="37">
        <v>14</v>
      </c>
    </row>
    <row r="34" spans="2:4" x14ac:dyDescent="0.25">
      <c r="B34">
        <v>33</v>
      </c>
      <c r="C34" s="102" t="s">
        <v>63</v>
      </c>
      <c r="D34" s="37">
        <v>15</v>
      </c>
    </row>
    <row r="35" spans="2:4" x14ac:dyDescent="0.25">
      <c r="B35">
        <v>34</v>
      </c>
      <c r="C35" s="140" t="s">
        <v>62</v>
      </c>
      <c r="D35" s="37">
        <v>9</v>
      </c>
    </row>
    <row r="36" spans="2:4" x14ac:dyDescent="0.25">
      <c r="B36">
        <v>35</v>
      </c>
      <c r="C36" s="90" t="s">
        <v>61</v>
      </c>
      <c r="D36" s="37">
        <v>8</v>
      </c>
    </row>
    <row r="37" spans="2:4" x14ac:dyDescent="0.25">
      <c r="B37">
        <v>36</v>
      </c>
      <c r="C37" s="90" t="s">
        <v>61</v>
      </c>
      <c r="D37" s="37">
        <v>9</v>
      </c>
    </row>
    <row r="38" spans="2:4" x14ac:dyDescent="0.25">
      <c r="B38">
        <v>37</v>
      </c>
      <c r="C38" s="102" t="s">
        <v>63</v>
      </c>
      <c r="D38" s="37">
        <v>16</v>
      </c>
    </row>
    <row r="39" spans="2:4" x14ac:dyDescent="0.25">
      <c r="B39">
        <v>38</v>
      </c>
      <c r="C39" s="140" t="s">
        <v>62</v>
      </c>
      <c r="D39" s="37">
        <v>10</v>
      </c>
    </row>
    <row r="40" spans="2:4" x14ac:dyDescent="0.25">
      <c r="B40">
        <v>39</v>
      </c>
      <c r="C40" s="104" t="s">
        <v>139</v>
      </c>
      <c r="D40" s="37">
        <v>1</v>
      </c>
    </row>
    <row r="41" spans="2:4" x14ac:dyDescent="0.25">
      <c r="B41">
        <v>40</v>
      </c>
      <c r="C41" s="90" t="s">
        <v>61</v>
      </c>
      <c r="D41" s="37">
        <v>10</v>
      </c>
    </row>
    <row r="42" spans="2:4" x14ac:dyDescent="0.25">
      <c r="B42">
        <v>41</v>
      </c>
      <c r="C42" s="140" t="s">
        <v>62</v>
      </c>
      <c r="D42" s="37">
        <v>11</v>
      </c>
    </row>
    <row r="43" spans="2:4" x14ac:dyDescent="0.25">
      <c r="B43">
        <v>42</v>
      </c>
      <c r="C43" s="90" t="s">
        <v>61</v>
      </c>
      <c r="D43" s="37">
        <v>11</v>
      </c>
    </row>
    <row r="44" spans="2:4" x14ac:dyDescent="0.25">
      <c r="B44">
        <v>43</v>
      </c>
      <c r="C44" s="90" t="s">
        <v>61</v>
      </c>
      <c r="D44" s="37">
        <v>12</v>
      </c>
    </row>
    <row r="45" spans="2:4" x14ac:dyDescent="0.25">
      <c r="B45">
        <v>44</v>
      </c>
      <c r="C45" s="102" t="s">
        <v>63</v>
      </c>
      <c r="D45" s="37">
        <v>17</v>
      </c>
    </row>
    <row r="46" spans="2:4" x14ac:dyDescent="0.25">
      <c r="B46">
        <v>45</v>
      </c>
      <c r="C46" s="102" t="s">
        <v>63</v>
      </c>
      <c r="D46" s="37">
        <v>18</v>
      </c>
    </row>
    <row r="47" spans="2:4" x14ac:dyDescent="0.25">
      <c r="B47">
        <v>46</v>
      </c>
      <c r="C47" s="102" t="s">
        <v>63</v>
      </c>
      <c r="D47" s="37">
        <v>19</v>
      </c>
    </row>
    <row r="48" spans="2:4" x14ac:dyDescent="0.25">
      <c r="B48">
        <v>47</v>
      </c>
      <c r="C48" s="102" t="s">
        <v>63</v>
      </c>
      <c r="D48" s="37">
        <v>20</v>
      </c>
    </row>
    <row r="49" spans="2:4" x14ac:dyDescent="0.25">
      <c r="B49">
        <v>48</v>
      </c>
      <c r="C49" s="140" t="s">
        <v>62</v>
      </c>
      <c r="D49" s="37">
        <v>12</v>
      </c>
    </row>
    <row r="50" spans="2:4" x14ac:dyDescent="0.25">
      <c r="B50">
        <v>49</v>
      </c>
      <c r="C50" s="102" t="s">
        <v>63</v>
      </c>
      <c r="D50" s="37">
        <v>21</v>
      </c>
    </row>
    <row r="51" spans="2:4" x14ac:dyDescent="0.25">
      <c r="B51">
        <v>50</v>
      </c>
      <c r="C51" s="102" t="s">
        <v>63</v>
      </c>
      <c r="D51" s="37">
        <v>22</v>
      </c>
    </row>
    <row r="52" spans="2:4" x14ac:dyDescent="0.25">
      <c r="B52">
        <v>51</v>
      </c>
      <c r="C52" s="104" t="s">
        <v>139</v>
      </c>
      <c r="D52" s="37">
        <v>2</v>
      </c>
    </row>
    <row r="53" spans="2:4" x14ac:dyDescent="0.25">
      <c r="B53">
        <v>52</v>
      </c>
      <c r="C53" s="102" t="s">
        <v>63</v>
      </c>
      <c r="D53" s="37">
        <v>23</v>
      </c>
    </row>
    <row r="54" spans="2:4" x14ac:dyDescent="0.25">
      <c r="B54">
        <v>53</v>
      </c>
      <c r="C54" s="140" t="s">
        <v>62</v>
      </c>
      <c r="D54" s="37">
        <v>13</v>
      </c>
    </row>
    <row r="55" spans="2:4" x14ac:dyDescent="0.25">
      <c r="B55">
        <v>54</v>
      </c>
      <c r="C55" s="102" t="s">
        <v>63</v>
      </c>
      <c r="D55" s="37">
        <v>24</v>
      </c>
    </row>
    <row r="56" spans="2:4" x14ac:dyDescent="0.25">
      <c r="B56">
        <v>55</v>
      </c>
      <c r="C56" s="102" t="s">
        <v>63</v>
      </c>
      <c r="D56" s="37">
        <v>25</v>
      </c>
    </row>
    <row r="57" spans="2:4" x14ac:dyDescent="0.25">
      <c r="B57">
        <v>56</v>
      </c>
      <c r="C57" s="102" t="s">
        <v>63</v>
      </c>
      <c r="D57" s="37">
        <v>26</v>
      </c>
    </row>
    <row r="58" spans="2:4" x14ac:dyDescent="0.25">
      <c r="B58">
        <v>57</v>
      </c>
      <c r="C58" s="102" t="s">
        <v>63</v>
      </c>
      <c r="D58" s="37">
        <v>27</v>
      </c>
    </row>
    <row r="59" spans="2:4" x14ac:dyDescent="0.25">
      <c r="B59">
        <v>58</v>
      </c>
      <c r="C59" s="102" t="s">
        <v>63</v>
      </c>
      <c r="D59" s="37">
        <v>28</v>
      </c>
    </row>
    <row r="60" spans="2:4" x14ac:dyDescent="0.25">
      <c r="B60">
        <v>59</v>
      </c>
      <c r="C60" s="102" t="s">
        <v>63</v>
      </c>
      <c r="D60" s="37">
        <v>29</v>
      </c>
    </row>
    <row r="61" spans="2:4" ht="15.75" thickBot="1" x14ac:dyDescent="0.3">
      <c r="B61">
        <v>60</v>
      </c>
      <c r="C61" s="91" t="s">
        <v>61</v>
      </c>
      <c r="D61" s="37">
        <v>13</v>
      </c>
    </row>
    <row r="62" spans="2:4" x14ac:dyDescent="0.25">
      <c r="B62">
        <v>61</v>
      </c>
      <c r="C62" s="102" t="s">
        <v>63</v>
      </c>
      <c r="D62" s="37">
        <v>30</v>
      </c>
    </row>
    <row r="63" spans="2:4" x14ac:dyDescent="0.25">
      <c r="B63">
        <v>62</v>
      </c>
      <c r="C63" s="104" t="s">
        <v>139</v>
      </c>
      <c r="D63" s="37">
        <v>3</v>
      </c>
    </row>
    <row r="64" spans="2:4" ht="15.75" thickBot="1" x14ac:dyDescent="0.3">
      <c r="B64">
        <v>63</v>
      </c>
      <c r="C64" s="151" t="s">
        <v>138</v>
      </c>
      <c r="D64" s="37">
        <v>4</v>
      </c>
    </row>
    <row r="65" spans="2:4" x14ac:dyDescent="0.25">
      <c r="B65">
        <v>64</v>
      </c>
      <c r="C65" s="102" t="s">
        <v>63</v>
      </c>
      <c r="D65" s="37">
        <v>31</v>
      </c>
    </row>
    <row r="66" spans="2:4" x14ac:dyDescent="0.25">
      <c r="B66">
        <v>65</v>
      </c>
      <c r="C66" s="102" t="s">
        <v>63</v>
      </c>
      <c r="D66" s="37">
        <v>32</v>
      </c>
    </row>
    <row r="67" spans="2:4" x14ac:dyDescent="0.25">
      <c r="B67">
        <v>66</v>
      </c>
      <c r="C67" s="102" t="s">
        <v>63</v>
      </c>
      <c r="D67" s="37">
        <v>33</v>
      </c>
    </row>
    <row r="68" spans="2:4" x14ac:dyDescent="0.25">
      <c r="B68">
        <v>67</v>
      </c>
      <c r="C68" s="102" t="s">
        <v>63</v>
      </c>
      <c r="D68" s="37">
        <v>34</v>
      </c>
    </row>
    <row r="69" spans="2:4" x14ac:dyDescent="0.25">
      <c r="B69">
        <v>68</v>
      </c>
      <c r="C69" s="102" t="s">
        <v>63</v>
      </c>
      <c r="D69" s="37">
        <v>35</v>
      </c>
    </row>
    <row r="70" spans="2:4" x14ac:dyDescent="0.25">
      <c r="B70">
        <v>69</v>
      </c>
      <c r="C70" s="102" t="s">
        <v>63</v>
      </c>
      <c r="D70" s="37">
        <v>36</v>
      </c>
    </row>
    <row r="71" spans="2:4" x14ac:dyDescent="0.25">
      <c r="B71">
        <v>70</v>
      </c>
      <c r="C71" s="102" t="s">
        <v>63</v>
      </c>
      <c r="D71" s="37">
        <v>37</v>
      </c>
    </row>
    <row r="72" spans="2:4" x14ac:dyDescent="0.25">
      <c r="B72">
        <v>71</v>
      </c>
      <c r="C72" s="102" t="s">
        <v>63</v>
      </c>
      <c r="D72" s="37">
        <v>38</v>
      </c>
    </row>
    <row r="73" spans="2:4" x14ac:dyDescent="0.25">
      <c r="B73">
        <v>72</v>
      </c>
      <c r="C73" s="102" t="s">
        <v>63</v>
      </c>
      <c r="D73" s="37">
        <v>39</v>
      </c>
    </row>
    <row r="74" spans="2:4" x14ac:dyDescent="0.25">
      <c r="B74">
        <v>73</v>
      </c>
      <c r="C74" s="102" t="s">
        <v>63</v>
      </c>
      <c r="D74" s="37">
        <v>40</v>
      </c>
    </row>
    <row r="75" spans="2:4" x14ac:dyDescent="0.25">
      <c r="B75">
        <v>74</v>
      </c>
      <c r="C75" s="102" t="s">
        <v>63</v>
      </c>
      <c r="D75" s="37">
        <v>41</v>
      </c>
    </row>
    <row r="76" spans="2:4" x14ac:dyDescent="0.25">
      <c r="B76">
        <v>75</v>
      </c>
      <c r="C76" s="102" t="s">
        <v>63</v>
      </c>
      <c r="D76" s="37">
        <v>42</v>
      </c>
    </row>
    <row r="77" spans="2:4" x14ac:dyDescent="0.25">
      <c r="B77">
        <v>76</v>
      </c>
      <c r="C77" s="102" t="s">
        <v>63</v>
      </c>
      <c r="D77" s="37">
        <v>43</v>
      </c>
    </row>
    <row r="78" spans="2:4" x14ac:dyDescent="0.25">
      <c r="B78">
        <v>77</v>
      </c>
      <c r="C78" s="102" t="s">
        <v>63</v>
      </c>
      <c r="D78" s="37">
        <v>44</v>
      </c>
    </row>
    <row r="79" spans="2:4" x14ac:dyDescent="0.25">
      <c r="B79">
        <v>78</v>
      </c>
      <c r="C79" s="140" t="s">
        <v>62</v>
      </c>
      <c r="D79" s="37">
        <v>14</v>
      </c>
    </row>
    <row r="80" spans="2:4" x14ac:dyDescent="0.25">
      <c r="B80">
        <v>79</v>
      </c>
      <c r="C80" s="150" t="s">
        <v>138</v>
      </c>
      <c r="D80" s="37">
        <v>5</v>
      </c>
    </row>
    <row r="81" spans="2:4" x14ac:dyDescent="0.25">
      <c r="B81">
        <v>80</v>
      </c>
      <c r="C81" s="102" t="s">
        <v>63</v>
      </c>
      <c r="D81" s="37">
        <v>45</v>
      </c>
    </row>
    <row r="82" spans="2:4" x14ac:dyDescent="0.25">
      <c r="B82">
        <v>81</v>
      </c>
      <c r="C82" s="150" t="s">
        <v>138</v>
      </c>
      <c r="D82" s="37">
        <v>6</v>
      </c>
    </row>
    <row r="83" spans="2:4" x14ac:dyDescent="0.25">
      <c r="B83">
        <v>82</v>
      </c>
      <c r="C83" s="140" t="s">
        <v>62</v>
      </c>
      <c r="D83" s="37">
        <v>15</v>
      </c>
    </row>
    <row r="84" spans="2:4" x14ac:dyDescent="0.25">
      <c r="B84">
        <v>83</v>
      </c>
      <c r="C84" s="140" t="s">
        <v>62</v>
      </c>
      <c r="D84" s="37">
        <v>16</v>
      </c>
    </row>
    <row r="85" spans="2:4" x14ac:dyDescent="0.25">
      <c r="B85">
        <v>84</v>
      </c>
      <c r="C85" s="140" t="s">
        <v>62</v>
      </c>
      <c r="D85" s="37">
        <v>17</v>
      </c>
    </row>
    <row r="86" spans="2:4" x14ac:dyDescent="0.25">
      <c r="B86">
        <v>85</v>
      </c>
      <c r="C86" s="102" t="s">
        <v>203</v>
      </c>
      <c r="D86" s="37">
        <v>46</v>
      </c>
    </row>
    <row r="87" spans="2:4" x14ac:dyDescent="0.25">
      <c r="B87">
        <v>86</v>
      </c>
      <c r="C87" s="102" t="s">
        <v>63</v>
      </c>
      <c r="D87" s="37">
        <v>47</v>
      </c>
    </row>
    <row r="88" spans="2:4" x14ac:dyDescent="0.25">
      <c r="B88">
        <v>87</v>
      </c>
      <c r="C88" s="150" t="s">
        <v>138</v>
      </c>
      <c r="D88" s="37">
        <v>7</v>
      </c>
    </row>
    <row r="89" spans="2:4" x14ac:dyDescent="0.25">
      <c r="B89">
        <v>88</v>
      </c>
      <c r="C89" s="90" t="s">
        <v>61</v>
      </c>
      <c r="D89" s="37">
        <v>14</v>
      </c>
    </row>
    <row r="90" spans="2:4" x14ac:dyDescent="0.25">
      <c r="B90">
        <v>89</v>
      </c>
      <c r="C90" s="104" t="s">
        <v>139</v>
      </c>
      <c r="D90" s="37">
        <v>4</v>
      </c>
    </row>
    <row r="91" spans="2:4" x14ac:dyDescent="0.25">
      <c r="B91">
        <v>90</v>
      </c>
      <c r="C91" s="102" t="s">
        <v>63</v>
      </c>
      <c r="D91" s="37">
        <v>48</v>
      </c>
    </row>
    <row r="92" spans="2:4" x14ac:dyDescent="0.25">
      <c r="B92">
        <v>91</v>
      </c>
      <c r="C92" s="102" t="s">
        <v>63</v>
      </c>
      <c r="D92" s="37">
        <v>49</v>
      </c>
    </row>
    <row r="93" spans="2:4" x14ac:dyDescent="0.25">
      <c r="B93">
        <v>92</v>
      </c>
      <c r="C93" s="102" t="s">
        <v>63</v>
      </c>
      <c r="D93" s="37">
        <v>50</v>
      </c>
    </row>
    <row r="94" spans="2:4" x14ac:dyDescent="0.25">
      <c r="B94">
        <v>93</v>
      </c>
      <c r="C94" s="102" t="s">
        <v>63</v>
      </c>
      <c r="D94" s="37">
        <v>51</v>
      </c>
    </row>
    <row r="95" spans="2:4" x14ac:dyDescent="0.25">
      <c r="B95">
        <v>94</v>
      </c>
      <c r="C95" s="102" t="s">
        <v>63</v>
      </c>
      <c r="D95" s="37">
        <v>52</v>
      </c>
    </row>
    <row r="96" spans="2:4" x14ac:dyDescent="0.25">
      <c r="B96">
        <v>95</v>
      </c>
      <c r="C96" s="104" t="s">
        <v>139</v>
      </c>
      <c r="D96" s="37">
        <v>5</v>
      </c>
    </row>
    <row r="97" spans="2:4" x14ac:dyDescent="0.25">
      <c r="B97">
        <v>96</v>
      </c>
      <c r="C97" s="102" t="s">
        <v>63</v>
      </c>
      <c r="D97" s="37">
        <v>53</v>
      </c>
    </row>
    <row r="98" spans="2:4" x14ac:dyDescent="0.25">
      <c r="B98">
        <v>97</v>
      </c>
      <c r="C98" s="102" t="s">
        <v>63</v>
      </c>
      <c r="D98" s="37">
        <v>54</v>
      </c>
    </row>
    <row r="99" spans="2:4" x14ac:dyDescent="0.25">
      <c r="B99">
        <v>98</v>
      </c>
      <c r="C99" s="140" t="s">
        <v>62</v>
      </c>
      <c r="D99" s="37">
        <v>18</v>
      </c>
    </row>
    <row r="100" spans="2:4" x14ac:dyDescent="0.25">
      <c r="B100">
        <v>99</v>
      </c>
      <c r="C100" s="140" t="s">
        <v>62</v>
      </c>
      <c r="D100" s="37">
        <v>19</v>
      </c>
    </row>
    <row r="101" spans="2:4" x14ac:dyDescent="0.25">
      <c r="B101">
        <v>100</v>
      </c>
      <c r="C101" s="102" t="s">
        <v>63</v>
      </c>
      <c r="D101" s="37">
        <v>55</v>
      </c>
    </row>
    <row r="102" spans="2:4" x14ac:dyDescent="0.25">
      <c r="B102">
        <v>101</v>
      </c>
      <c r="C102" s="140" t="s">
        <v>62</v>
      </c>
      <c r="D102" s="37">
        <v>20</v>
      </c>
    </row>
    <row r="103" spans="2:4" x14ac:dyDescent="0.25">
      <c r="B103">
        <v>102</v>
      </c>
      <c r="C103" s="150" t="s">
        <v>138</v>
      </c>
      <c r="D103" s="37">
        <v>8</v>
      </c>
    </row>
    <row r="104" spans="2:4" x14ac:dyDescent="0.25">
      <c r="B104">
        <v>103</v>
      </c>
      <c r="C104" s="140" t="s">
        <v>62</v>
      </c>
      <c r="D104" s="37">
        <v>21</v>
      </c>
    </row>
    <row r="105" spans="2:4" x14ac:dyDescent="0.25">
      <c r="B105">
        <v>104</v>
      </c>
      <c r="C105" s="140" t="s">
        <v>62</v>
      </c>
      <c r="D105" s="37">
        <v>22</v>
      </c>
    </row>
    <row r="106" spans="2:4" x14ac:dyDescent="0.25">
      <c r="B106">
        <v>105</v>
      </c>
      <c r="C106" s="102" t="s">
        <v>63</v>
      </c>
      <c r="D106" s="37">
        <v>56</v>
      </c>
    </row>
    <row r="107" spans="2:4" x14ac:dyDescent="0.25">
      <c r="B107">
        <v>106</v>
      </c>
      <c r="C107" s="150" t="s">
        <v>138</v>
      </c>
      <c r="D107" s="37">
        <v>9</v>
      </c>
    </row>
    <row r="108" spans="2:4" x14ac:dyDescent="0.25">
      <c r="B108">
        <v>107</v>
      </c>
      <c r="C108" s="102" t="s">
        <v>63</v>
      </c>
      <c r="D108" s="37">
        <v>57</v>
      </c>
    </row>
    <row r="109" spans="2:4" x14ac:dyDescent="0.25">
      <c r="B109">
        <v>108</v>
      </c>
      <c r="C109" s="102" t="s">
        <v>63</v>
      </c>
      <c r="D109" s="37">
        <v>58</v>
      </c>
    </row>
    <row r="110" spans="2:4" x14ac:dyDescent="0.25">
      <c r="B110">
        <v>109</v>
      </c>
      <c r="C110" s="90" t="s">
        <v>61</v>
      </c>
      <c r="D110" s="37">
        <v>15</v>
      </c>
    </row>
    <row r="111" spans="2:4" x14ac:dyDescent="0.25">
      <c r="B111">
        <v>110</v>
      </c>
      <c r="C111" s="102" t="s">
        <v>63</v>
      </c>
      <c r="D111" s="37">
        <v>59</v>
      </c>
    </row>
    <row r="112" spans="2:4" x14ac:dyDescent="0.25">
      <c r="B112">
        <v>111</v>
      </c>
      <c r="C112" s="102" t="s">
        <v>63</v>
      </c>
      <c r="D112" s="37">
        <v>60</v>
      </c>
    </row>
    <row r="113" spans="2:4" x14ac:dyDescent="0.25">
      <c r="B113">
        <v>112</v>
      </c>
      <c r="C113" s="102" t="s">
        <v>63</v>
      </c>
      <c r="D113" s="37">
        <v>61</v>
      </c>
    </row>
    <row r="114" spans="2:4" ht="15.75" thickBot="1" x14ac:dyDescent="0.3">
      <c r="B114">
        <v>113</v>
      </c>
      <c r="C114" s="91" t="s">
        <v>61</v>
      </c>
      <c r="D114" s="37">
        <v>16</v>
      </c>
    </row>
    <row r="115" spans="2:4" x14ac:dyDescent="0.25">
      <c r="B115">
        <v>114</v>
      </c>
      <c r="C115" s="140" t="s">
        <v>62</v>
      </c>
      <c r="D115" s="37">
        <v>23</v>
      </c>
    </row>
    <row r="116" spans="2:4" x14ac:dyDescent="0.25">
      <c r="B116">
        <v>115</v>
      </c>
      <c r="C116" s="102" t="s">
        <v>63</v>
      </c>
      <c r="D116" s="37">
        <v>62</v>
      </c>
    </row>
    <row r="117" spans="2:4" x14ac:dyDescent="0.25">
      <c r="B117">
        <v>116</v>
      </c>
      <c r="C117" s="90" t="s">
        <v>61</v>
      </c>
      <c r="D117" s="37">
        <v>17</v>
      </c>
    </row>
    <row r="118" spans="2:4" x14ac:dyDescent="0.25">
      <c r="B118">
        <v>117</v>
      </c>
      <c r="C118" s="90" t="s">
        <v>61</v>
      </c>
      <c r="D118" s="37">
        <v>18</v>
      </c>
    </row>
    <row r="119" spans="2:4" x14ac:dyDescent="0.25">
      <c r="B119">
        <v>118</v>
      </c>
      <c r="C119" s="102" t="s">
        <v>63</v>
      </c>
      <c r="D119" s="37">
        <v>63</v>
      </c>
    </row>
    <row r="120" spans="2:4" x14ac:dyDescent="0.25">
      <c r="B120">
        <v>119</v>
      </c>
      <c r="C120" s="140" t="s">
        <v>62</v>
      </c>
      <c r="D120" s="37">
        <v>24</v>
      </c>
    </row>
    <row r="121" spans="2:4" x14ac:dyDescent="0.25">
      <c r="B121">
        <v>120</v>
      </c>
      <c r="C121" s="102" t="s">
        <v>63</v>
      </c>
      <c r="D121" s="37">
        <v>64</v>
      </c>
    </row>
    <row r="122" spans="2:4" x14ac:dyDescent="0.25">
      <c r="B122">
        <v>121</v>
      </c>
      <c r="C122" s="140" t="s">
        <v>62</v>
      </c>
      <c r="D122" s="37">
        <v>25</v>
      </c>
    </row>
    <row r="123" spans="2:4" x14ac:dyDescent="0.25">
      <c r="B123">
        <v>122</v>
      </c>
      <c r="C123" s="90" t="s">
        <v>61</v>
      </c>
      <c r="D123" s="37">
        <v>19</v>
      </c>
    </row>
    <row r="124" spans="2:4" x14ac:dyDescent="0.25">
      <c r="B124">
        <v>123</v>
      </c>
      <c r="C124" s="102" t="s">
        <v>63</v>
      </c>
      <c r="D124" s="37">
        <v>65</v>
      </c>
    </row>
    <row r="125" spans="2:4" x14ac:dyDescent="0.25">
      <c r="B125">
        <v>124</v>
      </c>
      <c r="C125" s="102" t="s">
        <v>63</v>
      </c>
      <c r="D125" s="37">
        <v>66</v>
      </c>
    </row>
    <row r="126" spans="2:4" x14ac:dyDescent="0.25">
      <c r="B126">
        <v>125</v>
      </c>
      <c r="C126" s="102" t="s">
        <v>63</v>
      </c>
      <c r="D126" s="37">
        <v>67</v>
      </c>
    </row>
    <row r="127" spans="2:4" x14ac:dyDescent="0.25">
      <c r="B127">
        <v>126</v>
      </c>
      <c r="C127" s="102" t="s">
        <v>63</v>
      </c>
      <c r="D127" s="37">
        <v>68</v>
      </c>
    </row>
    <row r="128" spans="2:4" x14ac:dyDescent="0.25">
      <c r="B128">
        <v>127</v>
      </c>
      <c r="C128" s="102" t="s">
        <v>63</v>
      </c>
      <c r="D128" s="37">
        <v>69</v>
      </c>
    </row>
    <row r="129" spans="2:4" x14ac:dyDescent="0.25">
      <c r="B129">
        <v>128</v>
      </c>
      <c r="C129" s="102" t="s">
        <v>63</v>
      </c>
      <c r="D129" s="37">
        <v>70</v>
      </c>
    </row>
    <row r="130" spans="2:4" x14ac:dyDescent="0.25">
      <c r="B130">
        <v>129</v>
      </c>
      <c r="C130" s="102" t="s">
        <v>63</v>
      </c>
      <c r="D130" s="37">
        <v>71</v>
      </c>
    </row>
    <row r="131" spans="2:4" x14ac:dyDescent="0.25">
      <c r="B131">
        <v>130</v>
      </c>
      <c r="C131" s="102" t="s">
        <v>63</v>
      </c>
      <c r="D131" s="37">
        <v>72</v>
      </c>
    </row>
    <row r="132" spans="2:4" x14ac:dyDescent="0.25">
      <c r="B132">
        <v>131</v>
      </c>
      <c r="C132" s="102" t="s">
        <v>63</v>
      </c>
      <c r="D132" s="37">
        <v>73</v>
      </c>
    </row>
    <row r="133" spans="2:4" x14ac:dyDescent="0.25">
      <c r="B133">
        <v>132</v>
      </c>
      <c r="C133" s="102" t="s">
        <v>63</v>
      </c>
      <c r="D133" s="37">
        <v>74</v>
      </c>
    </row>
    <row r="134" spans="2:4" x14ac:dyDescent="0.25">
      <c r="B134">
        <v>133</v>
      </c>
      <c r="C134" s="140" t="s">
        <v>62</v>
      </c>
      <c r="D134" s="37">
        <v>26</v>
      </c>
    </row>
    <row r="135" spans="2:4" x14ac:dyDescent="0.25">
      <c r="B135">
        <v>134</v>
      </c>
      <c r="C135" s="102" t="s">
        <v>63</v>
      </c>
      <c r="D135" s="37">
        <v>75</v>
      </c>
    </row>
    <row r="136" spans="2:4" x14ac:dyDescent="0.25">
      <c r="B136">
        <v>135</v>
      </c>
      <c r="C136" s="102" t="s">
        <v>63</v>
      </c>
      <c r="D136" s="37">
        <v>76</v>
      </c>
    </row>
    <row r="137" spans="2:4" x14ac:dyDescent="0.25">
      <c r="B137">
        <v>136</v>
      </c>
      <c r="C137" s="140" t="s">
        <v>62</v>
      </c>
      <c r="D137" s="37">
        <v>27</v>
      </c>
    </row>
    <row r="138" spans="2:4" x14ac:dyDescent="0.25">
      <c r="B138">
        <v>137</v>
      </c>
      <c r="C138" s="90" t="s">
        <v>61</v>
      </c>
      <c r="D138" s="37">
        <v>20</v>
      </c>
    </row>
    <row r="139" spans="2:4" x14ac:dyDescent="0.25">
      <c r="B139">
        <v>138</v>
      </c>
      <c r="C139" s="140" t="s">
        <v>62</v>
      </c>
      <c r="D139" s="37">
        <v>32</v>
      </c>
    </row>
    <row r="140" spans="2:4" x14ac:dyDescent="0.25">
      <c r="B140">
        <v>139</v>
      </c>
      <c r="C140" s="140" t="s">
        <v>62</v>
      </c>
      <c r="D140" s="37">
        <v>28</v>
      </c>
    </row>
    <row r="141" spans="2:4" x14ac:dyDescent="0.25">
      <c r="B141">
        <v>140</v>
      </c>
      <c r="C141" s="140" t="s">
        <v>62</v>
      </c>
      <c r="D141" s="37">
        <v>29</v>
      </c>
    </row>
    <row r="142" spans="2:4" x14ac:dyDescent="0.25">
      <c r="B142">
        <v>141</v>
      </c>
      <c r="C142" s="152" t="s">
        <v>61</v>
      </c>
      <c r="D142" s="173">
        <v>21</v>
      </c>
    </row>
    <row r="143" spans="2:4" x14ac:dyDescent="0.25">
      <c r="B143">
        <v>142</v>
      </c>
      <c r="C143" s="140" t="s">
        <v>62</v>
      </c>
      <c r="D143" s="37">
        <v>30</v>
      </c>
    </row>
    <row r="144" spans="2:4" x14ac:dyDescent="0.25">
      <c r="B144">
        <v>143</v>
      </c>
      <c r="C144" s="140" t="s">
        <v>62</v>
      </c>
      <c r="D144" s="37">
        <v>31</v>
      </c>
    </row>
    <row r="145" spans="2:4" x14ac:dyDescent="0.25">
      <c r="B145">
        <v>144</v>
      </c>
      <c r="C145" s="102" t="s">
        <v>63</v>
      </c>
      <c r="D145" s="37">
        <v>77</v>
      </c>
    </row>
    <row r="146" spans="2:4" x14ac:dyDescent="0.25">
      <c r="B146">
        <v>145</v>
      </c>
      <c r="C146" s="102" t="s">
        <v>63</v>
      </c>
      <c r="D146" s="37">
        <v>78</v>
      </c>
    </row>
    <row r="147" spans="2:4" x14ac:dyDescent="0.25">
      <c r="B147">
        <v>146</v>
      </c>
      <c r="C147" s="102" t="s">
        <v>63</v>
      </c>
      <c r="D147" s="37">
        <v>79</v>
      </c>
    </row>
    <row r="148" spans="2:4" x14ac:dyDescent="0.25">
      <c r="B148">
        <v>147</v>
      </c>
      <c r="C148" s="102" t="s">
        <v>63</v>
      </c>
      <c r="D148" s="37">
        <v>80</v>
      </c>
    </row>
    <row r="149" spans="2:4" x14ac:dyDescent="0.25">
      <c r="B149">
        <v>148</v>
      </c>
      <c r="C149" s="102" t="s">
        <v>63</v>
      </c>
      <c r="D149" s="37">
        <v>81</v>
      </c>
    </row>
    <row r="150" spans="2:4" x14ac:dyDescent="0.25">
      <c r="B150">
        <v>149</v>
      </c>
      <c r="C150" s="102" t="s">
        <v>63</v>
      </c>
      <c r="D150" s="37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F94F-FF61-46AF-ADFD-8EA9EC5EB874}">
  <dimension ref="B2:L47"/>
  <sheetViews>
    <sheetView topLeftCell="A27" workbookViewId="0">
      <selection activeCell="C29" sqref="C29"/>
    </sheetView>
  </sheetViews>
  <sheetFormatPr baseColWidth="10" defaultRowHeight="15" x14ac:dyDescent="0.25"/>
  <cols>
    <col min="5" max="5" width="12.7109375" bestFit="1" customWidth="1"/>
    <col min="9" max="9" width="11.85546875" bestFit="1" customWidth="1"/>
    <col min="11" max="11" width="22.85546875" bestFit="1" customWidth="1"/>
  </cols>
  <sheetData>
    <row r="2" spans="2:12" x14ac:dyDescent="0.25">
      <c r="B2" s="92" t="s">
        <v>0</v>
      </c>
      <c r="C2" s="93" t="s">
        <v>1</v>
      </c>
      <c r="D2" s="93" t="s">
        <v>2</v>
      </c>
      <c r="E2" s="94" t="s">
        <v>3</v>
      </c>
      <c r="F2" s="93" t="s">
        <v>4</v>
      </c>
      <c r="G2" s="95" t="s">
        <v>64</v>
      </c>
      <c r="H2" s="93" t="s">
        <v>5</v>
      </c>
      <c r="I2" s="93" t="s">
        <v>6</v>
      </c>
      <c r="J2" s="93" t="s">
        <v>11</v>
      </c>
      <c r="K2" s="93" t="s">
        <v>60</v>
      </c>
    </row>
    <row r="3" spans="2:12" x14ac:dyDescent="0.25">
      <c r="B3" s="96">
        <v>1</v>
      </c>
      <c r="C3" s="81" t="s">
        <v>16</v>
      </c>
      <c r="D3" s="82" t="s">
        <v>12</v>
      </c>
      <c r="E3" s="83">
        <v>1049894080</v>
      </c>
      <c r="F3" s="82" t="s">
        <v>18</v>
      </c>
      <c r="G3" s="97">
        <f>2024-2003</f>
        <v>21</v>
      </c>
      <c r="H3" s="82" t="s">
        <v>17</v>
      </c>
      <c r="I3" s="90" t="s">
        <v>15</v>
      </c>
      <c r="J3" s="137" t="s">
        <v>21</v>
      </c>
      <c r="K3" s="150" t="s">
        <v>138</v>
      </c>
      <c r="L3">
        <v>1</v>
      </c>
    </row>
    <row r="4" spans="2:12" x14ac:dyDescent="0.25">
      <c r="B4" s="98">
        <v>2</v>
      </c>
      <c r="C4" s="81" t="s">
        <v>19</v>
      </c>
      <c r="D4" s="84" t="s">
        <v>12</v>
      </c>
      <c r="E4" s="85">
        <v>1007155755</v>
      </c>
      <c r="F4" s="84"/>
      <c r="G4" s="99"/>
      <c r="H4" s="84">
        <v>3143034791</v>
      </c>
      <c r="I4" s="90" t="s">
        <v>15</v>
      </c>
      <c r="J4" s="137" t="s">
        <v>21</v>
      </c>
      <c r="K4" s="140" t="s">
        <v>62</v>
      </c>
    </row>
    <row r="5" spans="2:12" ht="15.75" thickBot="1" x14ac:dyDescent="0.3">
      <c r="B5" s="96">
        <v>3</v>
      </c>
      <c r="C5" s="86" t="s">
        <v>245</v>
      </c>
      <c r="D5" s="87" t="s">
        <v>12</v>
      </c>
      <c r="E5" s="88" t="s">
        <v>206</v>
      </c>
      <c r="F5" s="161">
        <v>35537</v>
      </c>
      <c r="G5" s="100">
        <f>2024-1997</f>
        <v>27</v>
      </c>
      <c r="H5" s="87"/>
      <c r="I5" s="91" t="s">
        <v>15</v>
      </c>
      <c r="J5" s="137" t="s">
        <v>21</v>
      </c>
      <c r="K5" s="102" t="s">
        <v>63</v>
      </c>
      <c r="L5">
        <v>1</v>
      </c>
    </row>
    <row r="6" spans="2:12" x14ac:dyDescent="0.25">
      <c r="B6" s="98">
        <v>4</v>
      </c>
      <c r="C6" s="81" t="s">
        <v>40</v>
      </c>
      <c r="D6" s="84" t="s">
        <v>12</v>
      </c>
      <c r="E6" s="85">
        <v>20357610</v>
      </c>
      <c r="F6" s="84"/>
      <c r="G6" s="99">
        <v>63</v>
      </c>
      <c r="H6" s="84"/>
      <c r="I6" s="90" t="s">
        <v>15</v>
      </c>
      <c r="J6" s="84" t="s">
        <v>14</v>
      </c>
      <c r="K6" s="102" t="s">
        <v>63</v>
      </c>
      <c r="L6">
        <v>2</v>
      </c>
    </row>
    <row r="7" spans="2:12" ht="15.75" thickBot="1" x14ac:dyDescent="0.3">
      <c r="B7" s="96">
        <v>5</v>
      </c>
      <c r="C7" s="86" t="s">
        <v>168</v>
      </c>
      <c r="D7" s="87" t="s">
        <v>12</v>
      </c>
      <c r="E7" s="89">
        <v>30372665</v>
      </c>
      <c r="F7" s="87"/>
      <c r="G7" s="100">
        <v>50</v>
      </c>
      <c r="H7" s="87"/>
      <c r="I7" s="91" t="s">
        <v>15</v>
      </c>
      <c r="J7" s="87" t="s">
        <v>14</v>
      </c>
      <c r="K7" s="102" t="s">
        <v>63</v>
      </c>
      <c r="L7">
        <v>3</v>
      </c>
    </row>
    <row r="8" spans="2:12" x14ac:dyDescent="0.25">
      <c r="B8" s="98">
        <v>6</v>
      </c>
      <c r="C8" s="81" t="s">
        <v>24</v>
      </c>
      <c r="D8" s="84" t="s">
        <v>12</v>
      </c>
      <c r="E8" s="85">
        <v>1003650684</v>
      </c>
      <c r="F8" s="162">
        <v>36644</v>
      </c>
      <c r="G8" s="99">
        <v>24</v>
      </c>
      <c r="H8" s="84" t="s">
        <v>176</v>
      </c>
      <c r="I8" s="90" t="s">
        <v>15</v>
      </c>
      <c r="J8" s="138" t="s">
        <v>21</v>
      </c>
      <c r="K8" s="102" t="s">
        <v>63</v>
      </c>
      <c r="L8">
        <v>4</v>
      </c>
    </row>
    <row r="9" spans="2:12" x14ac:dyDescent="0.25">
      <c r="B9" s="96">
        <v>7</v>
      </c>
      <c r="C9" s="81" t="s">
        <v>25</v>
      </c>
      <c r="D9" s="82" t="s">
        <v>12</v>
      </c>
      <c r="E9" s="83">
        <v>21462207</v>
      </c>
      <c r="F9" s="163">
        <v>21348</v>
      </c>
      <c r="G9" s="97">
        <f>2023-1958</f>
        <v>65</v>
      </c>
      <c r="H9" s="82"/>
      <c r="I9" s="90" t="s">
        <v>15</v>
      </c>
      <c r="J9" s="138" t="s">
        <v>21</v>
      </c>
      <c r="K9" s="102" t="s">
        <v>63</v>
      </c>
      <c r="L9">
        <v>5</v>
      </c>
    </row>
    <row r="10" spans="2:12" x14ac:dyDescent="0.25">
      <c r="B10" s="98">
        <v>8</v>
      </c>
      <c r="C10" s="81" t="s">
        <v>153</v>
      </c>
      <c r="D10" s="84" t="s">
        <v>12</v>
      </c>
      <c r="E10" s="85">
        <v>179473</v>
      </c>
      <c r="F10" s="162">
        <v>23665</v>
      </c>
      <c r="G10" s="99">
        <f>2023-1964</f>
        <v>59</v>
      </c>
      <c r="H10" s="84"/>
      <c r="I10" s="90" t="s">
        <v>15</v>
      </c>
      <c r="J10" s="138" t="s">
        <v>21</v>
      </c>
      <c r="K10" s="90" t="s">
        <v>61</v>
      </c>
      <c r="L10">
        <v>1</v>
      </c>
    </row>
    <row r="11" spans="2:12" x14ac:dyDescent="0.25">
      <c r="B11" s="96">
        <v>9</v>
      </c>
      <c r="C11" s="139" t="s">
        <v>26</v>
      </c>
      <c r="D11" s="82" t="s">
        <v>12</v>
      </c>
      <c r="E11" s="83">
        <v>21016956</v>
      </c>
      <c r="F11" s="164">
        <v>26036</v>
      </c>
      <c r="G11" s="97">
        <f>2024-1971</f>
        <v>53</v>
      </c>
      <c r="H11" s="82"/>
      <c r="I11" s="140" t="s">
        <v>234</v>
      </c>
      <c r="J11" s="82" t="s">
        <v>21</v>
      </c>
      <c r="K11" s="90" t="s">
        <v>61</v>
      </c>
      <c r="L11">
        <v>2</v>
      </c>
    </row>
    <row r="12" spans="2:12" x14ac:dyDescent="0.25">
      <c r="B12" s="98">
        <v>10</v>
      </c>
      <c r="C12" s="139" t="s">
        <v>27</v>
      </c>
      <c r="D12" s="84" t="s">
        <v>12</v>
      </c>
      <c r="E12" s="85">
        <v>1073629789</v>
      </c>
      <c r="F12" s="162">
        <v>34685</v>
      </c>
      <c r="G12" s="99">
        <v>29</v>
      </c>
      <c r="H12" s="84"/>
      <c r="I12" s="140" t="s">
        <v>234</v>
      </c>
      <c r="J12" s="84" t="s">
        <v>21</v>
      </c>
      <c r="K12" s="90" t="s">
        <v>61</v>
      </c>
      <c r="L12">
        <v>3</v>
      </c>
    </row>
    <row r="13" spans="2:12" x14ac:dyDescent="0.25">
      <c r="B13" s="103"/>
      <c r="C13" s="139" t="s">
        <v>212</v>
      </c>
      <c r="D13" s="104" t="s">
        <v>37</v>
      </c>
      <c r="E13" s="105">
        <v>1195468765</v>
      </c>
      <c r="F13" s="165">
        <v>44833</v>
      </c>
      <c r="G13" s="106">
        <v>1</v>
      </c>
      <c r="H13" s="104"/>
      <c r="I13" s="140"/>
      <c r="J13" s="104"/>
      <c r="K13" s="104"/>
    </row>
    <row r="14" spans="2:12" x14ac:dyDescent="0.25">
      <c r="B14" s="98">
        <v>11</v>
      </c>
      <c r="C14" s="139" t="s">
        <v>235</v>
      </c>
      <c r="D14" s="84" t="s">
        <v>32</v>
      </c>
      <c r="E14" s="85">
        <v>1073629276</v>
      </c>
      <c r="F14" s="162">
        <v>40321</v>
      </c>
      <c r="G14" s="99">
        <v>13</v>
      </c>
      <c r="H14" s="84"/>
      <c r="I14" s="140" t="s">
        <v>234</v>
      </c>
      <c r="J14" s="84" t="s">
        <v>21</v>
      </c>
      <c r="K14" s="102" t="s">
        <v>63</v>
      </c>
      <c r="L14">
        <v>6</v>
      </c>
    </row>
    <row r="15" spans="2:12" ht="15.75" thickBot="1" x14ac:dyDescent="0.3">
      <c r="B15" s="98">
        <v>12</v>
      </c>
      <c r="C15" s="141" t="s">
        <v>28</v>
      </c>
      <c r="D15" s="87" t="s">
        <v>12</v>
      </c>
      <c r="E15" s="89">
        <v>1073629483</v>
      </c>
      <c r="F15" s="161">
        <v>34088</v>
      </c>
      <c r="G15" s="100">
        <f>2024-1993</f>
        <v>31</v>
      </c>
      <c r="H15" s="87"/>
      <c r="I15" s="142" t="s">
        <v>234</v>
      </c>
      <c r="J15" s="87" t="s">
        <v>21</v>
      </c>
      <c r="K15" s="91" t="s">
        <v>61</v>
      </c>
      <c r="L15">
        <v>4</v>
      </c>
    </row>
    <row r="16" spans="2:12" x14ac:dyDescent="0.25">
      <c r="B16" s="98">
        <v>13</v>
      </c>
      <c r="C16" s="81" t="s">
        <v>33</v>
      </c>
      <c r="D16" s="82" t="s">
        <v>12</v>
      </c>
      <c r="E16" s="83">
        <v>1003672928</v>
      </c>
      <c r="F16" s="163">
        <v>36950</v>
      </c>
      <c r="G16" s="97">
        <v>23</v>
      </c>
      <c r="H16" s="82" t="s">
        <v>176</v>
      </c>
      <c r="I16" s="90" t="s">
        <v>15</v>
      </c>
      <c r="J16" s="143" t="s">
        <v>21</v>
      </c>
      <c r="K16" s="102" t="s">
        <v>63</v>
      </c>
      <c r="L16">
        <v>7</v>
      </c>
    </row>
    <row r="17" spans="2:12" x14ac:dyDescent="0.25">
      <c r="B17" s="98">
        <v>14</v>
      </c>
      <c r="C17" s="81" t="s">
        <v>38</v>
      </c>
      <c r="D17" s="84" t="s">
        <v>12</v>
      </c>
      <c r="E17" s="85">
        <v>20358836</v>
      </c>
      <c r="F17" s="162" t="s">
        <v>39</v>
      </c>
      <c r="G17" s="99">
        <v>39</v>
      </c>
      <c r="H17" s="84"/>
      <c r="I17" s="90" t="s">
        <v>15</v>
      </c>
      <c r="J17" s="143" t="s">
        <v>21</v>
      </c>
      <c r="K17" s="102" t="s">
        <v>63</v>
      </c>
      <c r="L17">
        <v>8</v>
      </c>
    </row>
    <row r="18" spans="2:12" x14ac:dyDescent="0.25">
      <c r="B18" s="98">
        <v>15</v>
      </c>
      <c r="C18" s="81" t="s">
        <v>82</v>
      </c>
      <c r="D18" s="84" t="s">
        <v>12</v>
      </c>
      <c r="E18" s="118">
        <v>20357650</v>
      </c>
      <c r="F18" s="84" t="s">
        <v>83</v>
      </c>
      <c r="G18" s="99">
        <f>2023-1962</f>
        <v>61</v>
      </c>
      <c r="H18" s="84"/>
      <c r="I18" s="90" t="s">
        <v>15</v>
      </c>
      <c r="J18" s="84" t="s">
        <v>14</v>
      </c>
      <c r="K18" s="102" t="s">
        <v>63</v>
      </c>
      <c r="L18">
        <v>9</v>
      </c>
    </row>
    <row r="19" spans="2:12" x14ac:dyDescent="0.25">
      <c r="B19" s="98">
        <v>16</v>
      </c>
      <c r="C19" s="81" t="s">
        <v>84</v>
      </c>
      <c r="D19" s="82" t="s">
        <v>12</v>
      </c>
      <c r="E19" s="83">
        <v>178772</v>
      </c>
      <c r="F19" s="82" t="s">
        <v>85</v>
      </c>
      <c r="G19" s="97">
        <f>2024-1956</f>
        <v>68</v>
      </c>
      <c r="H19" s="82"/>
      <c r="I19" s="90" t="s">
        <v>15</v>
      </c>
      <c r="J19" s="82" t="s">
        <v>14</v>
      </c>
      <c r="K19" s="104" t="s">
        <v>139</v>
      </c>
    </row>
    <row r="20" spans="2:12" ht="15.75" thickBot="1" x14ac:dyDescent="0.3">
      <c r="B20" s="98">
        <v>17</v>
      </c>
      <c r="C20" s="86" t="s">
        <v>86</v>
      </c>
      <c r="D20" s="108" t="s">
        <v>12</v>
      </c>
      <c r="E20" s="109">
        <v>1072960803</v>
      </c>
      <c r="F20" s="108" t="s">
        <v>87</v>
      </c>
      <c r="G20" s="110">
        <f>2024-1989</f>
        <v>35</v>
      </c>
      <c r="H20" s="108">
        <v>3118842333</v>
      </c>
      <c r="I20" s="91" t="s">
        <v>15</v>
      </c>
      <c r="J20" s="108" t="s">
        <v>14</v>
      </c>
      <c r="K20" s="151" t="s">
        <v>138</v>
      </c>
      <c r="L20">
        <v>2</v>
      </c>
    </row>
    <row r="21" spans="2:12" x14ac:dyDescent="0.25">
      <c r="B21" s="98">
        <v>18</v>
      </c>
      <c r="C21" s="127" t="s">
        <v>149</v>
      </c>
      <c r="D21" s="82" t="s">
        <v>12</v>
      </c>
      <c r="E21" s="83">
        <v>20871593</v>
      </c>
      <c r="F21" s="82"/>
      <c r="G21" s="97"/>
      <c r="H21" s="82" t="s">
        <v>176</v>
      </c>
      <c r="I21" s="128" t="s">
        <v>148</v>
      </c>
      <c r="J21" s="82" t="s">
        <v>21</v>
      </c>
      <c r="K21" s="102" t="s">
        <v>63</v>
      </c>
      <c r="L21">
        <v>10</v>
      </c>
    </row>
    <row r="22" spans="2:12" x14ac:dyDescent="0.25">
      <c r="B22" s="98">
        <v>19</v>
      </c>
      <c r="C22" s="127" t="s">
        <v>150</v>
      </c>
      <c r="D22" s="84" t="s">
        <v>12</v>
      </c>
      <c r="E22" s="85">
        <v>1073628129</v>
      </c>
      <c r="F22" s="162">
        <v>31671</v>
      </c>
      <c r="G22" s="99">
        <f>2023-1986</f>
        <v>37</v>
      </c>
      <c r="H22" s="84" t="s">
        <v>176</v>
      </c>
      <c r="I22" s="128" t="s">
        <v>148</v>
      </c>
      <c r="J22" s="84" t="s">
        <v>21</v>
      </c>
      <c r="K22" s="140" t="s">
        <v>62</v>
      </c>
    </row>
    <row r="23" spans="2:12" x14ac:dyDescent="0.25">
      <c r="B23" s="98">
        <v>20</v>
      </c>
      <c r="C23" s="167" t="s">
        <v>194</v>
      </c>
      <c r="D23" s="82" t="s">
        <v>12</v>
      </c>
      <c r="E23" s="83">
        <v>1003658868</v>
      </c>
      <c r="F23" s="82"/>
      <c r="G23" s="97">
        <v>21</v>
      </c>
      <c r="H23" s="82"/>
      <c r="I23" s="129" t="s">
        <v>148</v>
      </c>
      <c r="J23" s="82" t="s">
        <v>88</v>
      </c>
      <c r="K23" s="140" t="s">
        <v>62</v>
      </c>
    </row>
    <row r="24" spans="2:12" x14ac:dyDescent="0.25">
      <c r="B24" s="98">
        <v>21</v>
      </c>
      <c r="C24" s="81" t="s">
        <v>196</v>
      </c>
      <c r="D24" s="82" t="s">
        <v>12</v>
      </c>
      <c r="E24" s="83">
        <v>20357616</v>
      </c>
      <c r="F24" s="82"/>
      <c r="G24" s="97">
        <v>62</v>
      </c>
      <c r="H24" s="82"/>
      <c r="I24" s="90" t="s">
        <v>15</v>
      </c>
      <c r="J24" s="82" t="s">
        <v>14</v>
      </c>
      <c r="K24" s="152" t="s">
        <v>61</v>
      </c>
      <c r="L24">
        <v>5</v>
      </c>
    </row>
    <row r="25" spans="2:12" x14ac:dyDescent="0.25">
      <c r="B25" s="98">
        <v>22</v>
      </c>
      <c r="C25" s="101" t="s">
        <v>43</v>
      </c>
      <c r="D25" s="84" t="s">
        <v>12</v>
      </c>
      <c r="E25" s="85">
        <v>1015478891</v>
      </c>
      <c r="F25" s="162">
        <v>36152</v>
      </c>
      <c r="G25" s="99">
        <v>25</v>
      </c>
      <c r="H25" s="84"/>
      <c r="I25" s="102" t="s">
        <v>13</v>
      </c>
      <c r="J25" s="138" t="s">
        <v>21</v>
      </c>
      <c r="K25" s="102" t="s">
        <v>63</v>
      </c>
      <c r="L25">
        <v>11</v>
      </c>
    </row>
    <row r="26" spans="2:12" x14ac:dyDescent="0.25">
      <c r="B26" s="98">
        <v>23</v>
      </c>
      <c r="C26" s="101" t="s">
        <v>44</v>
      </c>
      <c r="D26" s="82" t="s">
        <v>37</v>
      </c>
      <c r="E26" s="83">
        <v>1023037329</v>
      </c>
      <c r="F26" s="163">
        <v>42936</v>
      </c>
      <c r="G26" s="97">
        <v>6</v>
      </c>
      <c r="H26" s="82"/>
      <c r="I26" s="102" t="s">
        <v>13</v>
      </c>
      <c r="J26" s="82" t="s">
        <v>21</v>
      </c>
      <c r="K26" s="140" t="s">
        <v>62</v>
      </c>
    </row>
    <row r="27" spans="2:12" x14ac:dyDescent="0.25">
      <c r="B27" s="98">
        <v>24</v>
      </c>
      <c r="C27" s="101" t="s">
        <v>142</v>
      </c>
      <c r="D27" s="84" t="s">
        <v>12</v>
      </c>
      <c r="E27" s="85">
        <v>1072962282</v>
      </c>
      <c r="F27" s="168">
        <v>34316</v>
      </c>
      <c r="G27" s="99">
        <f>2023-1993</f>
        <v>30</v>
      </c>
      <c r="H27" s="84"/>
      <c r="I27" s="102" t="s">
        <v>13</v>
      </c>
      <c r="J27" s="138" t="s">
        <v>21</v>
      </c>
      <c r="K27" s="104" t="s">
        <v>139</v>
      </c>
    </row>
    <row r="28" spans="2:12" x14ac:dyDescent="0.25">
      <c r="B28" s="98">
        <v>25</v>
      </c>
      <c r="C28" s="101" t="s">
        <v>154</v>
      </c>
      <c r="D28" s="82" t="s">
        <v>12</v>
      </c>
      <c r="E28" s="83">
        <v>20872142</v>
      </c>
      <c r="F28" s="163">
        <v>29475</v>
      </c>
      <c r="G28" s="97">
        <v>43</v>
      </c>
      <c r="H28" s="82"/>
      <c r="I28" s="102" t="s">
        <v>13</v>
      </c>
      <c r="J28" s="138" t="s">
        <v>21</v>
      </c>
      <c r="K28" s="90" t="s">
        <v>61</v>
      </c>
      <c r="L28">
        <v>6</v>
      </c>
    </row>
    <row r="29" spans="2:12" x14ac:dyDescent="0.25">
      <c r="B29" s="98">
        <v>26</v>
      </c>
      <c r="C29" s="101" t="s">
        <v>45</v>
      </c>
      <c r="D29" s="84" t="s">
        <v>12</v>
      </c>
      <c r="E29" s="85">
        <v>4137931</v>
      </c>
      <c r="F29" s="162">
        <v>28442</v>
      </c>
      <c r="G29" s="99">
        <f>2023-1977</f>
        <v>46</v>
      </c>
      <c r="H29" s="84"/>
      <c r="I29" s="102" t="s">
        <v>13</v>
      </c>
      <c r="J29" s="138" t="s">
        <v>21</v>
      </c>
      <c r="K29" s="140" t="s">
        <v>62</v>
      </c>
    </row>
    <row r="30" spans="2:12" x14ac:dyDescent="0.25">
      <c r="B30" s="98">
        <v>27</v>
      </c>
      <c r="C30" s="101" t="s">
        <v>58</v>
      </c>
      <c r="D30" s="82" t="s">
        <v>12</v>
      </c>
      <c r="E30" s="83">
        <v>35511678</v>
      </c>
      <c r="F30" s="163">
        <v>25104</v>
      </c>
      <c r="G30" s="97">
        <f>2023-1968</f>
        <v>55</v>
      </c>
      <c r="H30" s="82"/>
      <c r="I30" s="102" t="s">
        <v>13</v>
      </c>
      <c r="J30" s="82" t="s">
        <v>21</v>
      </c>
      <c r="K30" s="102" t="s">
        <v>63</v>
      </c>
      <c r="L30">
        <v>12</v>
      </c>
    </row>
    <row r="31" spans="2:12" x14ac:dyDescent="0.25">
      <c r="B31" s="98">
        <v>28</v>
      </c>
      <c r="C31" s="101" t="s">
        <v>59</v>
      </c>
      <c r="D31" s="84" t="s">
        <v>12</v>
      </c>
      <c r="E31" s="85">
        <v>1073629922</v>
      </c>
      <c r="F31" s="162">
        <v>34937</v>
      </c>
      <c r="G31" s="99">
        <f>2023-1995</f>
        <v>28</v>
      </c>
      <c r="H31" s="84"/>
      <c r="I31" s="102" t="s">
        <v>13</v>
      </c>
      <c r="J31" s="84" t="s">
        <v>21</v>
      </c>
      <c r="K31" s="104" t="s">
        <v>139</v>
      </c>
    </row>
    <row r="32" spans="2:12" x14ac:dyDescent="0.25">
      <c r="B32" s="98">
        <v>29</v>
      </c>
      <c r="C32" s="101" t="s">
        <v>186</v>
      </c>
      <c r="D32" s="82" t="s">
        <v>12</v>
      </c>
      <c r="E32" s="83">
        <v>41467849</v>
      </c>
      <c r="F32" s="163">
        <v>18259</v>
      </c>
      <c r="G32" s="97">
        <f>2023-1949</f>
        <v>74</v>
      </c>
      <c r="H32" s="82"/>
      <c r="I32" s="102" t="s">
        <v>13</v>
      </c>
      <c r="J32" s="82" t="s">
        <v>21</v>
      </c>
      <c r="K32" s="140" t="s">
        <v>62</v>
      </c>
    </row>
    <row r="33" spans="2:12" x14ac:dyDescent="0.25">
      <c r="B33" s="98">
        <v>30</v>
      </c>
      <c r="C33" s="117" t="s">
        <v>165</v>
      </c>
      <c r="D33" s="82" t="s">
        <v>12</v>
      </c>
      <c r="E33" s="83">
        <v>21012620</v>
      </c>
      <c r="F33" s="163">
        <v>19389</v>
      </c>
      <c r="G33" s="97">
        <f>2024-1953</f>
        <v>71</v>
      </c>
      <c r="H33" s="82" t="s">
        <v>164</v>
      </c>
      <c r="I33" s="113" t="s">
        <v>23</v>
      </c>
      <c r="J33" s="82" t="s">
        <v>159</v>
      </c>
      <c r="K33" s="102" t="s">
        <v>63</v>
      </c>
      <c r="L33">
        <v>13</v>
      </c>
    </row>
    <row r="34" spans="2:12" x14ac:dyDescent="0.25">
      <c r="B34" s="98">
        <v>31</v>
      </c>
      <c r="C34" s="117" t="s">
        <v>179</v>
      </c>
      <c r="D34" s="84" t="s">
        <v>12</v>
      </c>
      <c r="E34" s="85">
        <v>21056217</v>
      </c>
      <c r="F34" s="162">
        <v>21290</v>
      </c>
      <c r="G34" s="99">
        <f>2024-1958</f>
        <v>66</v>
      </c>
      <c r="H34" s="84"/>
      <c r="I34" s="113" t="s">
        <v>23</v>
      </c>
      <c r="J34" s="84" t="s">
        <v>159</v>
      </c>
      <c r="K34" s="102" t="s">
        <v>63</v>
      </c>
      <c r="L34">
        <v>14</v>
      </c>
    </row>
    <row r="35" spans="2:12" x14ac:dyDescent="0.25">
      <c r="B35" s="98">
        <v>32</v>
      </c>
      <c r="C35" s="117" t="s">
        <v>166</v>
      </c>
      <c r="D35" s="82" t="s">
        <v>12</v>
      </c>
      <c r="E35" s="83">
        <v>19375825</v>
      </c>
      <c r="F35" s="163">
        <v>21704</v>
      </c>
      <c r="G35" s="97">
        <f>2023-1959</f>
        <v>64</v>
      </c>
      <c r="H35" s="82"/>
      <c r="I35" s="113" t="s">
        <v>23</v>
      </c>
      <c r="J35" s="82" t="s">
        <v>159</v>
      </c>
      <c r="K35" s="102" t="s">
        <v>63</v>
      </c>
      <c r="L35">
        <v>15</v>
      </c>
    </row>
    <row r="36" spans="2:12" x14ac:dyDescent="0.25">
      <c r="B36" s="98">
        <v>33</v>
      </c>
      <c r="C36" s="117" t="s">
        <v>167</v>
      </c>
      <c r="D36" s="84" t="s">
        <v>12</v>
      </c>
      <c r="E36" s="85">
        <v>21012699</v>
      </c>
      <c r="F36" s="162">
        <v>19237</v>
      </c>
      <c r="G36" s="99">
        <f>2023-1952</f>
        <v>71</v>
      </c>
      <c r="H36" s="84">
        <v>3012184308</v>
      </c>
      <c r="I36" s="113" t="s">
        <v>23</v>
      </c>
      <c r="J36" s="84" t="s">
        <v>159</v>
      </c>
      <c r="K36" s="102" t="s">
        <v>63</v>
      </c>
      <c r="L36">
        <v>16</v>
      </c>
    </row>
    <row r="37" spans="2:12" x14ac:dyDescent="0.25">
      <c r="B37" s="98">
        <v>34</v>
      </c>
      <c r="C37" s="117" t="s">
        <v>177</v>
      </c>
      <c r="D37" s="82" t="s">
        <v>12</v>
      </c>
      <c r="E37" s="83">
        <v>21014236</v>
      </c>
      <c r="F37" s="163">
        <v>21234</v>
      </c>
      <c r="G37" s="97">
        <f>2024-1958</f>
        <v>66</v>
      </c>
      <c r="H37" s="82"/>
      <c r="I37" s="113" t="s">
        <v>23</v>
      </c>
      <c r="J37" s="82" t="s">
        <v>159</v>
      </c>
      <c r="K37" s="102" t="s">
        <v>63</v>
      </c>
      <c r="L37">
        <v>17</v>
      </c>
    </row>
    <row r="38" spans="2:12" x14ac:dyDescent="0.25">
      <c r="B38" s="98">
        <v>35</v>
      </c>
      <c r="C38" s="117" t="s">
        <v>178</v>
      </c>
      <c r="D38" s="84" t="s">
        <v>12</v>
      </c>
      <c r="E38" s="85">
        <v>21015380</v>
      </c>
      <c r="F38" s="162">
        <v>23787</v>
      </c>
      <c r="G38" s="99">
        <f>2024-1965</f>
        <v>59</v>
      </c>
      <c r="H38" s="84"/>
      <c r="I38" s="113" t="s">
        <v>23</v>
      </c>
      <c r="J38" s="84" t="s">
        <v>159</v>
      </c>
      <c r="K38" s="102" t="s">
        <v>63</v>
      </c>
      <c r="L38">
        <v>18</v>
      </c>
    </row>
    <row r="42" spans="2:12" x14ac:dyDescent="0.25">
      <c r="H42" t="s">
        <v>214</v>
      </c>
      <c r="I42">
        <f>COUNTIF(K3:K40,"MOJARRA FRITA")</f>
        <v>18</v>
      </c>
    </row>
    <row r="43" spans="2:12" x14ac:dyDescent="0.25">
      <c r="H43" t="s">
        <v>215</v>
      </c>
      <c r="I43">
        <f>COUNTIF(K3:K40,"MOJARRA SUDADA")</f>
        <v>6</v>
      </c>
    </row>
    <row r="44" spans="2:12" x14ac:dyDescent="0.25">
      <c r="H44" t="s">
        <v>240</v>
      </c>
      <c r="I44">
        <f>COUNTIF(K3:K40,"PECHUGA A LA PLANCHA")</f>
        <v>2</v>
      </c>
    </row>
    <row r="45" spans="2:12" x14ac:dyDescent="0.25">
      <c r="H45" t="s">
        <v>239</v>
      </c>
      <c r="I45">
        <f>COUNTIF(K3:K40,"LOMO DE CERDO")</f>
        <v>3</v>
      </c>
    </row>
    <row r="46" spans="2:12" x14ac:dyDescent="0.25">
      <c r="H46" t="s">
        <v>216</v>
      </c>
      <c r="I46">
        <f>COUNTIF(K3:K40,"COSTILLAS BBQ")</f>
        <v>6</v>
      </c>
    </row>
    <row r="47" spans="2:12" x14ac:dyDescent="0.25">
      <c r="H47" t="s">
        <v>152</v>
      </c>
      <c r="I47">
        <f>SUM(I42:I46)</f>
        <v>35</v>
      </c>
    </row>
  </sheetData>
  <conditionalFormatting sqref="C2:C15">
    <cfRule type="duplicateValues" dxfId="106" priority="42"/>
  </conditionalFormatting>
  <conditionalFormatting sqref="E2:E15">
    <cfRule type="duplicateValues" dxfId="105" priority="41"/>
  </conditionalFormatting>
  <conditionalFormatting sqref="E3:E15">
    <cfRule type="duplicateValues" dxfId="104" priority="43"/>
  </conditionalFormatting>
  <conditionalFormatting sqref="E3:E15">
    <cfRule type="duplicateValues" dxfId="103" priority="44"/>
  </conditionalFormatting>
  <conditionalFormatting sqref="C3:C15">
    <cfRule type="duplicateValues" dxfId="102" priority="45"/>
  </conditionalFormatting>
  <conditionalFormatting sqref="C16:C17">
    <cfRule type="duplicateValues" dxfId="101" priority="37"/>
  </conditionalFormatting>
  <conditionalFormatting sqref="E16:E17">
    <cfRule type="duplicateValues" dxfId="100" priority="36"/>
  </conditionalFormatting>
  <conditionalFormatting sqref="E16:E17">
    <cfRule type="duplicateValues" dxfId="99" priority="38"/>
  </conditionalFormatting>
  <conditionalFormatting sqref="E16:E17">
    <cfRule type="duplicateValues" dxfId="98" priority="39"/>
  </conditionalFormatting>
  <conditionalFormatting sqref="C16:C17">
    <cfRule type="duplicateValues" dxfId="97" priority="40"/>
  </conditionalFormatting>
  <conditionalFormatting sqref="C18:C20">
    <cfRule type="duplicateValues" dxfId="96" priority="32"/>
  </conditionalFormatting>
  <conditionalFormatting sqref="E18:E20">
    <cfRule type="duplicateValues" dxfId="95" priority="31"/>
  </conditionalFormatting>
  <conditionalFormatting sqref="E18:E20">
    <cfRule type="duplicateValues" dxfId="94" priority="33"/>
  </conditionalFormatting>
  <conditionalFormatting sqref="E18:E20">
    <cfRule type="duplicateValues" dxfId="93" priority="34"/>
  </conditionalFormatting>
  <conditionalFormatting sqref="C18:C20">
    <cfRule type="duplicateValues" dxfId="92" priority="35"/>
  </conditionalFormatting>
  <conditionalFormatting sqref="C21:C22">
    <cfRule type="duplicateValues" dxfId="91" priority="28"/>
  </conditionalFormatting>
  <conditionalFormatting sqref="E21:E22">
    <cfRule type="duplicateValues" dxfId="90" priority="27"/>
  </conditionalFormatting>
  <conditionalFormatting sqref="E21:E22">
    <cfRule type="duplicateValues" dxfId="89" priority="29"/>
  </conditionalFormatting>
  <conditionalFormatting sqref="C21:C22">
    <cfRule type="duplicateValues" dxfId="88" priority="30"/>
  </conditionalFormatting>
  <conditionalFormatting sqref="C23">
    <cfRule type="duplicateValues" dxfId="87" priority="24"/>
  </conditionalFormatting>
  <conditionalFormatting sqref="E23">
    <cfRule type="duplicateValues" dxfId="86" priority="23"/>
  </conditionalFormatting>
  <conditionalFormatting sqref="E23">
    <cfRule type="duplicateValues" dxfId="85" priority="25"/>
  </conditionalFormatting>
  <conditionalFormatting sqref="C23">
    <cfRule type="duplicateValues" dxfId="84" priority="26"/>
  </conditionalFormatting>
  <conditionalFormatting sqref="C24">
    <cfRule type="duplicateValues" dxfId="83" priority="20"/>
  </conditionalFormatting>
  <conditionalFormatting sqref="E24">
    <cfRule type="duplicateValues" dxfId="82" priority="19"/>
  </conditionalFormatting>
  <conditionalFormatting sqref="E24">
    <cfRule type="duplicateValues" dxfId="81" priority="21"/>
  </conditionalFormatting>
  <conditionalFormatting sqref="C24">
    <cfRule type="duplicateValues" dxfId="80" priority="22"/>
  </conditionalFormatting>
  <conditionalFormatting sqref="C25:C29">
    <cfRule type="duplicateValues" dxfId="79" priority="15"/>
  </conditionalFormatting>
  <conditionalFormatting sqref="E25:E29">
    <cfRule type="duplicateValues" dxfId="78" priority="14"/>
  </conditionalFormatting>
  <conditionalFormatting sqref="E25:E29">
    <cfRule type="duplicateValues" dxfId="77" priority="16"/>
  </conditionalFormatting>
  <conditionalFormatting sqref="E25:E29">
    <cfRule type="duplicateValues" dxfId="76" priority="17"/>
  </conditionalFormatting>
  <conditionalFormatting sqref="C25:C29">
    <cfRule type="duplicateValues" dxfId="75" priority="18"/>
  </conditionalFormatting>
  <conditionalFormatting sqref="C30:C31">
    <cfRule type="duplicateValues" dxfId="74" priority="10"/>
  </conditionalFormatting>
  <conditionalFormatting sqref="E30:E31">
    <cfRule type="duplicateValues" dxfId="73" priority="9"/>
  </conditionalFormatting>
  <conditionalFormatting sqref="E30:E31">
    <cfRule type="duplicateValues" dxfId="72" priority="11"/>
  </conditionalFormatting>
  <conditionalFormatting sqref="E30:E31">
    <cfRule type="duplicateValues" dxfId="71" priority="12"/>
  </conditionalFormatting>
  <conditionalFormatting sqref="C30:C31">
    <cfRule type="duplicateValues" dxfId="70" priority="13"/>
  </conditionalFormatting>
  <conditionalFormatting sqref="C33:C38">
    <cfRule type="duplicateValues" dxfId="69" priority="6"/>
  </conditionalFormatting>
  <conditionalFormatting sqref="E33:E38">
    <cfRule type="duplicateValues" dxfId="68" priority="5"/>
  </conditionalFormatting>
  <conditionalFormatting sqref="E33:E38">
    <cfRule type="duplicateValues" dxfId="67" priority="7"/>
  </conditionalFormatting>
  <conditionalFormatting sqref="C33:C38">
    <cfRule type="duplicateValues" dxfId="66" priority="8"/>
  </conditionalFormatting>
  <conditionalFormatting sqref="C32">
    <cfRule type="duplicateValues" dxfId="65" priority="2"/>
  </conditionalFormatting>
  <conditionalFormatting sqref="E32">
    <cfRule type="duplicateValues" dxfId="64" priority="1"/>
  </conditionalFormatting>
  <conditionalFormatting sqref="E32">
    <cfRule type="duplicateValues" dxfId="63" priority="3"/>
  </conditionalFormatting>
  <conditionalFormatting sqref="C32">
    <cfRule type="duplicateValues" dxfId="62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FB4B-7748-418F-93B1-1BFDA116FF92}">
  <dimension ref="B2:J47"/>
  <sheetViews>
    <sheetView workbookViewId="0">
      <selection activeCell="F35" sqref="F35"/>
    </sheetView>
  </sheetViews>
  <sheetFormatPr baseColWidth="10" defaultRowHeight="15" x14ac:dyDescent="0.25"/>
  <cols>
    <col min="3" max="3" width="33" bestFit="1" customWidth="1"/>
    <col min="5" max="5" width="12.7109375" bestFit="1" customWidth="1"/>
    <col min="9" max="9" width="22.85546875" bestFit="1" customWidth="1"/>
  </cols>
  <sheetData>
    <row r="2" spans="2:10" x14ac:dyDescent="0.25">
      <c r="B2" s="98">
        <v>1</v>
      </c>
      <c r="C2" s="120" t="s">
        <v>101</v>
      </c>
      <c r="D2" s="84" t="s">
        <v>12</v>
      </c>
      <c r="E2" s="85">
        <v>20871590</v>
      </c>
      <c r="F2" s="99">
        <f>2023-1969</f>
        <v>54</v>
      </c>
      <c r="G2" s="102" t="s">
        <v>13</v>
      </c>
      <c r="H2" s="84" t="s">
        <v>102</v>
      </c>
      <c r="I2" s="102" t="s">
        <v>63</v>
      </c>
      <c r="J2">
        <v>1</v>
      </c>
    </row>
    <row r="3" spans="2:10" x14ac:dyDescent="0.25">
      <c r="B3" s="98">
        <v>2</v>
      </c>
      <c r="C3" s="101" t="s">
        <v>103</v>
      </c>
      <c r="D3" s="82" t="s">
        <v>12</v>
      </c>
      <c r="E3" s="122">
        <v>65739648</v>
      </c>
      <c r="F3" s="97">
        <f>2023-1967</f>
        <v>56</v>
      </c>
      <c r="G3" s="102" t="s">
        <v>13</v>
      </c>
      <c r="H3" s="82" t="s">
        <v>102</v>
      </c>
      <c r="I3" s="102" t="s">
        <v>63</v>
      </c>
      <c r="J3">
        <v>2</v>
      </c>
    </row>
    <row r="4" spans="2:10" x14ac:dyDescent="0.25">
      <c r="B4" s="98">
        <v>3</v>
      </c>
      <c r="C4" s="101" t="s">
        <v>246</v>
      </c>
      <c r="D4" s="84" t="s">
        <v>12</v>
      </c>
      <c r="E4" s="121">
        <v>18910334</v>
      </c>
      <c r="F4" s="99">
        <f>2024-1948</f>
        <v>76</v>
      </c>
      <c r="G4" s="102" t="s">
        <v>13</v>
      </c>
      <c r="H4" s="84" t="s">
        <v>102</v>
      </c>
      <c r="I4" s="102" t="s">
        <v>63</v>
      </c>
      <c r="J4">
        <v>3</v>
      </c>
    </row>
    <row r="5" spans="2:10" x14ac:dyDescent="0.25">
      <c r="B5" s="98">
        <v>4</v>
      </c>
      <c r="C5" s="101" t="s">
        <v>187</v>
      </c>
      <c r="D5" s="82" t="s">
        <v>12</v>
      </c>
      <c r="E5" s="122">
        <v>20869989</v>
      </c>
      <c r="F5" s="97">
        <f>2024-1938</f>
        <v>86</v>
      </c>
      <c r="G5" s="102" t="s">
        <v>13</v>
      </c>
      <c r="H5" s="82" t="s">
        <v>102</v>
      </c>
      <c r="I5" s="102" t="s">
        <v>63</v>
      </c>
      <c r="J5">
        <v>4</v>
      </c>
    </row>
    <row r="6" spans="2:10" x14ac:dyDescent="0.25">
      <c r="B6" s="98">
        <v>5</v>
      </c>
      <c r="C6" s="101" t="s">
        <v>104</v>
      </c>
      <c r="D6" s="84" t="s">
        <v>12</v>
      </c>
      <c r="E6" s="124">
        <v>39561291</v>
      </c>
      <c r="F6" s="99">
        <f>2024-1966</f>
        <v>58</v>
      </c>
      <c r="G6" s="102" t="s">
        <v>13</v>
      </c>
      <c r="H6" s="84" t="s">
        <v>102</v>
      </c>
      <c r="I6" s="102" t="s">
        <v>63</v>
      </c>
      <c r="J6">
        <v>5</v>
      </c>
    </row>
    <row r="7" spans="2:10" x14ac:dyDescent="0.25">
      <c r="B7" s="98">
        <v>6</v>
      </c>
      <c r="C7" s="101" t="s">
        <v>105</v>
      </c>
      <c r="D7" s="82" t="s">
        <v>12</v>
      </c>
      <c r="E7" s="122">
        <v>41331947</v>
      </c>
      <c r="F7" s="97">
        <f>2023-1943</f>
        <v>80</v>
      </c>
      <c r="G7" s="102" t="s">
        <v>13</v>
      </c>
      <c r="H7" s="82" t="s">
        <v>102</v>
      </c>
      <c r="I7" s="102" t="s">
        <v>63</v>
      </c>
      <c r="J7">
        <v>6</v>
      </c>
    </row>
    <row r="8" spans="2:10" x14ac:dyDescent="0.25">
      <c r="B8" s="98">
        <v>7</v>
      </c>
      <c r="C8" s="101" t="s">
        <v>106</v>
      </c>
      <c r="D8" s="84" t="s">
        <v>12</v>
      </c>
      <c r="E8" s="121">
        <v>27971839</v>
      </c>
      <c r="F8" s="99">
        <f>2024-1942</f>
        <v>82</v>
      </c>
      <c r="G8" s="102" t="s">
        <v>13</v>
      </c>
      <c r="H8" s="84" t="s">
        <v>102</v>
      </c>
      <c r="I8" s="102" t="s">
        <v>63</v>
      </c>
      <c r="J8">
        <v>7</v>
      </c>
    </row>
    <row r="9" spans="2:10" x14ac:dyDescent="0.25">
      <c r="B9" s="98">
        <v>8</v>
      </c>
      <c r="C9" s="101" t="s">
        <v>107</v>
      </c>
      <c r="D9" s="82" t="s">
        <v>12</v>
      </c>
      <c r="E9" s="122">
        <v>20278409</v>
      </c>
      <c r="F9" s="97">
        <f>2023-1936</f>
        <v>87</v>
      </c>
      <c r="G9" s="102" t="s">
        <v>13</v>
      </c>
      <c r="H9" s="82" t="s">
        <v>102</v>
      </c>
      <c r="I9" s="102" t="s">
        <v>63</v>
      </c>
      <c r="J9">
        <v>8</v>
      </c>
    </row>
    <row r="10" spans="2:10" x14ac:dyDescent="0.25">
      <c r="B10" s="98">
        <v>9</v>
      </c>
      <c r="C10" s="101" t="s">
        <v>108</v>
      </c>
      <c r="D10" s="84" t="s">
        <v>12</v>
      </c>
      <c r="E10" s="121">
        <v>20871360</v>
      </c>
      <c r="F10" s="99">
        <f>2024-1964</f>
        <v>60</v>
      </c>
      <c r="G10" s="102" t="s">
        <v>13</v>
      </c>
      <c r="H10" s="84" t="s">
        <v>102</v>
      </c>
      <c r="I10" s="102" t="s">
        <v>63</v>
      </c>
      <c r="J10">
        <v>9</v>
      </c>
    </row>
    <row r="11" spans="2:10" x14ac:dyDescent="0.25">
      <c r="B11" s="98">
        <v>10</v>
      </c>
      <c r="C11" s="101" t="s">
        <v>109</v>
      </c>
      <c r="D11" s="82" t="s">
        <v>12</v>
      </c>
      <c r="E11" s="123">
        <v>41432259</v>
      </c>
      <c r="F11" s="97">
        <f>2024-1949</f>
        <v>75</v>
      </c>
      <c r="G11" s="102" t="s">
        <v>13</v>
      </c>
      <c r="H11" s="82" t="s">
        <v>102</v>
      </c>
      <c r="I11" s="102" t="s">
        <v>63</v>
      </c>
      <c r="J11">
        <v>10</v>
      </c>
    </row>
    <row r="12" spans="2:10" x14ac:dyDescent="0.25">
      <c r="B12" s="98">
        <v>11</v>
      </c>
      <c r="C12" s="120" t="s">
        <v>110</v>
      </c>
      <c r="D12" s="84" t="s">
        <v>12</v>
      </c>
      <c r="E12" s="121">
        <v>10248545</v>
      </c>
      <c r="F12" s="99">
        <f>2023-1958</f>
        <v>65</v>
      </c>
      <c r="G12" s="102" t="s">
        <v>13</v>
      </c>
      <c r="H12" s="84" t="s">
        <v>102</v>
      </c>
      <c r="I12" s="102" t="s">
        <v>63</v>
      </c>
      <c r="J12">
        <v>11</v>
      </c>
    </row>
    <row r="13" spans="2:10" x14ac:dyDescent="0.25">
      <c r="B13" s="98">
        <v>12</v>
      </c>
      <c r="C13" s="101" t="s">
        <v>137</v>
      </c>
      <c r="D13" s="82" t="s">
        <v>12</v>
      </c>
      <c r="E13" s="122">
        <v>20614682</v>
      </c>
      <c r="F13" s="97">
        <f>2024-1945</f>
        <v>79</v>
      </c>
      <c r="G13" s="102" t="s">
        <v>13</v>
      </c>
      <c r="H13" s="82" t="s">
        <v>102</v>
      </c>
      <c r="I13" s="102" t="s">
        <v>63</v>
      </c>
      <c r="J13">
        <v>12</v>
      </c>
    </row>
    <row r="14" spans="2:10" x14ac:dyDescent="0.25">
      <c r="B14" s="98">
        <v>13</v>
      </c>
      <c r="C14" s="101" t="s">
        <v>111</v>
      </c>
      <c r="D14" s="84" t="s">
        <v>12</v>
      </c>
      <c r="E14" s="121">
        <v>20871799</v>
      </c>
      <c r="F14" s="99">
        <f>2023-1962</f>
        <v>61</v>
      </c>
      <c r="G14" s="102" t="s">
        <v>13</v>
      </c>
      <c r="H14" s="84" t="s">
        <v>102</v>
      </c>
      <c r="I14" s="102" t="s">
        <v>63</v>
      </c>
      <c r="J14">
        <v>13</v>
      </c>
    </row>
    <row r="15" spans="2:10" x14ac:dyDescent="0.25">
      <c r="B15" s="98">
        <v>14</v>
      </c>
      <c r="C15" s="101" t="s">
        <v>112</v>
      </c>
      <c r="D15" s="82" t="s">
        <v>12</v>
      </c>
      <c r="E15" s="122">
        <v>1030645467</v>
      </c>
      <c r="F15" s="97">
        <f>2023-1994</f>
        <v>29</v>
      </c>
      <c r="G15" s="102" t="s">
        <v>13</v>
      </c>
      <c r="H15" s="82" t="s">
        <v>102</v>
      </c>
      <c r="I15" s="140" t="s">
        <v>62</v>
      </c>
      <c r="J15">
        <v>1</v>
      </c>
    </row>
    <row r="16" spans="2:10" x14ac:dyDescent="0.25">
      <c r="B16" s="98">
        <v>15</v>
      </c>
      <c r="C16" s="101" t="s">
        <v>113</v>
      </c>
      <c r="D16" s="84" t="s">
        <v>32</v>
      </c>
      <c r="E16" s="121">
        <v>1188215947</v>
      </c>
      <c r="F16" s="99">
        <f>2023-2011</f>
        <v>12</v>
      </c>
      <c r="G16" s="102" t="s">
        <v>13</v>
      </c>
      <c r="H16" s="84" t="s">
        <v>102</v>
      </c>
      <c r="I16" s="150" t="s">
        <v>138</v>
      </c>
      <c r="J16">
        <v>1</v>
      </c>
    </row>
    <row r="17" spans="2:10" x14ac:dyDescent="0.25">
      <c r="B17" s="98">
        <v>16</v>
      </c>
      <c r="C17" s="101" t="s">
        <v>114</v>
      </c>
      <c r="D17" s="82" t="s">
        <v>12</v>
      </c>
      <c r="E17" s="123">
        <v>1030554290</v>
      </c>
      <c r="F17" s="97">
        <f>2024-1989</f>
        <v>35</v>
      </c>
      <c r="G17" s="102" t="s">
        <v>13</v>
      </c>
      <c r="H17" s="82" t="s">
        <v>102</v>
      </c>
      <c r="I17" s="102" t="s">
        <v>63</v>
      </c>
      <c r="J17">
        <v>14</v>
      </c>
    </row>
    <row r="18" spans="2:10" x14ac:dyDescent="0.25">
      <c r="B18" s="98">
        <v>17</v>
      </c>
      <c r="C18" s="101" t="s">
        <v>115</v>
      </c>
      <c r="D18" s="84" t="s">
        <v>32</v>
      </c>
      <c r="E18" s="124">
        <v>1023410143</v>
      </c>
      <c r="F18" s="99">
        <f>2023-2016</f>
        <v>7</v>
      </c>
      <c r="G18" s="102" t="s">
        <v>13</v>
      </c>
      <c r="H18" s="84" t="s">
        <v>102</v>
      </c>
      <c r="I18" s="150" t="s">
        <v>138</v>
      </c>
      <c r="J18">
        <v>2</v>
      </c>
    </row>
    <row r="19" spans="2:10" x14ac:dyDescent="0.25">
      <c r="B19" s="98">
        <v>18</v>
      </c>
      <c r="C19" s="101" t="s">
        <v>116</v>
      </c>
      <c r="D19" s="82" t="s">
        <v>12</v>
      </c>
      <c r="E19" s="122">
        <v>6333891</v>
      </c>
      <c r="F19" s="97">
        <f>2023-1985</f>
        <v>38</v>
      </c>
      <c r="G19" s="102" t="s">
        <v>13</v>
      </c>
      <c r="H19" s="82" t="s">
        <v>102</v>
      </c>
      <c r="I19" s="140" t="s">
        <v>62</v>
      </c>
      <c r="J19">
        <v>2</v>
      </c>
    </row>
    <row r="20" spans="2:10" x14ac:dyDescent="0.25">
      <c r="B20" s="98">
        <v>19</v>
      </c>
      <c r="C20" s="120" t="s">
        <v>117</v>
      </c>
      <c r="D20" s="84" t="s">
        <v>12</v>
      </c>
      <c r="E20" s="121">
        <v>20872348</v>
      </c>
      <c r="F20" s="99">
        <f>2024-1985</f>
        <v>39</v>
      </c>
      <c r="G20" s="102" t="s">
        <v>13</v>
      </c>
      <c r="H20" s="84" t="s">
        <v>102</v>
      </c>
      <c r="I20" s="140" t="s">
        <v>62</v>
      </c>
      <c r="J20">
        <v>3</v>
      </c>
    </row>
    <row r="21" spans="2:10" x14ac:dyDescent="0.25">
      <c r="B21" s="98">
        <v>20</v>
      </c>
      <c r="C21" s="120" t="s">
        <v>181</v>
      </c>
      <c r="D21" s="82" t="s">
        <v>32</v>
      </c>
      <c r="E21" s="122">
        <v>1030593363</v>
      </c>
      <c r="F21" s="97">
        <f>2023-2009</f>
        <v>14</v>
      </c>
      <c r="G21" s="102" t="s">
        <v>13</v>
      </c>
      <c r="H21" s="82" t="s">
        <v>102</v>
      </c>
      <c r="I21" s="140" t="s">
        <v>62</v>
      </c>
      <c r="J21">
        <v>4</v>
      </c>
    </row>
    <row r="22" spans="2:10" x14ac:dyDescent="0.25">
      <c r="B22" s="98">
        <v>21</v>
      </c>
      <c r="C22" s="101" t="s">
        <v>118</v>
      </c>
      <c r="D22" s="84" t="s">
        <v>12</v>
      </c>
      <c r="E22" s="121">
        <v>20871480</v>
      </c>
      <c r="F22" s="99">
        <f>2024-1968</f>
        <v>56</v>
      </c>
      <c r="G22" s="102" t="s">
        <v>13</v>
      </c>
      <c r="H22" s="84" t="s">
        <v>102</v>
      </c>
      <c r="I22" s="102" t="s">
        <v>203</v>
      </c>
      <c r="J22">
        <v>15</v>
      </c>
    </row>
    <row r="23" spans="2:10" x14ac:dyDescent="0.25">
      <c r="B23" s="98">
        <v>22</v>
      </c>
      <c r="C23" s="101" t="s">
        <v>119</v>
      </c>
      <c r="D23" s="82" t="s">
        <v>12</v>
      </c>
      <c r="E23" s="122">
        <v>28626506</v>
      </c>
      <c r="F23" s="97">
        <f>2024-1940</f>
        <v>84</v>
      </c>
      <c r="G23" s="102" t="s">
        <v>13</v>
      </c>
      <c r="H23" s="82" t="s">
        <v>102</v>
      </c>
      <c r="I23" s="102" t="s">
        <v>63</v>
      </c>
      <c r="J23">
        <v>16</v>
      </c>
    </row>
    <row r="24" spans="2:10" x14ac:dyDescent="0.25">
      <c r="B24" s="98">
        <v>23</v>
      </c>
      <c r="C24" s="101" t="s">
        <v>120</v>
      </c>
      <c r="D24" s="84" t="s">
        <v>32</v>
      </c>
      <c r="E24" s="121">
        <v>1073629444</v>
      </c>
      <c r="F24" s="99">
        <f>2024-2011</f>
        <v>13</v>
      </c>
      <c r="G24" s="102" t="s">
        <v>13</v>
      </c>
      <c r="H24" s="84" t="s">
        <v>102</v>
      </c>
      <c r="I24" s="150" t="s">
        <v>138</v>
      </c>
      <c r="J24">
        <v>3</v>
      </c>
    </row>
    <row r="25" spans="2:10" x14ac:dyDescent="0.25">
      <c r="B25" s="98">
        <v>24</v>
      </c>
      <c r="C25" s="101" t="s">
        <v>121</v>
      </c>
      <c r="D25" s="82" t="s">
        <v>12</v>
      </c>
      <c r="E25" s="122">
        <v>11451728</v>
      </c>
      <c r="F25" s="97">
        <f>2023-1981</f>
        <v>42</v>
      </c>
      <c r="G25" s="102" t="s">
        <v>13</v>
      </c>
      <c r="H25" s="82" t="s">
        <v>102</v>
      </c>
      <c r="I25" s="90" t="s">
        <v>61</v>
      </c>
      <c r="J25">
        <v>1</v>
      </c>
    </row>
    <row r="26" spans="2:10" x14ac:dyDescent="0.25">
      <c r="B26" s="98">
        <v>25</v>
      </c>
      <c r="C26" s="101" t="s">
        <v>122</v>
      </c>
      <c r="D26" s="84" t="s">
        <v>12</v>
      </c>
      <c r="E26" s="121">
        <v>20872366</v>
      </c>
      <c r="F26" s="99">
        <f>2023-1985</f>
        <v>38</v>
      </c>
      <c r="G26" s="102" t="s">
        <v>13</v>
      </c>
      <c r="H26" s="84" t="s">
        <v>102</v>
      </c>
      <c r="I26" s="104" t="s">
        <v>139</v>
      </c>
      <c r="J26">
        <v>1</v>
      </c>
    </row>
    <row r="27" spans="2:10" x14ac:dyDescent="0.25">
      <c r="B27" s="98">
        <v>26</v>
      </c>
      <c r="C27" s="101" t="s">
        <v>124</v>
      </c>
      <c r="D27" s="82" t="s">
        <v>12</v>
      </c>
      <c r="E27" s="122">
        <v>51651341</v>
      </c>
      <c r="F27" s="97">
        <f>2024-1961</f>
        <v>63</v>
      </c>
      <c r="G27" s="102" t="s">
        <v>13</v>
      </c>
      <c r="H27" s="82" t="s">
        <v>102</v>
      </c>
      <c r="I27" s="102" t="s">
        <v>63</v>
      </c>
      <c r="J27">
        <v>17</v>
      </c>
    </row>
    <row r="28" spans="2:10" x14ac:dyDescent="0.25">
      <c r="B28" s="98">
        <v>27</v>
      </c>
      <c r="C28" s="101" t="s">
        <v>125</v>
      </c>
      <c r="D28" s="84" t="s">
        <v>12</v>
      </c>
      <c r="E28" s="124">
        <v>51954742</v>
      </c>
      <c r="F28" s="99">
        <f>2023-1969</f>
        <v>54</v>
      </c>
      <c r="G28" s="102" t="s">
        <v>13</v>
      </c>
      <c r="H28" s="84" t="s">
        <v>102</v>
      </c>
      <c r="I28" s="102" t="s">
        <v>63</v>
      </c>
      <c r="J28">
        <v>18</v>
      </c>
    </row>
    <row r="29" spans="2:10" x14ac:dyDescent="0.25">
      <c r="B29" s="98">
        <v>28</v>
      </c>
      <c r="C29" s="120" t="s">
        <v>126</v>
      </c>
      <c r="D29" s="82" t="s">
        <v>12</v>
      </c>
      <c r="E29" s="122">
        <v>39558486</v>
      </c>
      <c r="F29" s="97">
        <f>2024-1965</f>
        <v>59</v>
      </c>
      <c r="G29" s="102" t="s">
        <v>13</v>
      </c>
      <c r="H29" s="82" t="s">
        <v>102</v>
      </c>
      <c r="I29" s="102" t="s">
        <v>63</v>
      </c>
      <c r="J29">
        <v>19</v>
      </c>
    </row>
    <row r="30" spans="2:10" x14ac:dyDescent="0.25">
      <c r="B30" s="98">
        <v>29</v>
      </c>
      <c r="C30" s="101" t="s">
        <v>127</v>
      </c>
      <c r="D30" s="84" t="s">
        <v>12</v>
      </c>
      <c r="E30" s="121">
        <v>41727190</v>
      </c>
      <c r="F30" s="99">
        <f>2024-1958</f>
        <v>66</v>
      </c>
      <c r="G30" s="102" t="s">
        <v>13</v>
      </c>
      <c r="H30" s="84" t="s">
        <v>102</v>
      </c>
      <c r="I30" s="102" t="s">
        <v>63</v>
      </c>
      <c r="J30">
        <v>20</v>
      </c>
    </row>
    <row r="31" spans="2:10" x14ac:dyDescent="0.25">
      <c r="B31" s="98">
        <v>30</v>
      </c>
      <c r="C31" s="101" t="s">
        <v>204</v>
      </c>
      <c r="D31" s="82" t="s">
        <v>12</v>
      </c>
      <c r="E31" s="122">
        <v>20617525</v>
      </c>
      <c r="F31" s="97">
        <f>2023-1951</f>
        <v>72</v>
      </c>
      <c r="G31" s="102" t="s">
        <v>13</v>
      </c>
      <c r="H31" s="82" t="s">
        <v>102</v>
      </c>
      <c r="I31" s="102" t="s">
        <v>63</v>
      </c>
      <c r="J31">
        <v>21</v>
      </c>
    </row>
    <row r="32" spans="2:10" x14ac:dyDescent="0.25">
      <c r="B32" s="98">
        <v>31</v>
      </c>
      <c r="C32" s="120" t="s">
        <v>128</v>
      </c>
      <c r="D32" s="84" t="s">
        <v>12</v>
      </c>
      <c r="E32" s="121">
        <v>43043664</v>
      </c>
      <c r="F32" s="99">
        <f>2024-1963</f>
        <v>61</v>
      </c>
      <c r="G32" s="102" t="s">
        <v>13</v>
      </c>
      <c r="H32" s="84" t="s">
        <v>102</v>
      </c>
      <c r="I32" s="104" t="s">
        <v>139</v>
      </c>
      <c r="J32">
        <v>2</v>
      </c>
    </row>
    <row r="33" spans="2:10" x14ac:dyDescent="0.25">
      <c r="B33" s="98">
        <v>32</v>
      </c>
      <c r="C33" s="101" t="s">
        <v>129</v>
      </c>
      <c r="D33" s="82" t="s">
        <v>12</v>
      </c>
      <c r="E33" s="122">
        <v>41600310</v>
      </c>
      <c r="F33" s="97">
        <v>72</v>
      </c>
      <c r="G33" s="102" t="s">
        <v>13</v>
      </c>
      <c r="H33" s="82" t="s">
        <v>102</v>
      </c>
      <c r="I33" s="102" t="s">
        <v>63</v>
      </c>
      <c r="J33">
        <v>22</v>
      </c>
    </row>
    <row r="34" spans="2:10" x14ac:dyDescent="0.25">
      <c r="B34" s="98">
        <v>33</v>
      </c>
      <c r="C34" s="101" t="s">
        <v>130</v>
      </c>
      <c r="D34" s="84" t="s">
        <v>12</v>
      </c>
      <c r="E34" s="121">
        <v>14248202</v>
      </c>
      <c r="F34" s="99">
        <v>78</v>
      </c>
      <c r="G34" s="102" t="s">
        <v>13</v>
      </c>
      <c r="H34" s="84" t="s">
        <v>102</v>
      </c>
      <c r="I34" s="102" t="s">
        <v>63</v>
      </c>
      <c r="J34">
        <v>23</v>
      </c>
    </row>
    <row r="35" spans="2:10" x14ac:dyDescent="0.25">
      <c r="B35" s="98">
        <v>34</v>
      </c>
      <c r="C35" s="101" t="s">
        <v>132</v>
      </c>
      <c r="D35" s="82" t="s">
        <v>12</v>
      </c>
      <c r="E35" s="122">
        <v>21017230</v>
      </c>
      <c r="F35" s="97"/>
      <c r="G35" s="102" t="s">
        <v>13</v>
      </c>
      <c r="H35" s="82" t="s">
        <v>102</v>
      </c>
      <c r="I35" s="140" t="s">
        <v>62</v>
      </c>
      <c r="J35">
        <v>5</v>
      </c>
    </row>
    <row r="36" spans="2:10" x14ac:dyDescent="0.25">
      <c r="B36" s="98">
        <v>35</v>
      </c>
      <c r="C36" s="101" t="s">
        <v>134</v>
      </c>
      <c r="D36" s="84" t="s">
        <v>12</v>
      </c>
      <c r="E36" s="121">
        <v>1193518169</v>
      </c>
      <c r="F36" s="99">
        <f>2023-2001</f>
        <v>22</v>
      </c>
      <c r="G36" s="102" t="s">
        <v>13</v>
      </c>
      <c r="H36" s="84" t="s">
        <v>102</v>
      </c>
      <c r="I36" s="140" t="s">
        <v>62</v>
      </c>
      <c r="J36">
        <v>6</v>
      </c>
    </row>
    <row r="37" spans="2:10" x14ac:dyDescent="0.25">
      <c r="B37" s="98">
        <v>36</v>
      </c>
      <c r="C37" s="120" t="s">
        <v>182</v>
      </c>
      <c r="D37" s="84" t="s">
        <v>12</v>
      </c>
      <c r="E37" s="124">
        <v>39656450</v>
      </c>
      <c r="F37" s="99">
        <f>2024-1971</f>
        <v>53</v>
      </c>
      <c r="G37" s="102" t="s">
        <v>13</v>
      </c>
      <c r="H37" s="84" t="s">
        <v>102</v>
      </c>
      <c r="I37" s="102" t="s">
        <v>63</v>
      </c>
      <c r="J37">
        <v>24</v>
      </c>
    </row>
    <row r="38" spans="2:10" x14ac:dyDescent="0.25">
      <c r="B38" s="98">
        <v>37</v>
      </c>
      <c r="C38" s="120" t="s">
        <v>183</v>
      </c>
      <c r="D38" s="82" t="s">
        <v>12</v>
      </c>
      <c r="E38" s="83">
        <v>19488559</v>
      </c>
      <c r="F38" s="97">
        <f>2024-1962</f>
        <v>62</v>
      </c>
      <c r="G38" s="102" t="s">
        <v>13</v>
      </c>
      <c r="H38" s="82" t="s">
        <v>102</v>
      </c>
      <c r="I38" s="102" t="s">
        <v>63</v>
      </c>
      <c r="J38">
        <v>25</v>
      </c>
    </row>
    <row r="39" spans="2:10" x14ac:dyDescent="0.25">
      <c r="B39" s="98">
        <v>38</v>
      </c>
      <c r="C39" s="125" t="s">
        <v>188</v>
      </c>
      <c r="D39" s="84" t="s">
        <v>12</v>
      </c>
      <c r="E39" s="85">
        <v>19442454</v>
      </c>
      <c r="F39" s="99">
        <f>2024-1960</f>
        <v>64</v>
      </c>
      <c r="G39" s="102" t="s">
        <v>13</v>
      </c>
      <c r="H39" s="84" t="s">
        <v>102</v>
      </c>
      <c r="I39" s="90" t="s">
        <v>61</v>
      </c>
      <c r="J39">
        <v>2</v>
      </c>
    </row>
    <row r="42" spans="2:10" x14ac:dyDescent="0.25">
      <c r="G42" s="10" t="s">
        <v>251</v>
      </c>
      <c r="H42">
        <f>COUNTIF(I2:I39,"MOJARRA FRITA")</f>
        <v>24</v>
      </c>
      <c r="I42">
        <v>25</v>
      </c>
    </row>
    <row r="43" spans="2:10" x14ac:dyDescent="0.25">
      <c r="G43" s="10" t="s">
        <v>252</v>
      </c>
      <c r="H43">
        <f>COUNTIF(I2:I39,"MOJARRA SUDADA")</f>
        <v>2</v>
      </c>
      <c r="I43">
        <v>2</v>
      </c>
    </row>
    <row r="44" spans="2:10" x14ac:dyDescent="0.25">
      <c r="G44" s="10" t="s">
        <v>253</v>
      </c>
      <c r="H44">
        <f>COUNTIF(I2:I39,"COSTILLAS BBQ")</f>
        <v>6</v>
      </c>
      <c r="I44">
        <v>6</v>
      </c>
    </row>
    <row r="45" spans="2:10" x14ac:dyDescent="0.25">
      <c r="G45" s="10" t="s">
        <v>240</v>
      </c>
      <c r="H45">
        <f>COUNTIF(I2:I39,"PECHUGA A LA PLANCHA")</f>
        <v>3</v>
      </c>
      <c r="I45">
        <v>3</v>
      </c>
    </row>
    <row r="46" spans="2:10" x14ac:dyDescent="0.25">
      <c r="G46" s="10" t="s">
        <v>239</v>
      </c>
      <c r="H46">
        <f>COUNTIF(I2:I39,"LOMO DE CERDO")</f>
        <v>2</v>
      </c>
      <c r="I46">
        <v>2</v>
      </c>
    </row>
    <row r="47" spans="2:10" x14ac:dyDescent="0.25">
      <c r="G47" s="10" t="s">
        <v>152</v>
      </c>
      <c r="H47">
        <f>SUM(H42:H46)</f>
        <v>37</v>
      </c>
      <c r="I47">
        <f>SUM(I42:I46)</f>
        <v>38</v>
      </c>
    </row>
  </sheetData>
  <conditionalFormatting sqref="C2:C36">
    <cfRule type="duplicateValues" dxfId="61" priority="7"/>
  </conditionalFormatting>
  <conditionalFormatting sqref="E2:E36">
    <cfRule type="duplicateValues" dxfId="60" priority="6"/>
  </conditionalFormatting>
  <conditionalFormatting sqref="E2:E36">
    <cfRule type="duplicateValues" dxfId="59" priority="8"/>
  </conditionalFormatting>
  <conditionalFormatting sqref="E2:E36">
    <cfRule type="duplicateValues" dxfId="58" priority="9"/>
  </conditionalFormatting>
  <conditionalFormatting sqref="C2:C36">
    <cfRule type="duplicateValues" dxfId="57" priority="10"/>
  </conditionalFormatting>
  <conditionalFormatting sqref="C37:C39">
    <cfRule type="duplicateValues" dxfId="56" priority="2"/>
  </conditionalFormatting>
  <conditionalFormatting sqref="E37:E39">
    <cfRule type="duplicateValues" dxfId="55" priority="1"/>
  </conditionalFormatting>
  <conditionalFormatting sqref="E37:E39">
    <cfRule type="duplicateValues" dxfId="54" priority="3"/>
  </conditionalFormatting>
  <conditionalFormatting sqref="E37:E39">
    <cfRule type="duplicateValues" dxfId="53" priority="4"/>
  </conditionalFormatting>
  <conditionalFormatting sqref="C37:C39">
    <cfRule type="duplicateValues" dxfId="52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4252-473F-4CE3-932D-071ABF613B0B}">
  <dimension ref="B2:K43"/>
  <sheetViews>
    <sheetView topLeftCell="A14" workbookViewId="0">
      <selection activeCell="I44" sqref="I44"/>
    </sheetView>
  </sheetViews>
  <sheetFormatPr baseColWidth="10" defaultRowHeight="15" x14ac:dyDescent="0.25"/>
  <cols>
    <col min="3" max="3" width="33.140625" bestFit="1" customWidth="1"/>
    <col min="5" max="5" width="12.7109375" bestFit="1" customWidth="1"/>
    <col min="9" max="9" width="13.85546875" bestFit="1" customWidth="1"/>
    <col min="11" max="11" width="22.85546875" bestFit="1" customWidth="1"/>
  </cols>
  <sheetData>
    <row r="2" spans="2:11" x14ac:dyDescent="0.25">
      <c r="B2" s="96">
        <v>1</v>
      </c>
      <c r="C2" s="125" t="s">
        <v>189</v>
      </c>
      <c r="D2" s="82" t="s">
        <v>12</v>
      </c>
      <c r="E2" s="83">
        <v>20871909</v>
      </c>
      <c r="F2" s="163">
        <v>26886</v>
      </c>
      <c r="G2" s="97">
        <f>2023-1973</f>
        <v>50</v>
      </c>
      <c r="H2" s="82"/>
      <c r="I2" s="102" t="s">
        <v>13</v>
      </c>
      <c r="J2" s="82" t="s">
        <v>102</v>
      </c>
      <c r="K2" s="102" t="s">
        <v>63</v>
      </c>
    </row>
    <row r="3" spans="2:11" x14ac:dyDescent="0.25">
      <c r="B3" s="96">
        <v>2</v>
      </c>
      <c r="C3" s="125" t="s">
        <v>233</v>
      </c>
      <c r="D3" s="84" t="s">
        <v>201</v>
      </c>
      <c r="E3" s="85">
        <v>20871311</v>
      </c>
      <c r="F3" s="162">
        <v>23666</v>
      </c>
      <c r="G3" s="99">
        <f>2023-1964</f>
        <v>59</v>
      </c>
      <c r="H3" s="84"/>
      <c r="I3" s="102" t="s">
        <v>13</v>
      </c>
      <c r="J3" s="84" t="s">
        <v>102</v>
      </c>
      <c r="K3" s="102" t="s">
        <v>63</v>
      </c>
    </row>
    <row r="4" spans="2:11" x14ac:dyDescent="0.25">
      <c r="B4" s="96">
        <v>3</v>
      </c>
      <c r="C4" s="125" t="s">
        <v>247</v>
      </c>
      <c r="D4" s="82" t="s">
        <v>201</v>
      </c>
      <c r="E4" s="83">
        <v>21016560</v>
      </c>
      <c r="F4" s="163">
        <v>25997</v>
      </c>
      <c r="G4" s="97">
        <f>2024-1971</f>
        <v>53</v>
      </c>
      <c r="H4" s="82"/>
      <c r="I4" s="102" t="s">
        <v>13</v>
      </c>
      <c r="J4" s="82" t="s">
        <v>102</v>
      </c>
      <c r="K4" s="102" t="s">
        <v>63</v>
      </c>
    </row>
    <row r="5" spans="2:11" ht="15.75" thickBot="1" x14ac:dyDescent="0.3">
      <c r="B5" s="96">
        <v>4</v>
      </c>
      <c r="C5" s="126" t="s">
        <v>190</v>
      </c>
      <c r="D5" s="108" t="s">
        <v>12</v>
      </c>
      <c r="E5" s="109">
        <v>20871462</v>
      </c>
      <c r="F5" s="171">
        <v>24788</v>
      </c>
      <c r="G5" s="110">
        <f>2023-1967</f>
        <v>56</v>
      </c>
      <c r="H5" s="108"/>
      <c r="I5" s="111" t="s">
        <v>13</v>
      </c>
      <c r="J5" s="108" t="s">
        <v>102</v>
      </c>
      <c r="K5" s="91" t="s">
        <v>61</v>
      </c>
    </row>
    <row r="6" spans="2:11" x14ac:dyDescent="0.25">
      <c r="B6" s="96">
        <v>5</v>
      </c>
      <c r="C6" s="101" t="s">
        <v>141</v>
      </c>
      <c r="D6" s="82" t="s">
        <v>12</v>
      </c>
      <c r="E6" s="116">
        <v>20871803</v>
      </c>
      <c r="F6" s="82"/>
      <c r="G6" s="97">
        <v>51</v>
      </c>
      <c r="H6" s="82">
        <v>3143457528</v>
      </c>
      <c r="I6" s="102" t="s">
        <v>13</v>
      </c>
      <c r="J6" s="82" t="s">
        <v>14</v>
      </c>
      <c r="K6" s="140" t="s">
        <v>62</v>
      </c>
    </row>
    <row r="7" spans="2:11" x14ac:dyDescent="0.25">
      <c r="B7" s="96">
        <v>6</v>
      </c>
      <c r="C7" s="101" t="s">
        <v>145</v>
      </c>
      <c r="D7" s="84" t="s">
        <v>12</v>
      </c>
      <c r="E7" s="85">
        <v>63455837</v>
      </c>
      <c r="F7" s="168">
        <v>25692</v>
      </c>
      <c r="G7" s="99">
        <f>2024-1970</f>
        <v>54</v>
      </c>
      <c r="H7" s="84"/>
      <c r="I7" s="102" t="s">
        <v>13</v>
      </c>
      <c r="J7" s="84" t="s">
        <v>14</v>
      </c>
      <c r="K7" s="102" t="s">
        <v>63</v>
      </c>
    </row>
    <row r="8" spans="2:11" x14ac:dyDescent="0.25">
      <c r="B8" s="96">
        <v>7</v>
      </c>
      <c r="C8" s="101" t="s">
        <v>146</v>
      </c>
      <c r="D8" s="82" t="s">
        <v>12</v>
      </c>
      <c r="E8" s="83">
        <v>1072970119</v>
      </c>
      <c r="F8" s="163">
        <v>31265</v>
      </c>
      <c r="G8" s="97">
        <f>2023-1985</f>
        <v>38</v>
      </c>
      <c r="H8" s="82"/>
      <c r="I8" s="102" t="s">
        <v>13</v>
      </c>
      <c r="J8" s="82" t="s">
        <v>14</v>
      </c>
      <c r="K8" s="90" t="s">
        <v>61</v>
      </c>
    </row>
    <row r="9" spans="2:11" x14ac:dyDescent="0.25">
      <c r="B9" s="96">
        <v>8</v>
      </c>
      <c r="C9" s="101" t="s">
        <v>147</v>
      </c>
      <c r="D9" s="84" t="s">
        <v>12</v>
      </c>
      <c r="E9" s="85">
        <v>35324024</v>
      </c>
      <c r="F9" s="162">
        <v>21625</v>
      </c>
      <c r="G9" s="99">
        <f>2024-1959</f>
        <v>65</v>
      </c>
      <c r="H9" s="84"/>
      <c r="I9" s="102" t="s">
        <v>13</v>
      </c>
      <c r="J9" s="84" t="s">
        <v>14</v>
      </c>
      <c r="K9" s="90" t="s">
        <v>61</v>
      </c>
    </row>
    <row r="10" spans="2:11" x14ac:dyDescent="0.25">
      <c r="B10" s="96">
        <v>9</v>
      </c>
      <c r="C10" s="101" t="s">
        <v>155</v>
      </c>
      <c r="D10" s="82" t="s">
        <v>12</v>
      </c>
      <c r="E10" s="83">
        <v>39523509</v>
      </c>
      <c r="F10" s="82"/>
      <c r="G10" s="97">
        <v>62</v>
      </c>
      <c r="H10" s="82">
        <v>3213589883</v>
      </c>
      <c r="I10" s="102" t="s">
        <v>13</v>
      </c>
      <c r="J10" s="82" t="s">
        <v>158</v>
      </c>
      <c r="K10" s="102" t="s">
        <v>63</v>
      </c>
    </row>
    <row r="11" spans="2:11" x14ac:dyDescent="0.25">
      <c r="B11" s="96">
        <v>10</v>
      </c>
      <c r="C11" s="101" t="s">
        <v>156</v>
      </c>
      <c r="D11" s="84" t="s">
        <v>12</v>
      </c>
      <c r="E11" s="85">
        <v>51914877</v>
      </c>
      <c r="F11" s="84"/>
      <c r="G11" s="99">
        <v>56</v>
      </c>
      <c r="H11" s="84">
        <v>3041697071</v>
      </c>
      <c r="I11" s="102" t="s">
        <v>13</v>
      </c>
      <c r="J11" s="84" t="s">
        <v>158</v>
      </c>
      <c r="K11" s="140" t="s">
        <v>62</v>
      </c>
    </row>
    <row r="12" spans="2:11" x14ac:dyDescent="0.25">
      <c r="B12" s="96">
        <v>11</v>
      </c>
      <c r="C12" s="101" t="s">
        <v>157</v>
      </c>
      <c r="D12" s="82" t="s">
        <v>12</v>
      </c>
      <c r="E12" s="83">
        <v>20501336</v>
      </c>
      <c r="F12" s="82"/>
      <c r="G12" s="97">
        <v>59</v>
      </c>
      <c r="H12" s="82">
        <v>3112033935</v>
      </c>
      <c r="I12" s="102" t="s">
        <v>13</v>
      </c>
      <c r="J12" s="82" t="s">
        <v>158</v>
      </c>
      <c r="K12" s="90" t="s">
        <v>61</v>
      </c>
    </row>
    <row r="13" spans="2:11" x14ac:dyDescent="0.25">
      <c r="B13" s="96">
        <v>12</v>
      </c>
      <c r="C13" s="101" t="s">
        <v>219</v>
      </c>
      <c r="D13" s="84" t="s">
        <v>12</v>
      </c>
      <c r="E13" s="85">
        <v>39612927</v>
      </c>
      <c r="F13" s="84"/>
      <c r="G13" s="99">
        <v>62</v>
      </c>
      <c r="H13" s="84">
        <v>3213181566</v>
      </c>
      <c r="I13" s="102" t="s">
        <v>13</v>
      </c>
      <c r="J13" s="84" t="s">
        <v>158</v>
      </c>
      <c r="K13" s="102" t="s">
        <v>63</v>
      </c>
    </row>
    <row r="14" spans="2:11" x14ac:dyDescent="0.25">
      <c r="B14" s="96">
        <v>13</v>
      </c>
      <c r="C14" s="101" t="s">
        <v>160</v>
      </c>
      <c r="D14" s="82" t="s">
        <v>12</v>
      </c>
      <c r="E14" s="116" t="s">
        <v>210</v>
      </c>
      <c r="F14" s="82"/>
      <c r="G14" s="97">
        <v>74</v>
      </c>
      <c r="H14" s="82"/>
      <c r="I14" s="102" t="s">
        <v>13</v>
      </c>
      <c r="J14" s="82" t="s">
        <v>14</v>
      </c>
      <c r="K14" s="102" t="s">
        <v>63</v>
      </c>
    </row>
    <row r="15" spans="2:11" x14ac:dyDescent="0.25">
      <c r="B15" s="96">
        <v>14</v>
      </c>
      <c r="C15" s="101" t="s">
        <v>161</v>
      </c>
      <c r="D15" s="84" t="s">
        <v>12</v>
      </c>
      <c r="E15" s="118" t="s">
        <v>209</v>
      </c>
      <c r="F15" s="84"/>
      <c r="G15" s="99">
        <v>71</v>
      </c>
      <c r="H15" s="84"/>
      <c r="I15" s="102" t="s">
        <v>13</v>
      </c>
      <c r="J15" s="84" t="s">
        <v>14</v>
      </c>
      <c r="K15" s="102" t="s">
        <v>63</v>
      </c>
    </row>
    <row r="16" spans="2:11" x14ac:dyDescent="0.25">
      <c r="B16" s="96">
        <v>15</v>
      </c>
      <c r="C16" s="101" t="s">
        <v>162</v>
      </c>
      <c r="D16" s="82" t="s">
        <v>12</v>
      </c>
      <c r="E16" s="116" t="s">
        <v>208</v>
      </c>
      <c r="F16" s="82"/>
      <c r="G16" s="97">
        <v>47</v>
      </c>
      <c r="H16" s="82"/>
      <c r="I16" s="102" t="s">
        <v>13</v>
      </c>
      <c r="J16" s="82" t="s">
        <v>14</v>
      </c>
      <c r="K16" s="102" t="s">
        <v>63</v>
      </c>
    </row>
    <row r="17" spans="2:11" x14ac:dyDescent="0.25">
      <c r="B17" s="96">
        <v>16</v>
      </c>
      <c r="C17" s="101" t="s">
        <v>163</v>
      </c>
      <c r="D17" s="84" t="s">
        <v>12</v>
      </c>
      <c r="E17" s="118" t="s">
        <v>207</v>
      </c>
      <c r="F17" s="84"/>
      <c r="G17" s="99">
        <v>49</v>
      </c>
      <c r="H17" s="84"/>
      <c r="I17" s="102" t="s">
        <v>13</v>
      </c>
      <c r="J17" s="84" t="s">
        <v>14</v>
      </c>
      <c r="K17" s="140" t="s">
        <v>62</v>
      </c>
    </row>
    <row r="18" spans="2:11" x14ac:dyDescent="0.25">
      <c r="B18" s="96">
        <v>17</v>
      </c>
      <c r="C18" s="101" t="s">
        <v>184</v>
      </c>
      <c r="D18" s="82" t="s">
        <v>12</v>
      </c>
      <c r="E18" s="83">
        <v>51728120</v>
      </c>
      <c r="F18" s="82"/>
      <c r="G18" s="97">
        <v>60</v>
      </c>
      <c r="H18" s="82">
        <v>3204746691</v>
      </c>
      <c r="I18" s="102" t="s">
        <v>13</v>
      </c>
      <c r="J18" s="82" t="s">
        <v>14</v>
      </c>
      <c r="K18" s="102" t="s">
        <v>63</v>
      </c>
    </row>
    <row r="19" spans="2:11" x14ac:dyDescent="0.25">
      <c r="B19" s="96">
        <v>18</v>
      </c>
      <c r="C19" s="101" t="s">
        <v>185</v>
      </c>
      <c r="D19" s="84" t="s">
        <v>12</v>
      </c>
      <c r="E19" s="85">
        <v>1010005588</v>
      </c>
      <c r="F19" s="84"/>
      <c r="G19" s="99">
        <v>23</v>
      </c>
      <c r="H19" s="84">
        <v>3134417557</v>
      </c>
      <c r="I19" s="102" t="s">
        <v>13</v>
      </c>
      <c r="J19" s="84" t="s">
        <v>14</v>
      </c>
      <c r="K19" s="102" t="s">
        <v>63</v>
      </c>
    </row>
    <row r="20" spans="2:11" x14ac:dyDescent="0.25">
      <c r="B20" s="96">
        <v>19</v>
      </c>
      <c r="C20" s="101" t="s">
        <v>186</v>
      </c>
      <c r="D20" s="82" t="s">
        <v>12</v>
      </c>
      <c r="E20" s="83">
        <v>41467849</v>
      </c>
      <c r="F20" s="163">
        <v>18259</v>
      </c>
      <c r="G20" s="97">
        <f>2023-1949</f>
        <v>74</v>
      </c>
      <c r="H20" s="82"/>
      <c r="I20" s="102" t="s">
        <v>13</v>
      </c>
      <c r="J20" s="82" t="s">
        <v>21</v>
      </c>
      <c r="K20" s="140" t="s">
        <v>62</v>
      </c>
    </row>
    <row r="21" spans="2:11" x14ac:dyDescent="0.25">
      <c r="B21" s="96">
        <v>20</v>
      </c>
      <c r="C21" s="101" t="s">
        <v>191</v>
      </c>
      <c r="D21" s="84" t="s">
        <v>12</v>
      </c>
      <c r="E21" s="85">
        <v>28558180</v>
      </c>
      <c r="F21" s="84"/>
      <c r="G21" s="99">
        <v>41</v>
      </c>
      <c r="H21" s="84">
        <v>3214913800</v>
      </c>
      <c r="I21" s="102" t="s">
        <v>13</v>
      </c>
      <c r="J21" s="84" t="s">
        <v>14</v>
      </c>
      <c r="K21" s="90" t="s">
        <v>61</v>
      </c>
    </row>
    <row r="22" spans="2:11" x14ac:dyDescent="0.25">
      <c r="B22" s="96">
        <v>21</v>
      </c>
      <c r="C22" s="101" t="s">
        <v>192</v>
      </c>
      <c r="D22" s="82" t="s">
        <v>12</v>
      </c>
      <c r="E22" s="83">
        <v>1077851566</v>
      </c>
      <c r="F22" s="82"/>
      <c r="G22" s="97">
        <v>36</v>
      </c>
      <c r="H22" s="82">
        <v>3226852313</v>
      </c>
      <c r="I22" s="102" t="s">
        <v>13</v>
      </c>
      <c r="J22" s="82" t="s">
        <v>14</v>
      </c>
      <c r="K22" s="140" t="s">
        <v>62</v>
      </c>
    </row>
    <row r="23" spans="2:11" x14ac:dyDescent="0.25">
      <c r="B23" s="96">
        <v>22</v>
      </c>
      <c r="C23" s="101" t="s">
        <v>193</v>
      </c>
      <c r="D23" s="84" t="s">
        <v>12</v>
      </c>
      <c r="E23" s="85">
        <v>1006119194</v>
      </c>
      <c r="F23" s="84"/>
      <c r="G23" s="99">
        <v>23</v>
      </c>
      <c r="H23" s="84">
        <v>3212532314</v>
      </c>
      <c r="I23" s="102" t="s">
        <v>13</v>
      </c>
      <c r="J23" s="84" t="s">
        <v>14</v>
      </c>
      <c r="K23" s="90" t="s">
        <v>61</v>
      </c>
    </row>
    <row r="24" spans="2:11" x14ac:dyDescent="0.25">
      <c r="B24" s="96">
        <v>23</v>
      </c>
      <c r="C24" s="101" t="s">
        <v>195</v>
      </c>
      <c r="D24" s="84" t="s">
        <v>12</v>
      </c>
      <c r="E24" s="85">
        <v>21015482</v>
      </c>
      <c r="F24" s="84"/>
      <c r="G24" s="99">
        <v>58</v>
      </c>
      <c r="H24" s="84">
        <v>3112624413</v>
      </c>
      <c r="I24" s="102" t="s">
        <v>13</v>
      </c>
      <c r="J24" s="84" t="s">
        <v>14</v>
      </c>
      <c r="K24" s="140" t="s">
        <v>62</v>
      </c>
    </row>
    <row r="25" spans="2:11" x14ac:dyDescent="0.25">
      <c r="B25" s="96">
        <v>24</v>
      </c>
      <c r="C25" s="101" t="s">
        <v>29</v>
      </c>
      <c r="D25" s="84" t="s">
        <v>12</v>
      </c>
      <c r="E25" s="85">
        <v>11451911</v>
      </c>
      <c r="F25" s="84"/>
      <c r="G25" s="99">
        <v>40</v>
      </c>
      <c r="H25" s="84"/>
      <c r="I25" s="102" t="s">
        <v>13</v>
      </c>
      <c r="J25" s="84" t="s">
        <v>14</v>
      </c>
      <c r="K25" s="102" t="s">
        <v>63</v>
      </c>
    </row>
    <row r="26" spans="2:11" x14ac:dyDescent="0.25">
      <c r="B26" s="96">
        <v>25</v>
      </c>
      <c r="C26" s="101" t="s">
        <v>30</v>
      </c>
      <c r="D26" s="82" t="s">
        <v>12</v>
      </c>
      <c r="E26" s="83">
        <v>1019035371</v>
      </c>
      <c r="F26" s="82"/>
      <c r="G26" s="97">
        <v>35</v>
      </c>
      <c r="H26" s="82"/>
      <c r="I26" s="102" t="s">
        <v>13</v>
      </c>
      <c r="J26" s="82" t="s">
        <v>14</v>
      </c>
      <c r="K26" s="102" t="s">
        <v>63</v>
      </c>
    </row>
    <row r="27" spans="2:11" ht="15.75" thickBot="1" x14ac:dyDescent="0.3">
      <c r="B27" s="96">
        <v>26</v>
      </c>
      <c r="C27" s="107" t="s">
        <v>31</v>
      </c>
      <c r="D27" s="108" t="s">
        <v>32</v>
      </c>
      <c r="E27" s="109">
        <v>1073629313</v>
      </c>
      <c r="F27" s="108"/>
      <c r="G27" s="110">
        <v>13</v>
      </c>
      <c r="H27" s="108"/>
      <c r="I27" s="111" t="s">
        <v>13</v>
      </c>
      <c r="J27" s="108" t="s">
        <v>14</v>
      </c>
      <c r="K27" s="102" t="s">
        <v>63</v>
      </c>
    </row>
    <row r="28" spans="2:11" x14ac:dyDescent="0.25">
      <c r="B28" s="96">
        <v>27</v>
      </c>
      <c r="C28" s="101" t="s">
        <v>73</v>
      </c>
      <c r="D28" s="84" t="s">
        <v>12</v>
      </c>
      <c r="E28" s="85">
        <v>19194477</v>
      </c>
      <c r="F28" s="84"/>
      <c r="G28" s="99">
        <v>71</v>
      </c>
      <c r="H28" s="84">
        <v>3005535034</v>
      </c>
      <c r="I28" s="102" t="s">
        <v>13</v>
      </c>
      <c r="J28" s="84" t="s">
        <v>14</v>
      </c>
      <c r="K28" s="102" t="s">
        <v>63</v>
      </c>
    </row>
    <row r="29" spans="2:11" x14ac:dyDescent="0.25">
      <c r="B29" s="96">
        <v>28</v>
      </c>
      <c r="C29" s="101" t="s">
        <v>74</v>
      </c>
      <c r="D29" s="82" t="s">
        <v>12</v>
      </c>
      <c r="E29" s="83">
        <v>41410632</v>
      </c>
      <c r="F29" s="82"/>
      <c r="G29" s="97">
        <v>77</v>
      </c>
      <c r="H29" s="82"/>
      <c r="I29" s="102" t="s">
        <v>13</v>
      </c>
      <c r="J29" s="82" t="s">
        <v>14</v>
      </c>
      <c r="K29" s="150" t="s">
        <v>138</v>
      </c>
    </row>
    <row r="30" spans="2:11" x14ac:dyDescent="0.25">
      <c r="B30" s="96">
        <v>29</v>
      </c>
      <c r="C30" s="101" t="s">
        <v>35</v>
      </c>
      <c r="D30" s="84" t="s">
        <v>12</v>
      </c>
      <c r="E30" s="85">
        <v>79538678</v>
      </c>
      <c r="F30" s="84"/>
      <c r="G30" s="99">
        <v>53</v>
      </c>
      <c r="H30" s="84"/>
      <c r="I30" s="102" t="s">
        <v>13</v>
      </c>
      <c r="J30" s="84" t="s">
        <v>88</v>
      </c>
      <c r="K30" s="140" t="s">
        <v>62</v>
      </c>
    </row>
    <row r="31" spans="2:11" x14ac:dyDescent="0.25">
      <c r="B31" s="96">
        <v>30</v>
      </c>
      <c r="C31" s="101" t="s">
        <v>95</v>
      </c>
      <c r="D31" s="82" t="s">
        <v>12</v>
      </c>
      <c r="E31" s="83">
        <v>1010219257</v>
      </c>
      <c r="F31" s="82"/>
      <c r="G31" s="97">
        <v>29</v>
      </c>
      <c r="H31" s="82"/>
      <c r="I31" s="102" t="s">
        <v>13</v>
      </c>
      <c r="J31" s="82" t="s">
        <v>14</v>
      </c>
      <c r="K31" s="102" t="s">
        <v>63</v>
      </c>
    </row>
    <row r="32" spans="2:11" x14ac:dyDescent="0.25">
      <c r="B32" s="96">
        <v>31</v>
      </c>
      <c r="C32" s="101" t="s">
        <v>140</v>
      </c>
      <c r="D32" s="82" t="s">
        <v>12</v>
      </c>
      <c r="E32" s="122">
        <v>39424382</v>
      </c>
      <c r="F32" s="170">
        <v>30124</v>
      </c>
      <c r="G32" s="97">
        <f>2023-1982</f>
        <v>41</v>
      </c>
      <c r="H32" s="82"/>
      <c r="I32" s="172" t="s">
        <v>228</v>
      </c>
      <c r="J32" s="82" t="s">
        <v>102</v>
      </c>
      <c r="K32" s="102" t="s">
        <v>63</v>
      </c>
    </row>
    <row r="33" spans="2:11" x14ac:dyDescent="0.25">
      <c r="B33" s="96">
        <v>32</v>
      </c>
      <c r="C33" s="101" t="s">
        <v>202</v>
      </c>
      <c r="D33" s="84" t="s">
        <v>12</v>
      </c>
      <c r="E33" s="121"/>
      <c r="F33" s="169"/>
      <c r="G33" s="99"/>
      <c r="H33" s="84"/>
      <c r="I33" s="172" t="s">
        <v>228</v>
      </c>
      <c r="J33" s="84" t="s">
        <v>102</v>
      </c>
      <c r="K33" s="140" t="s">
        <v>62</v>
      </c>
    </row>
    <row r="34" spans="2:11" x14ac:dyDescent="0.25">
      <c r="B34" s="96">
        <v>33</v>
      </c>
      <c r="C34" s="101" t="s">
        <v>232</v>
      </c>
      <c r="D34" s="82" t="s">
        <v>32</v>
      </c>
      <c r="E34" s="122"/>
      <c r="F34" s="170"/>
      <c r="G34" s="97"/>
      <c r="H34" s="82"/>
      <c r="I34" s="172" t="s">
        <v>228</v>
      </c>
      <c r="J34" s="82" t="s">
        <v>102</v>
      </c>
      <c r="K34" s="150" t="s">
        <v>138</v>
      </c>
    </row>
    <row r="35" spans="2:11" x14ac:dyDescent="0.25">
      <c r="B35" s="96">
        <v>34</v>
      </c>
      <c r="C35" s="101" t="s">
        <v>231</v>
      </c>
      <c r="D35" s="84" t="s">
        <v>32</v>
      </c>
      <c r="E35" s="121"/>
      <c r="F35" s="169"/>
      <c r="G35" s="99"/>
      <c r="H35" s="84"/>
      <c r="I35" s="172" t="s">
        <v>228</v>
      </c>
      <c r="J35" s="84" t="s">
        <v>102</v>
      </c>
      <c r="K35" s="140" t="s">
        <v>62</v>
      </c>
    </row>
    <row r="36" spans="2:11" x14ac:dyDescent="0.25">
      <c r="B36" s="96">
        <v>35</v>
      </c>
      <c r="C36" s="101" t="s">
        <v>230</v>
      </c>
      <c r="D36" s="82" t="s">
        <v>32</v>
      </c>
      <c r="E36" s="122"/>
      <c r="F36" s="170"/>
      <c r="G36" s="97"/>
      <c r="H36" s="82"/>
      <c r="I36" s="172" t="s">
        <v>228</v>
      </c>
      <c r="J36" s="82" t="s">
        <v>102</v>
      </c>
      <c r="K36" s="140" t="s">
        <v>62</v>
      </c>
    </row>
    <row r="38" spans="2:11" x14ac:dyDescent="0.25">
      <c r="H38" t="s">
        <v>251</v>
      </c>
      <c r="I38">
        <f>COUNTIF(K2:K36,"mojarra frita")</f>
        <v>17</v>
      </c>
    </row>
    <row r="39" spans="2:11" x14ac:dyDescent="0.25">
      <c r="H39" t="s">
        <v>252</v>
      </c>
      <c r="I39">
        <f>COUNTIF(K2:K36,"MOJARRA SUDADA")</f>
        <v>6</v>
      </c>
    </row>
    <row r="40" spans="2:11" x14ac:dyDescent="0.25">
      <c r="H40" t="s">
        <v>216</v>
      </c>
      <c r="I40">
        <f>COUNTIF(K2:K36,"COSTILLAS BBQ")</f>
        <v>10</v>
      </c>
    </row>
    <row r="41" spans="2:11" x14ac:dyDescent="0.25">
      <c r="H41" t="s">
        <v>239</v>
      </c>
      <c r="I41">
        <f>COUNTIF(K2:K36,"LOMO DE CERDO")</f>
        <v>0</v>
      </c>
    </row>
    <row r="42" spans="2:11" x14ac:dyDescent="0.25">
      <c r="H42" t="s">
        <v>240</v>
      </c>
      <c r="I42">
        <f>COUNTIF(K2:K36,"PECHUGA A LA PLANCHA")</f>
        <v>2</v>
      </c>
    </row>
    <row r="43" spans="2:11" x14ac:dyDescent="0.25">
      <c r="H43" t="s">
        <v>152</v>
      </c>
      <c r="I43">
        <f>SUM(I38:I42)</f>
        <v>35</v>
      </c>
    </row>
  </sheetData>
  <conditionalFormatting sqref="C2:C9">
    <cfRule type="duplicateValues" dxfId="51" priority="34"/>
  </conditionalFormatting>
  <conditionalFormatting sqref="E2:E9">
    <cfRule type="duplicateValues" dxfId="50" priority="33"/>
  </conditionalFormatting>
  <conditionalFormatting sqref="E2:E6">
    <cfRule type="duplicateValues" dxfId="49" priority="35"/>
  </conditionalFormatting>
  <conditionalFormatting sqref="E2:E9">
    <cfRule type="duplicateValues" dxfId="48" priority="36"/>
  </conditionalFormatting>
  <conditionalFormatting sqref="C2:C9">
    <cfRule type="duplicateValues" dxfId="47" priority="37"/>
  </conditionalFormatting>
  <conditionalFormatting sqref="C10:C13">
    <cfRule type="duplicateValues" dxfId="46" priority="30"/>
  </conditionalFormatting>
  <conditionalFormatting sqref="E10:E13">
    <cfRule type="duplicateValues" dxfId="45" priority="29"/>
  </conditionalFormatting>
  <conditionalFormatting sqref="E10:E13">
    <cfRule type="duplicateValues" dxfId="44" priority="31"/>
  </conditionalFormatting>
  <conditionalFormatting sqref="C10:C13">
    <cfRule type="duplicateValues" dxfId="43" priority="32"/>
  </conditionalFormatting>
  <conditionalFormatting sqref="C14:C23">
    <cfRule type="duplicateValues" dxfId="42" priority="26"/>
  </conditionalFormatting>
  <conditionalFormatting sqref="E14:E23">
    <cfRule type="duplicateValues" dxfId="41" priority="25"/>
  </conditionalFormatting>
  <conditionalFormatting sqref="E14:E23">
    <cfRule type="duplicateValues" dxfId="40" priority="27"/>
  </conditionalFormatting>
  <conditionalFormatting sqref="C14:C23">
    <cfRule type="duplicateValues" dxfId="39" priority="28"/>
  </conditionalFormatting>
  <conditionalFormatting sqref="C24">
    <cfRule type="duplicateValues" dxfId="38" priority="22"/>
  </conditionalFormatting>
  <conditionalFormatting sqref="E24">
    <cfRule type="duplicateValues" dxfId="37" priority="21"/>
  </conditionalFormatting>
  <conditionalFormatting sqref="E24">
    <cfRule type="duplicateValues" dxfId="36" priority="23"/>
  </conditionalFormatting>
  <conditionalFormatting sqref="C24">
    <cfRule type="duplicateValues" dxfId="35" priority="24"/>
  </conditionalFormatting>
  <conditionalFormatting sqref="C25:C27">
    <cfRule type="duplicateValues" dxfId="34" priority="17"/>
  </conditionalFormatting>
  <conditionalFormatting sqref="E25:E27">
    <cfRule type="duplicateValues" dxfId="33" priority="16"/>
  </conditionalFormatting>
  <conditionalFormatting sqref="E25:E27">
    <cfRule type="duplicateValues" dxfId="32" priority="18"/>
  </conditionalFormatting>
  <conditionalFormatting sqref="E25:E27">
    <cfRule type="duplicateValues" dxfId="31" priority="19"/>
  </conditionalFormatting>
  <conditionalFormatting sqref="C25:C27">
    <cfRule type="duplicateValues" dxfId="30" priority="20"/>
  </conditionalFormatting>
  <conditionalFormatting sqref="C28:C30">
    <cfRule type="duplicateValues" dxfId="29" priority="12"/>
  </conditionalFormatting>
  <conditionalFormatting sqref="E28:E30">
    <cfRule type="duplicateValues" dxfId="28" priority="11"/>
  </conditionalFormatting>
  <conditionalFormatting sqref="E28:E30">
    <cfRule type="duplicateValues" dxfId="27" priority="13"/>
  </conditionalFormatting>
  <conditionalFormatting sqref="E28:E30">
    <cfRule type="duplicateValues" dxfId="26" priority="14"/>
  </conditionalFormatting>
  <conditionalFormatting sqref="C28:C30">
    <cfRule type="duplicateValues" dxfId="25" priority="15"/>
  </conditionalFormatting>
  <conditionalFormatting sqref="C31">
    <cfRule type="duplicateValues" dxfId="24" priority="7"/>
  </conditionalFormatting>
  <conditionalFormatting sqref="E31">
    <cfRule type="duplicateValues" dxfId="23" priority="6"/>
  </conditionalFormatting>
  <conditionalFormatting sqref="E31">
    <cfRule type="duplicateValues" dxfId="22" priority="8"/>
  </conditionalFormatting>
  <conditionalFormatting sqref="E31">
    <cfRule type="duplicateValues" dxfId="21" priority="9"/>
  </conditionalFormatting>
  <conditionalFormatting sqref="C31">
    <cfRule type="duplicateValues" dxfId="20" priority="10"/>
  </conditionalFormatting>
  <conditionalFormatting sqref="C32:C36">
    <cfRule type="duplicateValues" dxfId="19" priority="2"/>
  </conditionalFormatting>
  <conditionalFormatting sqref="E32:E36">
    <cfRule type="duplicateValues" dxfId="18" priority="1"/>
  </conditionalFormatting>
  <conditionalFormatting sqref="E32:E36">
    <cfRule type="duplicateValues" dxfId="17" priority="3"/>
  </conditionalFormatting>
  <conditionalFormatting sqref="E32:E36">
    <cfRule type="duplicateValues" dxfId="16" priority="4"/>
  </conditionalFormatting>
  <conditionalFormatting sqref="C32:C36">
    <cfRule type="duplicateValues" dxfId="15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B03E-EE9E-4097-A101-A17FADF83A44}">
  <dimension ref="A3:E156"/>
  <sheetViews>
    <sheetView topLeftCell="A5" workbookViewId="0">
      <selection activeCell="E154" sqref="E154"/>
    </sheetView>
  </sheetViews>
  <sheetFormatPr baseColWidth="10" defaultRowHeight="15" x14ac:dyDescent="0.25"/>
  <cols>
    <col min="2" max="2" width="22.85546875" bestFit="1" customWidth="1"/>
    <col min="4" max="4" width="22.85546875" bestFit="1" customWidth="1"/>
  </cols>
  <sheetData>
    <row r="3" spans="1:3" x14ac:dyDescent="0.25">
      <c r="A3">
        <v>1</v>
      </c>
      <c r="B3" s="150" t="s">
        <v>138</v>
      </c>
      <c r="C3" s="155">
        <v>1</v>
      </c>
    </row>
    <row r="4" spans="1:3" x14ac:dyDescent="0.25">
      <c r="A4">
        <v>2</v>
      </c>
      <c r="B4" s="140" t="s">
        <v>62</v>
      </c>
      <c r="C4" s="154">
        <v>1</v>
      </c>
    </row>
    <row r="5" spans="1:3" x14ac:dyDescent="0.25">
      <c r="A5">
        <v>3</v>
      </c>
      <c r="B5" s="102" t="s">
        <v>63</v>
      </c>
      <c r="C5" s="153">
        <v>1</v>
      </c>
    </row>
    <row r="6" spans="1:3" x14ac:dyDescent="0.25">
      <c r="A6">
        <v>4</v>
      </c>
      <c r="B6" s="102" t="s">
        <v>63</v>
      </c>
      <c r="C6" s="153">
        <v>2</v>
      </c>
    </row>
    <row r="7" spans="1:3" x14ac:dyDescent="0.25">
      <c r="A7">
        <v>5</v>
      </c>
      <c r="B7" s="102" t="s">
        <v>63</v>
      </c>
      <c r="C7" s="153">
        <v>3</v>
      </c>
    </row>
    <row r="8" spans="1:3" x14ac:dyDescent="0.25">
      <c r="A8">
        <v>6</v>
      </c>
      <c r="B8" s="102" t="s">
        <v>63</v>
      </c>
      <c r="C8" s="153">
        <v>4</v>
      </c>
    </row>
    <row r="9" spans="1:3" x14ac:dyDescent="0.25">
      <c r="A9">
        <v>7</v>
      </c>
      <c r="B9" s="102" t="s">
        <v>63</v>
      </c>
      <c r="C9" s="153">
        <v>5</v>
      </c>
    </row>
    <row r="10" spans="1:3" x14ac:dyDescent="0.25">
      <c r="A10">
        <v>8</v>
      </c>
      <c r="B10" s="90" t="s">
        <v>61</v>
      </c>
      <c r="C10" s="156">
        <v>1</v>
      </c>
    </row>
    <row r="11" spans="1:3" x14ac:dyDescent="0.25">
      <c r="A11">
        <v>9</v>
      </c>
      <c r="B11" s="90" t="s">
        <v>61</v>
      </c>
      <c r="C11" s="156">
        <v>2</v>
      </c>
    </row>
    <row r="12" spans="1:3" x14ac:dyDescent="0.25">
      <c r="A12">
        <v>10</v>
      </c>
      <c r="B12" s="90" t="s">
        <v>61</v>
      </c>
      <c r="C12" s="156">
        <v>3</v>
      </c>
    </row>
    <row r="13" spans="1:3" x14ac:dyDescent="0.25">
      <c r="B13" s="104"/>
    </row>
    <row r="14" spans="1:3" x14ac:dyDescent="0.25">
      <c r="A14">
        <v>11</v>
      </c>
      <c r="B14" s="102" t="s">
        <v>63</v>
      </c>
      <c r="C14" s="153">
        <v>6</v>
      </c>
    </row>
    <row r="15" spans="1:3" ht="15.75" thickBot="1" x14ac:dyDescent="0.3">
      <c r="A15">
        <v>12</v>
      </c>
      <c r="B15" s="91" t="s">
        <v>61</v>
      </c>
      <c r="C15" s="156">
        <v>4</v>
      </c>
    </row>
    <row r="16" spans="1:3" x14ac:dyDescent="0.25">
      <c r="A16">
        <v>13</v>
      </c>
      <c r="B16" s="102" t="s">
        <v>63</v>
      </c>
      <c r="C16" s="153">
        <v>7</v>
      </c>
    </row>
    <row r="17" spans="1:3" x14ac:dyDescent="0.25">
      <c r="A17">
        <v>14</v>
      </c>
      <c r="B17" s="102" t="s">
        <v>63</v>
      </c>
      <c r="C17" s="153">
        <v>8</v>
      </c>
    </row>
    <row r="18" spans="1:3" x14ac:dyDescent="0.25">
      <c r="A18">
        <v>15</v>
      </c>
      <c r="B18" s="102" t="s">
        <v>63</v>
      </c>
      <c r="C18" s="153">
        <v>9</v>
      </c>
    </row>
    <row r="19" spans="1:3" x14ac:dyDescent="0.25">
      <c r="A19">
        <v>16</v>
      </c>
      <c r="B19" s="102" t="s">
        <v>63</v>
      </c>
      <c r="C19" s="153">
        <v>10</v>
      </c>
    </row>
    <row r="20" spans="1:3" x14ac:dyDescent="0.25">
      <c r="A20">
        <v>17</v>
      </c>
      <c r="B20" s="102" t="s">
        <v>63</v>
      </c>
      <c r="C20" s="153">
        <v>11</v>
      </c>
    </row>
    <row r="21" spans="1:3" x14ac:dyDescent="0.25">
      <c r="A21">
        <v>18</v>
      </c>
      <c r="B21" s="140" t="s">
        <v>62</v>
      </c>
      <c r="C21" s="154">
        <v>2</v>
      </c>
    </row>
    <row r="22" spans="1:3" x14ac:dyDescent="0.25">
      <c r="A22">
        <v>19</v>
      </c>
      <c r="B22" s="140" t="s">
        <v>62</v>
      </c>
      <c r="C22" s="154">
        <v>3</v>
      </c>
    </row>
    <row r="23" spans="1:3" x14ac:dyDescent="0.25">
      <c r="A23">
        <v>20</v>
      </c>
      <c r="B23" s="102" t="s">
        <v>63</v>
      </c>
      <c r="C23" s="153">
        <v>12</v>
      </c>
    </row>
    <row r="24" spans="1:3" x14ac:dyDescent="0.25">
      <c r="A24">
        <v>21</v>
      </c>
      <c r="B24" s="150" t="s">
        <v>138</v>
      </c>
      <c r="C24" s="155">
        <v>2</v>
      </c>
    </row>
    <row r="25" spans="1:3" x14ac:dyDescent="0.25">
      <c r="A25">
        <v>22</v>
      </c>
      <c r="B25" s="90" t="s">
        <v>61</v>
      </c>
      <c r="C25" s="156">
        <v>5</v>
      </c>
    </row>
    <row r="26" spans="1:3" x14ac:dyDescent="0.25">
      <c r="A26">
        <v>23</v>
      </c>
      <c r="B26" s="90" t="s">
        <v>61</v>
      </c>
      <c r="C26" s="156">
        <v>6</v>
      </c>
    </row>
    <row r="27" spans="1:3" x14ac:dyDescent="0.25">
      <c r="A27">
        <v>24</v>
      </c>
      <c r="B27" s="90" t="s">
        <v>61</v>
      </c>
      <c r="C27" s="156">
        <v>7</v>
      </c>
    </row>
    <row r="28" spans="1:3" x14ac:dyDescent="0.25">
      <c r="A28">
        <v>25</v>
      </c>
      <c r="B28" s="140" t="s">
        <v>62</v>
      </c>
      <c r="C28" s="154">
        <v>4</v>
      </c>
    </row>
    <row r="29" spans="1:3" ht="15.75" thickBot="1" x14ac:dyDescent="0.3">
      <c r="A29">
        <v>26</v>
      </c>
      <c r="B29" s="142" t="s">
        <v>62</v>
      </c>
      <c r="C29" s="154">
        <v>5</v>
      </c>
    </row>
    <row r="30" spans="1:3" x14ac:dyDescent="0.25">
      <c r="A30">
        <v>27</v>
      </c>
      <c r="B30" s="102" t="s">
        <v>63</v>
      </c>
      <c r="C30" s="153">
        <v>13</v>
      </c>
    </row>
    <row r="31" spans="1:3" x14ac:dyDescent="0.25">
      <c r="A31">
        <v>28</v>
      </c>
      <c r="B31" s="150" t="s">
        <v>138</v>
      </c>
      <c r="C31" s="155">
        <v>3</v>
      </c>
    </row>
    <row r="32" spans="1:3" x14ac:dyDescent="0.25">
      <c r="A32">
        <v>29</v>
      </c>
      <c r="B32" s="140" t="s">
        <v>62</v>
      </c>
      <c r="C32" s="154">
        <v>6</v>
      </c>
    </row>
    <row r="33" spans="1:3" x14ac:dyDescent="0.25">
      <c r="A33">
        <v>30</v>
      </c>
      <c r="B33" s="140" t="s">
        <v>62</v>
      </c>
      <c r="C33" s="154">
        <v>7</v>
      </c>
    </row>
    <row r="34" spans="1:3" x14ac:dyDescent="0.25">
      <c r="A34">
        <v>31</v>
      </c>
      <c r="B34" s="140" t="s">
        <v>62</v>
      </c>
      <c r="C34" s="154">
        <v>8</v>
      </c>
    </row>
    <row r="35" spans="1:3" x14ac:dyDescent="0.25">
      <c r="A35">
        <v>32</v>
      </c>
      <c r="B35" s="102" t="s">
        <v>63</v>
      </c>
    </row>
    <row r="36" spans="1:3" x14ac:dyDescent="0.25">
      <c r="A36">
        <v>33</v>
      </c>
      <c r="B36" s="102" t="s">
        <v>63</v>
      </c>
      <c r="C36" s="153">
        <v>14</v>
      </c>
    </row>
    <row r="37" spans="1:3" x14ac:dyDescent="0.25">
      <c r="A37">
        <v>34</v>
      </c>
      <c r="B37" s="102" t="s">
        <v>62</v>
      </c>
      <c r="C37" s="153">
        <v>15</v>
      </c>
    </row>
    <row r="38" spans="1:3" x14ac:dyDescent="0.25">
      <c r="A38">
        <v>35</v>
      </c>
      <c r="B38" s="90" t="s">
        <v>61</v>
      </c>
      <c r="C38" s="156">
        <v>8</v>
      </c>
    </row>
    <row r="39" spans="1:3" x14ac:dyDescent="0.25">
      <c r="A39">
        <v>36</v>
      </c>
      <c r="B39" s="102" t="s">
        <v>63</v>
      </c>
      <c r="C39" s="153">
        <v>16</v>
      </c>
    </row>
    <row r="40" spans="1:3" x14ac:dyDescent="0.25">
      <c r="A40">
        <v>37</v>
      </c>
      <c r="B40" s="140" t="s">
        <v>62</v>
      </c>
      <c r="C40" s="154">
        <v>9</v>
      </c>
    </row>
    <row r="41" spans="1:3" x14ac:dyDescent="0.25">
      <c r="A41">
        <v>38</v>
      </c>
      <c r="B41" s="104" t="s">
        <v>139</v>
      </c>
      <c r="C41" s="3">
        <v>1</v>
      </c>
    </row>
    <row r="42" spans="1:3" x14ac:dyDescent="0.25">
      <c r="A42">
        <v>39</v>
      </c>
      <c r="B42" s="90" t="s">
        <v>61</v>
      </c>
      <c r="C42" s="156">
        <v>9</v>
      </c>
    </row>
    <row r="43" spans="1:3" x14ac:dyDescent="0.25">
      <c r="A43">
        <v>40</v>
      </c>
      <c r="B43" s="140" t="s">
        <v>62</v>
      </c>
      <c r="C43" s="154">
        <v>10</v>
      </c>
    </row>
    <row r="44" spans="1:3" x14ac:dyDescent="0.25">
      <c r="A44">
        <v>41</v>
      </c>
      <c r="B44" s="90" t="s">
        <v>61</v>
      </c>
      <c r="C44" s="156">
        <v>10</v>
      </c>
    </row>
    <row r="45" spans="1:3" x14ac:dyDescent="0.25">
      <c r="A45">
        <v>42</v>
      </c>
      <c r="B45" s="90" t="s">
        <v>61</v>
      </c>
      <c r="C45" s="156">
        <v>11</v>
      </c>
    </row>
    <row r="46" spans="1:3" x14ac:dyDescent="0.25">
      <c r="A46">
        <v>43</v>
      </c>
      <c r="B46" s="102" t="s">
        <v>63</v>
      </c>
      <c r="C46" s="153">
        <v>17</v>
      </c>
    </row>
    <row r="47" spans="1:3" x14ac:dyDescent="0.25">
      <c r="A47">
        <v>44</v>
      </c>
      <c r="B47" s="102" t="s">
        <v>63</v>
      </c>
      <c r="C47" s="153">
        <v>18</v>
      </c>
    </row>
    <row r="48" spans="1:3" x14ac:dyDescent="0.25">
      <c r="A48">
        <v>45</v>
      </c>
      <c r="B48" s="102" t="s">
        <v>63</v>
      </c>
      <c r="C48" s="153">
        <v>19</v>
      </c>
    </row>
    <row r="49" spans="1:3" x14ac:dyDescent="0.25">
      <c r="A49">
        <v>46</v>
      </c>
      <c r="B49" s="102" t="s">
        <v>63</v>
      </c>
      <c r="C49" s="153">
        <v>20</v>
      </c>
    </row>
    <row r="50" spans="1:3" x14ac:dyDescent="0.25">
      <c r="A50">
        <v>47</v>
      </c>
      <c r="B50" s="140" t="s">
        <v>62</v>
      </c>
      <c r="C50" s="154">
        <v>11</v>
      </c>
    </row>
    <row r="51" spans="1:3" x14ac:dyDescent="0.25">
      <c r="A51">
        <v>48</v>
      </c>
      <c r="B51" s="102" t="s">
        <v>63</v>
      </c>
      <c r="C51" s="153">
        <v>21</v>
      </c>
    </row>
    <row r="52" spans="1:3" x14ac:dyDescent="0.25">
      <c r="A52">
        <v>49</v>
      </c>
      <c r="B52" s="102" t="s">
        <v>63</v>
      </c>
      <c r="C52" s="153">
        <v>22</v>
      </c>
    </row>
    <row r="53" spans="1:3" x14ac:dyDescent="0.25">
      <c r="A53">
        <v>50</v>
      </c>
      <c r="B53" s="104" t="s">
        <v>139</v>
      </c>
      <c r="C53" s="3">
        <v>2</v>
      </c>
    </row>
    <row r="54" spans="1:3" x14ac:dyDescent="0.25">
      <c r="A54">
        <v>51</v>
      </c>
      <c r="B54" s="102" t="s">
        <v>63</v>
      </c>
      <c r="C54" s="153">
        <v>23</v>
      </c>
    </row>
    <row r="55" spans="1:3" x14ac:dyDescent="0.25">
      <c r="A55">
        <v>52</v>
      </c>
      <c r="B55" s="140" t="s">
        <v>62</v>
      </c>
      <c r="C55" s="154">
        <v>12</v>
      </c>
    </row>
    <row r="56" spans="1:3" x14ac:dyDescent="0.25">
      <c r="A56">
        <v>53</v>
      </c>
      <c r="B56" s="102" t="s">
        <v>63</v>
      </c>
      <c r="C56" s="153">
        <v>24</v>
      </c>
    </row>
    <row r="57" spans="1:3" x14ac:dyDescent="0.25">
      <c r="A57">
        <v>54</v>
      </c>
      <c r="B57" s="102" t="s">
        <v>63</v>
      </c>
      <c r="C57" s="155">
        <v>4</v>
      </c>
    </row>
    <row r="58" spans="1:3" x14ac:dyDescent="0.25">
      <c r="A58">
        <v>55</v>
      </c>
      <c r="B58" s="102" t="s">
        <v>63</v>
      </c>
      <c r="C58" s="153">
        <v>25</v>
      </c>
    </row>
    <row r="59" spans="1:3" x14ac:dyDescent="0.25">
      <c r="A59">
        <v>56</v>
      </c>
      <c r="B59" s="102" t="s">
        <v>63</v>
      </c>
      <c r="C59" s="153">
        <v>26</v>
      </c>
    </row>
    <row r="60" spans="1:3" x14ac:dyDescent="0.25">
      <c r="A60">
        <v>57</v>
      </c>
      <c r="B60" s="102" t="s">
        <v>63</v>
      </c>
      <c r="C60" s="153">
        <v>27</v>
      </c>
    </row>
    <row r="61" spans="1:3" x14ac:dyDescent="0.25">
      <c r="A61">
        <v>58</v>
      </c>
      <c r="B61" s="102" t="s">
        <v>63</v>
      </c>
      <c r="C61" s="153">
        <v>28</v>
      </c>
    </row>
    <row r="62" spans="1:3" ht="15.75" thickBot="1" x14ac:dyDescent="0.3">
      <c r="A62">
        <v>59</v>
      </c>
      <c r="B62" s="91" t="s">
        <v>61</v>
      </c>
      <c r="C62" s="156">
        <v>12</v>
      </c>
    </row>
    <row r="63" spans="1:3" x14ac:dyDescent="0.25">
      <c r="A63">
        <v>60</v>
      </c>
      <c r="B63" s="102" t="s">
        <v>63</v>
      </c>
      <c r="C63" s="153">
        <v>29</v>
      </c>
    </row>
    <row r="64" spans="1:3" x14ac:dyDescent="0.25">
      <c r="A64">
        <v>61</v>
      </c>
      <c r="B64" s="104" t="s">
        <v>139</v>
      </c>
      <c r="C64" s="3">
        <v>3</v>
      </c>
    </row>
    <row r="65" spans="1:3" ht="15.75" thickBot="1" x14ac:dyDescent="0.3">
      <c r="A65">
        <v>62</v>
      </c>
      <c r="B65" s="151" t="s">
        <v>138</v>
      </c>
      <c r="C65" s="155">
        <v>5</v>
      </c>
    </row>
    <row r="66" spans="1:3" x14ac:dyDescent="0.25">
      <c r="A66">
        <v>63</v>
      </c>
      <c r="B66" s="102" t="s">
        <v>63</v>
      </c>
      <c r="C66" s="153">
        <v>30</v>
      </c>
    </row>
    <row r="67" spans="1:3" x14ac:dyDescent="0.25">
      <c r="A67">
        <v>64</v>
      </c>
      <c r="B67" s="102" t="s">
        <v>63</v>
      </c>
      <c r="C67" s="153">
        <v>31</v>
      </c>
    </row>
    <row r="68" spans="1:3" x14ac:dyDescent="0.25">
      <c r="A68">
        <v>65</v>
      </c>
      <c r="B68" s="102" t="s">
        <v>63</v>
      </c>
      <c r="C68" s="153">
        <v>32</v>
      </c>
    </row>
    <row r="69" spans="1:3" x14ac:dyDescent="0.25">
      <c r="A69">
        <v>66</v>
      </c>
      <c r="B69" s="82"/>
    </row>
    <row r="70" spans="1:3" x14ac:dyDescent="0.25">
      <c r="A70">
        <v>67</v>
      </c>
      <c r="B70" s="102" t="s">
        <v>63</v>
      </c>
      <c r="C70" s="153">
        <v>33</v>
      </c>
    </row>
    <row r="71" spans="1:3" x14ac:dyDescent="0.25">
      <c r="A71">
        <v>68</v>
      </c>
      <c r="B71" s="102" t="s">
        <v>63</v>
      </c>
      <c r="C71" s="153">
        <v>34</v>
      </c>
    </row>
    <row r="72" spans="1:3" x14ac:dyDescent="0.25">
      <c r="A72">
        <v>69</v>
      </c>
      <c r="B72" s="102" t="s">
        <v>63</v>
      </c>
      <c r="C72" s="153">
        <v>35</v>
      </c>
    </row>
    <row r="73" spans="1:3" x14ac:dyDescent="0.25">
      <c r="A73">
        <v>70</v>
      </c>
      <c r="B73" s="102" t="s">
        <v>63</v>
      </c>
      <c r="C73" s="153">
        <v>36</v>
      </c>
    </row>
    <row r="74" spans="1:3" x14ac:dyDescent="0.25">
      <c r="A74">
        <v>71</v>
      </c>
      <c r="B74" s="102" t="s">
        <v>63</v>
      </c>
      <c r="C74" s="153">
        <v>37</v>
      </c>
    </row>
    <row r="75" spans="1:3" x14ac:dyDescent="0.25">
      <c r="A75">
        <v>72</v>
      </c>
      <c r="B75" s="102" t="s">
        <v>63</v>
      </c>
      <c r="C75" s="153">
        <v>38</v>
      </c>
    </row>
    <row r="76" spans="1:3" x14ac:dyDescent="0.25">
      <c r="A76">
        <v>73</v>
      </c>
      <c r="B76" s="102" t="s">
        <v>63</v>
      </c>
      <c r="C76" s="153">
        <v>39</v>
      </c>
    </row>
    <row r="77" spans="1:3" x14ac:dyDescent="0.25">
      <c r="A77">
        <v>74</v>
      </c>
      <c r="B77" s="102" t="s">
        <v>63</v>
      </c>
      <c r="C77" s="153">
        <v>40</v>
      </c>
    </row>
    <row r="78" spans="1:3" x14ac:dyDescent="0.25">
      <c r="A78">
        <v>75</v>
      </c>
      <c r="B78" s="102" t="s">
        <v>63</v>
      </c>
      <c r="C78" s="153">
        <v>41</v>
      </c>
    </row>
    <row r="79" spans="1:3" x14ac:dyDescent="0.25">
      <c r="A79">
        <v>76</v>
      </c>
      <c r="B79" s="102" t="s">
        <v>63</v>
      </c>
      <c r="C79" s="153">
        <v>42</v>
      </c>
    </row>
    <row r="80" spans="1:3" x14ac:dyDescent="0.25">
      <c r="A80">
        <v>77</v>
      </c>
      <c r="B80" s="140" t="s">
        <v>62</v>
      </c>
      <c r="C80" s="154">
        <v>13</v>
      </c>
    </row>
    <row r="81" spans="1:3" x14ac:dyDescent="0.25">
      <c r="A81">
        <v>78</v>
      </c>
      <c r="B81" s="150" t="s">
        <v>138</v>
      </c>
      <c r="C81" s="155">
        <v>6</v>
      </c>
    </row>
    <row r="82" spans="1:3" x14ac:dyDescent="0.25">
      <c r="A82">
        <v>79</v>
      </c>
      <c r="B82" s="102" t="s">
        <v>63</v>
      </c>
      <c r="C82" s="153">
        <v>43</v>
      </c>
    </row>
    <row r="83" spans="1:3" x14ac:dyDescent="0.25">
      <c r="A83">
        <v>80</v>
      </c>
      <c r="B83" s="150" t="s">
        <v>138</v>
      </c>
      <c r="C83" s="155">
        <v>7</v>
      </c>
    </row>
    <row r="84" spans="1:3" x14ac:dyDescent="0.25">
      <c r="A84">
        <v>81</v>
      </c>
      <c r="B84" s="140" t="s">
        <v>62</v>
      </c>
      <c r="C84" s="154">
        <v>14</v>
      </c>
    </row>
    <row r="85" spans="1:3" x14ac:dyDescent="0.25">
      <c r="A85">
        <v>82</v>
      </c>
      <c r="B85" s="140" t="s">
        <v>62</v>
      </c>
      <c r="C85" s="154">
        <v>15</v>
      </c>
    </row>
    <row r="86" spans="1:3" x14ac:dyDescent="0.25">
      <c r="A86">
        <v>83</v>
      </c>
      <c r="B86" s="140" t="s">
        <v>62</v>
      </c>
      <c r="C86" s="154">
        <v>16</v>
      </c>
    </row>
    <row r="87" spans="1:3" x14ac:dyDescent="0.25">
      <c r="A87">
        <v>84</v>
      </c>
      <c r="B87" s="102" t="s">
        <v>203</v>
      </c>
      <c r="C87" s="153">
        <v>44</v>
      </c>
    </row>
    <row r="88" spans="1:3" x14ac:dyDescent="0.25">
      <c r="A88">
        <v>85</v>
      </c>
      <c r="B88" s="102" t="s">
        <v>63</v>
      </c>
      <c r="C88" s="153">
        <v>45</v>
      </c>
    </row>
    <row r="89" spans="1:3" x14ac:dyDescent="0.25">
      <c r="A89">
        <v>86</v>
      </c>
      <c r="B89" s="150" t="s">
        <v>138</v>
      </c>
      <c r="C89" s="155">
        <v>8</v>
      </c>
    </row>
    <row r="90" spans="1:3" x14ac:dyDescent="0.25">
      <c r="A90">
        <v>87</v>
      </c>
      <c r="B90" s="90" t="s">
        <v>61</v>
      </c>
      <c r="C90" s="156">
        <v>13</v>
      </c>
    </row>
    <row r="91" spans="1:3" x14ac:dyDescent="0.25">
      <c r="A91">
        <v>88</v>
      </c>
      <c r="B91" s="104" t="s">
        <v>139</v>
      </c>
      <c r="C91" s="3">
        <v>4</v>
      </c>
    </row>
    <row r="92" spans="1:3" x14ac:dyDescent="0.25">
      <c r="A92">
        <v>89</v>
      </c>
      <c r="B92" s="102" t="s">
        <v>63</v>
      </c>
      <c r="C92" s="153">
        <v>46</v>
      </c>
    </row>
    <row r="93" spans="1:3" x14ac:dyDescent="0.25">
      <c r="A93">
        <v>90</v>
      </c>
      <c r="B93" s="102" t="s">
        <v>63</v>
      </c>
      <c r="C93" s="153">
        <v>47</v>
      </c>
    </row>
    <row r="94" spans="1:3" x14ac:dyDescent="0.25">
      <c r="A94">
        <v>91</v>
      </c>
      <c r="B94" s="102" t="s">
        <v>63</v>
      </c>
      <c r="C94" s="153">
        <v>48</v>
      </c>
    </row>
    <row r="95" spans="1:3" x14ac:dyDescent="0.25">
      <c r="A95">
        <v>92</v>
      </c>
      <c r="B95" s="102" t="s">
        <v>63</v>
      </c>
      <c r="C95" s="153">
        <v>49</v>
      </c>
    </row>
    <row r="96" spans="1:3" x14ac:dyDescent="0.25">
      <c r="A96">
        <v>93</v>
      </c>
      <c r="B96" s="102" t="s">
        <v>63</v>
      </c>
      <c r="C96" s="153">
        <v>50</v>
      </c>
    </row>
    <row r="97" spans="1:3" x14ac:dyDescent="0.25">
      <c r="A97">
        <v>94</v>
      </c>
      <c r="B97" s="104" t="s">
        <v>139</v>
      </c>
      <c r="C97" s="3">
        <v>5</v>
      </c>
    </row>
    <row r="98" spans="1:3" x14ac:dyDescent="0.25">
      <c r="A98">
        <v>95</v>
      </c>
      <c r="B98" s="102" t="s">
        <v>63</v>
      </c>
      <c r="C98" s="153">
        <v>51</v>
      </c>
    </row>
    <row r="99" spans="1:3" x14ac:dyDescent="0.25">
      <c r="A99">
        <v>96</v>
      </c>
      <c r="B99" s="102" t="s">
        <v>63</v>
      </c>
      <c r="C99" s="153">
        <v>52</v>
      </c>
    </row>
    <row r="100" spans="1:3" x14ac:dyDescent="0.25">
      <c r="A100">
        <v>97</v>
      </c>
      <c r="B100" s="140" t="s">
        <v>62</v>
      </c>
      <c r="C100" s="154">
        <v>17</v>
      </c>
    </row>
    <row r="101" spans="1:3" x14ac:dyDescent="0.25">
      <c r="A101">
        <v>98</v>
      </c>
      <c r="B101" s="140" t="s">
        <v>62</v>
      </c>
      <c r="C101" s="154">
        <v>18</v>
      </c>
    </row>
    <row r="102" spans="1:3" x14ac:dyDescent="0.25">
      <c r="A102">
        <v>99</v>
      </c>
      <c r="B102" s="102" t="s">
        <v>63</v>
      </c>
      <c r="C102" s="153">
        <v>53</v>
      </c>
    </row>
    <row r="103" spans="1:3" x14ac:dyDescent="0.25">
      <c r="A103">
        <v>100</v>
      </c>
      <c r="B103" s="140" t="s">
        <v>62</v>
      </c>
      <c r="C103" s="154">
        <v>19</v>
      </c>
    </row>
    <row r="104" spans="1:3" x14ac:dyDescent="0.25">
      <c r="A104">
        <v>101</v>
      </c>
      <c r="B104" s="150" t="s">
        <v>138</v>
      </c>
      <c r="C104" s="155">
        <v>9</v>
      </c>
    </row>
    <row r="105" spans="1:3" x14ac:dyDescent="0.25">
      <c r="A105">
        <v>102</v>
      </c>
      <c r="B105" s="102" t="s">
        <v>63</v>
      </c>
      <c r="C105" s="153">
        <v>54</v>
      </c>
    </row>
    <row r="106" spans="1:3" x14ac:dyDescent="0.25">
      <c r="A106">
        <v>103</v>
      </c>
      <c r="B106" s="104" t="s">
        <v>139</v>
      </c>
      <c r="C106" s="3">
        <v>6</v>
      </c>
    </row>
    <row r="107" spans="1:3" x14ac:dyDescent="0.25">
      <c r="A107">
        <v>104</v>
      </c>
      <c r="B107" s="102" t="s">
        <v>63</v>
      </c>
      <c r="C107" s="153">
        <v>55</v>
      </c>
    </row>
    <row r="108" spans="1:3" x14ac:dyDescent="0.25">
      <c r="A108">
        <v>105</v>
      </c>
      <c r="B108" s="150" t="s">
        <v>138</v>
      </c>
      <c r="C108" s="155">
        <v>10</v>
      </c>
    </row>
    <row r="109" spans="1:3" x14ac:dyDescent="0.25">
      <c r="A109">
        <v>106</v>
      </c>
      <c r="B109" s="102" t="s">
        <v>63</v>
      </c>
      <c r="C109" s="153">
        <v>56</v>
      </c>
    </row>
    <row r="110" spans="1:3" x14ac:dyDescent="0.25">
      <c r="A110">
        <v>107</v>
      </c>
      <c r="B110" s="102" t="s">
        <v>63</v>
      </c>
      <c r="C110" s="153">
        <v>57</v>
      </c>
    </row>
    <row r="111" spans="1:3" x14ac:dyDescent="0.25">
      <c r="A111">
        <v>108</v>
      </c>
      <c r="B111" s="90" t="s">
        <v>61</v>
      </c>
      <c r="C111" s="156">
        <v>14</v>
      </c>
    </row>
    <row r="112" spans="1:3" x14ac:dyDescent="0.25">
      <c r="A112">
        <v>109</v>
      </c>
      <c r="B112" s="102" t="s">
        <v>63</v>
      </c>
      <c r="C112" s="153">
        <v>58</v>
      </c>
    </row>
    <row r="113" spans="1:3" x14ac:dyDescent="0.25">
      <c r="A113">
        <v>110</v>
      </c>
      <c r="B113" s="102" t="s">
        <v>63</v>
      </c>
      <c r="C113" s="153">
        <v>59</v>
      </c>
    </row>
    <row r="114" spans="1:3" x14ac:dyDescent="0.25">
      <c r="A114">
        <v>111</v>
      </c>
      <c r="B114" s="102" t="s">
        <v>63</v>
      </c>
      <c r="C114" s="153">
        <v>60</v>
      </c>
    </row>
    <row r="115" spans="1:3" ht="15.75" thickBot="1" x14ac:dyDescent="0.3">
      <c r="A115">
        <v>112</v>
      </c>
      <c r="B115" s="91" t="s">
        <v>61</v>
      </c>
      <c r="C115" s="156">
        <v>15</v>
      </c>
    </row>
    <row r="116" spans="1:3" x14ac:dyDescent="0.25">
      <c r="A116">
        <v>113</v>
      </c>
      <c r="B116" s="140" t="s">
        <v>62</v>
      </c>
      <c r="C116" s="154">
        <v>20</v>
      </c>
    </row>
    <row r="117" spans="1:3" x14ac:dyDescent="0.25">
      <c r="A117">
        <v>114</v>
      </c>
      <c r="B117" s="102" t="s">
        <v>63</v>
      </c>
      <c r="C117" s="153">
        <v>61</v>
      </c>
    </row>
    <row r="118" spans="1:3" x14ac:dyDescent="0.25">
      <c r="A118">
        <v>115</v>
      </c>
      <c r="B118" s="90" t="s">
        <v>61</v>
      </c>
      <c r="C118" s="156">
        <v>16</v>
      </c>
    </row>
    <row r="119" spans="1:3" x14ac:dyDescent="0.25">
      <c r="A119">
        <v>116</v>
      </c>
      <c r="B119" s="90" t="s">
        <v>61</v>
      </c>
      <c r="C119" s="156">
        <v>17</v>
      </c>
    </row>
    <row r="120" spans="1:3" x14ac:dyDescent="0.25">
      <c r="A120">
        <v>117</v>
      </c>
      <c r="B120" s="102" t="s">
        <v>63</v>
      </c>
      <c r="C120" s="153">
        <v>62</v>
      </c>
    </row>
    <row r="121" spans="1:3" x14ac:dyDescent="0.25">
      <c r="A121">
        <v>118</v>
      </c>
      <c r="B121" s="140" t="s">
        <v>62</v>
      </c>
      <c r="C121" s="154">
        <v>21</v>
      </c>
    </row>
    <row r="122" spans="1:3" x14ac:dyDescent="0.25">
      <c r="A122">
        <v>119</v>
      </c>
      <c r="B122" s="102" t="s">
        <v>63</v>
      </c>
      <c r="C122">
        <v>63</v>
      </c>
    </row>
    <row r="123" spans="1:3" x14ac:dyDescent="0.25">
      <c r="A123">
        <v>120</v>
      </c>
      <c r="B123" s="140" t="s">
        <v>62</v>
      </c>
      <c r="C123" s="154">
        <v>22</v>
      </c>
    </row>
    <row r="124" spans="1:3" x14ac:dyDescent="0.25">
      <c r="A124">
        <v>121</v>
      </c>
      <c r="B124" s="90" t="s">
        <v>61</v>
      </c>
      <c r="C124" s="156">
        <v>18</v>
      </c>
    </row>
    <row r="125" spans="1:3" x14ac:dyDescent="0.25">
      <c r="A125">
        <v>122</v>
      </c>
      <c r="B125" s="102" t="s">
        <v>63</v>
      </c>
      <c r="C125" s="153">
        <v>64</v>
      </c>
    </row>
    <row r="126" spans="1:3" x14ac:dyDescent="0.25">
      <c r="A126">
        <v>123</v>
      </c>
      <c r="B126" s="102" t="s">
        <v>63</v>
      </c>
      <c r="C126" s="153">
        <v>65</v>
      </c>
    </row>
    <row r="127" spans="1:3" x14ac:dyDescent="0.25">
      <c r="A127">
        <v>124</v>
      </c>
      <c r="B127" s="102" t="s">
        <v>63</v>
      </c>
      <c r="C127" s="153">
        <v>66</v>
      </c>
    </row>
    <row r="128" spans="1:3" x14ac:dyDescent="0.25">
      <c r="A128">
        <v>125</v>
      </c>
      <c r="B128" s="102" t="s">
        <v>63</v>
      </c>
      <c r="C128" s="153">
        <v>67</v>
      </c>
    </row>
    <row r="129" spans="1:3" x14ac:dyDescent="0.25">
      <c r="A129">
        <v>126</v>
      </c>
      <c r="B129" s="102" t="s">
        <v>63</v>
      </c>
      <c r="C129" s="153">
        <v>68</v>
      </c>
    </row>
    <row r="130" spans="1:3" x14ac:dyDescent="0.25">
      <c r="A130">
        <v>127</v>
      </c>
      <c r="B130" s="102" t="s">
        <v>63</v>
      </c>
      <c r="C130" s="153">
        <v>69</v>
      </c>
    </row>
    <row r="131" spans="1:3" x14ac:dyDescent="0.25">
      <c r="A131">
        <v>128</v>
      </c>
      <c r="B131" s="102" t="s">
        <v>63</v>
      </c>
      <c r="C131" s="153">
        <v>70</v>
      </c>
    </row>
    <row r="132" spans="1:3" x14ac:dyDescent="0.25">
      <c r="A132">
        <v>129</v>
      </c>
      <c r="B132" s="102" t="s">
        <v>63</v>
      </c>
      <c r="C132" s="153">
        <v>71</v>
      </c>
    </row>
    <row r="133" spans="1:3" x14ac:dyDescent="0.25">
      <c r="A133">
        <v>130</v>
      </c>
      <c r="B133" s="102" t="s">
        <v>63</v>
      </c>
      <c r="C133" s="153">
        <v>72</v>
      </c>
    </row>
    <row r="134" spans="1:3" x14ac:dyDescent="0.25">
      <c r="A134">
        <v>131</v>
      </c>
      <c r="B134" s="102" t="s">
        <v>63</v>
      </c>
      <c r="C134" s="153">
        <v>73</v>
      </c>
    </row>
    <row r="135" spans="1:3" x14ac:dyDescent="0.25">
      <c r="A135">
        <v>132</v>
      </c>
      <c r="B135" s="140" t="s">
        <v>62</v>
      </c>
      <c r="C135" s="154">
        <v>23</v>
      </c>
    </row>
    <row r="136" spans="1:3" x14ac:dyDescent="0.25">
      <c r="A136">
        <v>133</v>
      </c>
      <c r="B136" s="102" t="s">
        <v>63</v>
      </c>
      <c r="C136" s="153">
        <v>74</v>
      </c>
    </row>
    <row r="137" spans="1:3" x14ac:dyDescent="0.25">
      <c r="A137">
        <v>134</v>
      </c>
      <c r="B137" s="102" t="s">
        <v>63</v>
      </c>
      <c r="C137" s="153">
        <v>75</v>
      </c>
    </row>
    <row r="138" spans="1:3" x14ac:dyDescent="0.25">
      <c r="A138">
        <v>135</v>
      </c>
      <c r="B138" s="140" t="s">
        <v>62</v>
      </c>
      <c r="C138" s="154">
        <v>24</v>
      </c>
    </row>
    <row r="139" spans="1:3" x14ac:dyDescent="0.25">
      <c r="A139">
        <v>136</v>
      </c>
      <c r="B139" s="90" t="s">
        <v>61</v>
      </c>
      <c r="C139" s="156">
        <v>19</v>
      </c>
    </row>
    <row r="140" spans="1:3" x14ac:dyDescent="0.25">
      <c r="A140">
        <v>137</v>
      </c>
      <c r="B140" s="140" t="s">
        <v>62</v>
      </c>
      <c r="C140" s="154">
        <v>25</v>
      </c>
    </row>
    <row r="141" spans="1:3" x14ac:dyDescent="0.25">
      <c r="A141">
        <v>138</v>
      </c>
      <c r="B141" s="90" t="s">
        <v>61</v>
      </c>
      <c r="C141" s="156">
        <v>20</v>
      </c>
    </row>
    <row r="142" spans="1:3" x14ac:dyDescent="0.25">
      <c r="A142">
        <v>139</v>
      </c>
      <c r="B142" s="140" t="s">
        <v>62</v>
      </c>
      <c r="C142" s="154">
        <v>26</v>
      </c>
    </row>
    <row r="143" spans="1:3" x14ac:dyDescent="0.25">
      <c r="A143">
        <v>140</v>
      </c>
      <c r="B143" s="140" t="s">
        <v>62</v>
      </c>
      <c r="C143" s="154">
        <v>27</v>
      </c>
    </row>
    <row r="144" spans="1:3" x14ac:dyDescent="0.25">
      <c r="A144">
        <v>141</v>
      </c>
      <c r="B144" s="152" t="s">
        <v>61</v>
      </c>
      <c r="C144" s="156">
        <v>21</v>
      </c>
    </row>
    <row r="145" spans="1:5" x14ac:dyDescent="0.25">
      <c r="A145">
        <v>142</v>
      </c>
      <c r="B145" s="140" t="s">
        <v>62</v>
      </c>
      <c r="C145" s="154">
        <v>28</v>
      </c>
    </row>
    <row r="146" spans="1:5" x14ac:dyDescent="0.25">
      <c r="A146">
        <v>143</v>
      </c>
      <c r="B146" s="140" t="s">
        <v>62</v>
      </c>
      <c r="C146" s="154">
        <v>29</v>
      </c>
    </row>
    <row r="147" spans="1:5" x14ac:dyDescent="0.25">
      <c r="A147">
        <v>144</v>
      </c>
      <c r="B147" s="102" t="s">
        <v>63</v>
      </c>
      <c r="C147" s="153">
        <v>76</v>
      </c>
    </row>
    <row r="148" spans="1:5" x14ac:dyDescent="0.25">
      <c r="A148">
        <v>145</v>
      </c>
      <c r="B148" s="102" t="s">
        <v>63</v>
      </c>
      <c r="C148" s="153">
        <v>77</v>
      </c>
    </row>
    <row r="149" spans="1:5" x14ac:dyDescent="0.25">
      <c r="B149" s="102" t="s">
        <v>63</v>
      </c>
      <c r="C149" s="153">
        <v>78</v>
      </c>
    </row>
    <row r="151" spans="1:5" x14ac:dyDescent="0.25">
      <c r="B151" s="10" t="s">
        <v>214</v>
      </c>
      <c r="C151">
        <f>COUNTIF(B3:B149,"MOJARRA FRITA")</f>
        <v>78</v>
      </c>
      <c r="D151" s="77" t="s">
        <v>63</v>
      </c>
      <c r="E151" s="77">
        <v>79</v>
      </c>
    </row>
    <row r="152" spans="1:5" x14ac:dyDescent="0.25">
      <c r="B152" s="10" t="s">
        <v>215</v>
      </c>
      <c r="C152">
        <f>COUNTIF(B3:B148,"MOJARRA SUDADA")</f>
        <v>21</v>
      </c>
      <c r="D152" s="77" t="s">
        <v>61</v>
      </c>
      <c r="E152" s="77">
        <v>21</v>
      </c>
    </row>
    <row r="153" spans="1:5" x14ac:dyDescent="0.25">
      <c r="B153" s="10" t="s">
        <v>216</v>
      </c>
      <c r="C153">
        <f>COUNTIF(B3:B148,"COSTILLAS BBQ")</f>
        <v>30</v>
      </c>
      <c r="D153" s="77" t="s">
        <v>62</v>
      </c>
      <c r="E153" s="77">
        <v>30</v>
      </c>
    </row>
    <row r="154" spans="1:5" x14ac:dyDescent="0.25">
      <c r="B154" s="10" t="s">
        <v>239</v>
      </c>
      <c r="C154">
        <f>COUNTIF(B3:B148,"LOMO DE CERDO")</f>
        <v>6</v>
      </c>
      <c r="D154" s="77" t="s">
        <v>139</v>
      </c>
      <c r="E154" s="77">
        <v>6</v>
      </c>
    </row>
    <row r="155" spans="1:5" x14ac:dyDescent="0.25">
      <c r="B155" s="10" t="s">
        <v>240</v>
      </c>
      <c r="C155">
        <f>COUNTIF(B3:B148,"PECHUGA A LA PLANCHA")</f>
        <v>9</v>
      </c>
      <c r="D155" s="77" t="s">
        <v>138</v>
      </c>
      <c r="E155" s="77">
        <v>9</v>
      </c>
    </row>
    <row r="156" spans="1:5" x14ac:dyDescent="0.25">
      <c r="C156">
        <f>SUM(C151:C155)</f>
        <v>144</v>
      </c>
      <c r="D156" s="157" t="s">
        <v>152</v>
      </c>
      <c r="E156" s="77">
        <f>SUM(E151:E155)</f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6EE8-AA8C-4A20-A4AD-957153696FD4}">
  <dimension ref="B3:H25"/>
  <sheetViews>
    <sheetView workbookViewId="0">
      <selection activeCell="H23" sqref="H23"/>
    </sheetView>
  </sheetViews>
  <sheetFormatPr baseColWidth="10" defaultRowHeight="15" x14ac:dyDescent="0.25"/>
  <cols>
    <col min="2" max="2" width="4" bestFit="1" customWidth="1"/>
    <col min="3" max="3" width="34.42578125" bestFit="1" customWidth="1"/>
    <col min="5" max="5" width="12.7109375" bestFit="1" customWidth="1"/>
    <col min="8" max="8" width="15.28515625" bestFit="1" customWidth="1"/>
  </cols>
  <sheetData>
    <row r="3" spans="2:8" x14ac:dyDescent="0.25">
      <c r="B3" s="92" t="s">
        <v>0</v>
      </c>
      <c r="C3" s="93" t="s">
        <v>1</v>
      </c>
      <c r="D3" s="93" t="s">
        <v>2</v>
      </c>
      <c r="E3" s="94" t="s">
        <v>3</v>
      </c>
      <c r="F3" s="95" t="s">
        <v>64</v>
      </c>
      <c r="G3" s="93" t="s">
        <v>6</v>
      </c>
      <c r="H3" s="93" t="s">
        <v>11</v>
      </c>
    </row>
    <row r="4" spans="2:8" x14ac:dyDescent="0.25">
      <c r="B4" s="96">
        <v>1</v>
      </c>
      <c r="C4" s="81" t="s">
        <v>16</v>
      </c>
      <c r="D4" s="82" t="s">
        <v>12</v>
      </c>
      <c r="E4" s="83">
        <v>1049894080</v>
      </c>
      <c r="F4" s="97">
        <f>2024-2003</f>
        <v>21</v>
      </c>
      <c r="G4" s="90" t="s">
        <v>15</v>
      </c>
      <c r="H4" s="137" t="s">
        <v>21</v>
      </c>
    </row>
    <row r="5" spans="2:8" x14ac:dyDescent="0.25">
      <c r="B5" s="96">
        <v>2</v>
      </c>
      <c r="C5" s="81" t="s">
        <v>19</v>
      </c>
      <c r="D5" s="84" t="s">
        <v>12</v>
      </c>
      <c r="E5" s="85">
        <v>1007155755</v>
      </c>
      <c r="F5" s="99"/>
      <c r="G5" s="90" t="s">
        <v>15</v>
      </c>
      <c r="H5" s="137" t="s">
        <v>21</v>
      </c>
    </row>
    <row r="6" spans="2:8" ht="15.75" thickBot="1" x14ac:dyDescent="0.3">
      <c r="B6" s="96">
        <v>3</v>
      </c>
      <c r="C6" s="86" t="s">
        <v>20</v>
      </c>
      <c r="D6" s="87" t="s">
        <v>12</v>
      </c>
      <c r="E6" s="88" t="s">
        <v>206</v>
      </c>
      <c r="F6" s="100">
        <f>2024-1997</f>
        <v>27</v>
      </c>
      <c r="G6" s="91" t="s">
        <v>15</v>
      </c>
      <c r="H6" s="137" t="s">
        <v>21</v>
      </c>
    </row>
    <row r="7" spans="2:8" x14ac:dyDescent="0.25">
      <c r="B7" s="96">
        <v>4</v>
      </c>
      <c r="C7" s="81" t="s">
        <v>40</v>
      </c>
      <c r="D7" s="84" t="s">
        <v>12</v>
      </c>
      <c r="E7" s="85">
        <v>20357610</v>
      </c>
      <c r="F7" s="99">
        <v>63</v>
      </c>
      <c r="G7" s="90" t="s">
        <v>15</v>
      </c>
      <c r="H7" s="84" t="s">
        <v>14</v>
      </c>
    </row>
    <row r="8" spans="2:8" ht="15.75" thickBot="1" x14ac:dyDescent="0.3">
      <c r="B8" s="96">
        <v>5</v>
      </c>
      <c r="C8" s="86" t="s">
        <v>168</v>
      </c>
      <c r="D8" s="87" t="s">
        <v>12</v>
      </c>
      <c r="E8" s="89">
        <v>30372665</v>
      </c>
      <c r="F8" s="100">
        <v>50</v>
      </c>
      <c r="G8" s="91" t="s">
        <v>15</v>
      </c>
      <c r="H8" s="87" t="s">
        <v>14</v>
      </c>
    </row>
    <row r="9" spans="2:8" x14ac:dyDescent="0.25">
      <c r="B9" s="96">
        <v>6</v>
      </c>
      <c r="C9" s="81" t="s">
        <v>24</v>
      </c>
      <c r="D9" s="84" t="s">
        <v>12</v>
      </c>
      <c r="E9" s="85">
        <v>1003650684</v>
      </c>
      <c r="F9" s="99">
        <v>24</v>
      </c>
      <c r="G9" s="90" t="s">
        <v>15</v>
      </c>
      <c r="H9" s="138" t="s">
        <v>21</v>
      </c>
    </row>
    <row r="10" spans="2:8" x14ac:dyDescent="0.25">
      <c r="B10" s="96">
        <v>7</v>
      </c>
      <c r="C10" s="81" t="s">
        <v>25</v>
      </c>
      <c r="D10" s="82" t="s">
        <v>12</v>
      </c>
      <c r="E10" s="83">
        <v>21462207</v>
      </c>
      <c r="F10" s="97">
        <f>2023-1958</f>
        <v>65</v>
      </c>
      <c r="G10" s="90" t="s">
        <v>15</v>
      </c>
      <c r="H10" s="138" t="s">
        <v>21</v>
      </c>
    </row>
    <row r="11" spans="2:8" x14ac:dyDescent="0.25">
      <c r="B11" s="96">
        <v>8</v>
      </c>
      <c r="C11" s="81" t="s">
        <v>153</v>
      </c>
      <c r="D11" s="84" t="s">
        <v>12</v>
      </c>
      <c r="E11" s="85">
        <v>179473</v>
      </c>
      <c r="F11" s="99">
        <f>2023-1964</f>
        <v>59</v>
      </c>
      <c r="G11" s="90" t="s">
        <v>15</v>
      </c>
      <c r="H11" s="138" t="s">
        <v>21</v>
      </c>
    </row>
    <row r="12" spans="2:8" x14ac:dyDescent="0.25">
      <c r="B12" s="96">
        <v>9</v>
      </c>
      <c r="C12" s="139" t="s">
        <v>26</v>
      </c>
      <c r="D12" s="82" t="s">
        <v>12</v>
      </c>
      <c r="E12" s="83">
        <v>21016956</v>
      </c>
      <c r="F12" s="97">
        <f>2024-1971</f>
        <v>53</v>
      </c>
      <c r="G12" s="140" t="s">
        <v>234</v>
      </c>
      <c r="H12" s="82" t="s">
        <v>21</v>
      </c>
    </row>
    <row r="13" spans="2:8" x14ac:dyDescent="0.25">
      <c r="B13" s="96">
        <v>10</v>
      </c>
      <c r="C13" s="139" t="s">
        <v>27</v>
      </c>
      <c r="D13" s="84" t="s">
        <v>12</v>
      </c>
      <c r="E13" s="85">
        <v>1073629789</v>
      </c>
      <c r="F13" s="99">
        <v>29</v>
      </c>
      <c r="G13" s="140" t="s">
        <v>234</v>
      </c>
      <c r="H13" s="84" t="s">
        <v>21</v>
      </c>
    </row>
    <row r="14" spans="2:8" x14ac:dyDescent="0.25">
      <c r="B14" s="103"/>
      <c r="C14" s="139" t="s">
        <v>212</v>
      </c>
      <c r="D14" s="104" t="s">
        <v>37</v>
      </c>
      <c r="E14" s="105">
        <v>1195468765</v>
      </c>
      <c r="F14" s="106">
        <v>1</v>
      </c>
      <c r="G14" s="140"/>
      <c r="H14" s="104"/>
    </row>
    <row r="15" spans="2:8" x14ac:dyDescent="0.25">
      <c r="B15" s="98">
        <v>11</v>
      </c>
      <c r="C15" s="139" t="s">
        <v>235</v>
      </c>
      <c r="D15" s="84" t="s">
        <v>32</v>
      </c>
      <c r="E15" s="85">
        <v>1073629276</v>
      </c>
      <c r="F15" s="99">
        <v>13</v>
      </c>
      <c r="G15" s="140" t="s">
        <v>234</v>
      </c>
      <c r="H15" s="84" t="s">
        <v>21</v>
      </c>
    </row>
    <row r="16" spans="2:8" ht="15.75" thickBot="1" x14ac:dyDescent="0.3">
      <c r="B16" s="98">
        <v>12</v>
      </c>
      <c r="C16" s="141" t="s">
        <v>28</v>
      </c>
      <c r="D16" s="87" t="s">
        <v>12</v>
      </c>
      <c r="E16" s="89">
        <v>1073629483</v>
      </c>
      <c r="F16" s="100">
        <f>2024-1993</f>
        <v>31</v>
      </c>
      <c r="G16" s="142" t="s">
        <v>234</v>
      </c>
      <c r="H16" s="87" t="s">
        <v>21</v>
      </c>
    </row>
    <row r="17" spans="2:8" x14ac:dyDescent="0.25">
      <c r="B17" s="98">
        <v>13</v>
      </c>
      <c r="C17" s="81" t="s">
        <v>33</v>
      </c>
      <c r="D17" s="82" t="s">
        <v>12</v>
      </c>
      <c r="E17" s="83">
        <v>1003672928</v>
      </c>
      <c r="F17" s="97">
        <v>23</v>
      </c>
      <c r="G17" s="90" t="s">
        <v>15</v>
      </c>
      <c r="H17" s="143" t="s">
        <v>21</v>
      </c>
    </row>
    <row r="18" spans="2:8" x14ac:dyDescent="0.25">
      <c r="B18" s="98">
        <v>14</v>
      </c>
      <c r="C18" s="81" t="s">
        <v>38</v>
      </c>
      <c r="D18" s="84" t="s">
        <v>12</v>
      </c>
      <c r="E18" s="85">
        <v>20358836</v>
      </c>
      <c r="F18" s="99">
        <v>39</v>
      </c>
      <c r="G18" s="90" t="s">
        <v>15</v>
      </c>
      <c r="H18" s="143" t="s">
        <v>21</v>
      </c>
    </row>
    <row r="19" spans="2:8" x14ac:dyDescent="0.25">
      <c r="B19" s="98">
        <v>15</v>
      </c>
      <c r="C19" s="81" t="s">
        <v>82</v>
      </c>
      <c r="D19" s="84" t="s">
        <v>12</v>
      </c>
      <c r="E19" s="118">
        <v>20357650</v>
      </c>
      <c r="F19" s="99">
        <f>2023-1962</f>
        <v>61</v>
      </c>
      <c r="G19" s="90" t="s">
        <v>15</v>
      </c>
      <c r="H19" s="84" t="s">
        <v>14</v>
      </c>
    </row>
    <row r="20" spans="2:8" x14ac:dyDescent="0.25">
      <c r="B20" s="98">
        <v>16</v>
      </c>
      <c r="C20" s="81" t="s">
        <v>84</v>
      </c>
      <c r="D20" s="82" t="s">
        <v>12</v>
      </c>
      <c r="E20" s="83">
        <v>178772</v>
      </c>
      <c r="F20" s="97">
        <f>2024-1956</f>
        <v>68</v>
      </c>
      <c r="G20" s="90" t="s">
        <v>15</v>
      </c>
      <c r="H20" s="82" t="s">
        <v>14</v>
      </c>
    </row>
    <row r="21" spans="2:8" ht="15.75" thickBot="1" x14ac:dyDescent="0.3">
      <c r="B21" s="98">
        <v>17</v>
      </c>
      <c r="C21" s="86" t="s">
        <v>86</v>
      </c>
      <c r="D21" s="108" t="s">
        <v>12</v>
      </c>
      <c r="E21" s="109">
        <v>1072960803</v>
      </c>
      <c r="F21" s="110">
        <f>2024-1989</f>
        <v>35</v>
      </c>
      <c r="G21" s="91" t="s">
        <v>15</v>
      </c>
      <c r="H21" s="108" t="s">
        <v>14</v>
      </c>
    </row>
    <row r="22" spans="2:8" x14ac:dyDescent="0.25">
      <c r="B22" s="98">
        <v>18</v>
      </c>
      <c r="C22" s="127" t="s">
        <v>149</v>
      </c>
      <c r="D22" s="84" t="s">
        <v>12</v>
      </c>
      <c r="E22" s="85">
        <v>20871593</v>
      </c>
      <c r="F22" s="99"/>
      <c r="G22" s="128" t="s">
        <v>148</v>
      </c>
      <c r="H22" s="84" t="s">
        <v>21</v>
      </c>
    </row>
    <row r="23" spans="2:8" x14ac:dyDescent="0.25">
      <c r="B23" s="98">
        <v>19</v>
      </c>
      <c r="C23" s="127" t="s">
        <v>150</v>
      </c>
      <c r="D23" s="82" t="s">
        <v>12</v>
      </c>
      <c r="E23" s="83">
        <v>1073628129</v>
      </c>
      <c r="F23" s="97">
        <f>2023-1986</f>
        <v>37</v>
      </c>
      <c r="G23" s="128" t="s">
        <v>148</v>
      </c>
      <c r="H23" s="82" t="s">
        <v>21</v>
      </c>
    </row>
    <row r="24" spans="2:8" x14ac:dyDescent="0.25">
      <c r="B24" s="98">
        <v>20</v>
      </c>
      <c r="C24" s="127" t="s">
        <v>194</v>
      </c>
      <c r="D24" s="84" t="s">
        <v>12</v>
      </c>
      <c r="E24" s="85">
        <v>1003658868</v>
      </c>
      <c r="F24" s="99">
        <v>21</v>
      </c>
      <c r="G24" s="129" t="s">
        <v>148</v>
      </c>
      <c r="H24" s="84" t="s">
        <v>88</v>
      </c>
    </row>
    <row r="25" spans="2:8" x14ac:dyDescent="0.25">
      <c r="B25" s="98">
        <v>21</v>
      </c>
      <c r="C25" s="81" t="s">
        <v>196</v>
      </c>
      <c r="D25" s="84" t="s">
        <v>12</v>
      </c>
      <c r="E25" s="85">
        <v>20357616</v>
      </c>
      <c r="F25" s="99">
        <v>62</v>
      </c>
      <c r="G25" s="90" t="s">
        <v>15</v>
      </c>
      <c r="H25" s="84" t="s">
        <v>14</v>
      </c>
    </row>
  </sheetData>
  <conditionalFormatting sqref="E4:E21">
    <cfRule type="duplicateValues" dxfId="14" priority="195"/>
  </conditionalFormatting>
  <conditionalFormatting sqref="C3:C25">
    <cfRule type="duplicateValues" dxfId="13" priority="213"/>
  </conditionalFormatting>
  <conditionalFormatting sqref="E3:E25">
    <cfRule type="duplicateValues" dxfId="12" priority="214"/>
  </conditionalFormatting>
  <conditionalFormatting sqref="E4:E25">
    <cfRule type="duplicateValues" dxfId="11" priority="215"/>
  </conditionalFormatting>
  <conditionalFormatting sqref="C4:C25">
    <cfRule type="duplicateValues" dxfId="10" priority="216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8977-5FB2-4AE9-B405-4A058788EC73}">
  <dimension ref="B3:H78"/>
  <sheetViews>
    <sheetView workbookViewId="0">
      <selection activeCell="J13" sqref="J13"/>
    </sheetView>
  </sheetViews>
  <sheetFormatPr baseColWidth="10" defaultRowHeight="15" x14ac:dyDescent="0.25"/>
  <cols>
    <col min="2" max="2" width="4" bestFit="1" customWidth="1"/>
    <col min="3" max="3" width="34.42578125" bestFit="1" customWidth="1"/>
    <col min="5" max="5" width="12.7109375" bestFit="1" customWidth="1"/>
  </cols>
  <sheetData>
    <row r="3" spans="2:8" x14ac:dyDescent="0.25">
      <c r="B3" s="92" t="s">
        <v>0</v>
      </c>
      <c r="C3" s="93" t="s">
        <v>1</v>
      </c>
      <c r="D3" s="93" t="s">
        <v>2</v>
      </c>
      <c r="E3" s="94" t="s">
        <v>3</v>
      </c>
      <c r="F3" s="95" t="s">
        <v>64</v>
      </c>
      <c r="G3" s="93" t="s">
        <v>6</v>
      </c>
      <c r="H3" s="93" t="s">
        <v>11</v>
      </c>
    </row>
    <row r="4" spans="2:8" x14ac:dyDescent="0.25">
      <c r="B4" s="98">
        <v>1</v>
      </c>
      <c r="C4" s="101" t="s">
        <v>29</v>
      </c>
      <c r="D4" s="84" t="s">
        <v>12</v>
      </c>
      <c r="E4" s="85">
        <v>11451911</v>
      </c>
      <c r="F4" s="99">
        <v>40</v>
      </c>
      <c r="G4" s="102" t="s">
        <v>13</v>
      </c>
      <c r="H4" s="84" t="s">
        <v>14</v>
      </c>
    </row>
    <row r="5" spans="2:8" x14ac:dyDescent="0.25">
      <c r="B5" s="98">
        <v>2</v>
      </c>
      <c r="C5" s="101" t="s">
        <v>30</v>
      </c>
      <c r="D5" s="82" t="s">
        <v>12</v>
      </c>
      <c r="E5" s="83">
        <v>1019035371</v>
      </c>
      <c r="F5" s="97">
        <v>35</v>
      </c>
      <c r="G5" s="102" t="s">
        <v>13</v>
      </c>
      <c r="H5" s="82" t="s">
        <v>14</v>
      </c>
    </row>
    <row r="6" spans="2:8" ht="15.75" thickBot="1" x14ac:dyDescent="0.3">
      <c r="B6" s="98">
        <v>3</v>
      </c>
      <c r="C6" s="107" t="s">
        <v>31</v>
      </c>
      <c r="D6" s="108" t="s">
        <v>32</v>
      </c>
      <c r="E6" s="109">
        <v>1073629313</v>
      </c>
      <c r="F6" s="110">
        <v>13</v>
      </c>
      <c r="G6" s="111" t="s">
        <v>13</v>
      </c>
      <c r="H6" s="108" t="s">
        <v>14</v>
      </c>
    </row>
    <row r="7" spans="2:8" x14ac:dyDescent="0.25">
      <c r="B7" s="98">
        <v>4</v>
      </c>
      <c r="C7" s="101" t="s">
        <v>73</v>
      </c>
      <c r="D7" s="84" t="s">
        <v>12</v>
      </c>
      <c r="E7" s="85">
        <v>19194477</v>
      </c>
      <c r="F7" s="99" t="s">
        <v>75</v>
      </c>
      <c r="G7" s="102" t="s">
        <v>13</v>
      </c>
      <c r="H7" s="84" t="s">
        <v>14</v>
      </c>
    </row>
    <row r="8" spans="2:8" x14ac:dyDescent="0.25">
      <c r="B8" s="98">
        <v>5</v>
      </c>
      <c r="C8" s="101" t="s">
        <v>74</v>
      </c>
      <c r="D8" s="82" t="s">
        <v>12</v>
      </c>
      <c r="E8" s="83">
        <v>41410632</v>
      </c>
      <c r="F8" s="97" t="s">
        <v>76</v>
      </c>
      <c r="G8" s="102" t="s">
        <v>13</v>
      </c>
      <c r="H8" s="82" t="s">
        <v>14</v>
      </c>
    </row>
    <row r="9" spans="2:8" x14ac:dyDescent="0.25">
      <c r="B9" s="98">
        <v>6</v>
      </c>
      <c r="C9" s="101" t="s">
        <v>35</v>
      </c>
      <c r="D9" s="84"/>
      <c r="E9" s="118"/>
      <c r="F9" s="99" t="s">
        <v>169</v>
      </c>
      <c r="G9" s="102" t="s">
        <v>13</v>
      </c>
      <c r="H9" s="84" t="s">
        <v>88</v>
      </c>
    </row>
    <row r="10" spans="2:8" x14ac:dyDescent="0.25">
      <c r="B10" s="98">
        <v>7</v>
      </c>
      <c r="C10" s="101" t="s">
        <v>43</v>
      </c>
      <c r="D10" s="84" t="s">
        <v>12</v>
      </c>
      <c r="E10" s="85">
        <v>1015478891</v>
      </c>
      <c r="F10" s="99">
        <v>25</v>
      </c>
      <c r="G10" s="102" t="s">
        <v>13</v>
      </c>
      <c r="H10" s="138" t="s">
        <v>21</v>
      </c>
    </row>
    <row r="11" spans="2:8" x14ac:dyDescent="0.25">
      <c r="B11" s="98">
        <v>8</v>
      </c>
      <c r="C11" s="101" t="s">
        <v>44</v>
      </c>
      <c r="D11" s="158" t="s">
        <v>37</v>
      </c>
      <c r="E11" s="159">
        <v>1023037329</v>
      </c>
      <c r="F11" s="160">
        <v>6</v>
      </c>
      <c r="G11" s="102" t="s">
        <v>13</v>
      </c>
      <c r="H11" s="138" t="s">
        <v>21</v>
      </c>
    </row>
    <row r="12" spans="2:8" x14ac:dyDescent="0.25">
      <c r="B12" s="98">
        <v>9</v>
      </c>
      <c r="C12" s="101" t="s">
        <v>142</v>
      </c>
      <c r="D12" s="84" t="s">
        <v>12</v>
      </c>
      <c r="E12" s="85">
        <v>1072962282</v>
      </c>
      <c r="F12" s="99">
        <f>2023-1993</f>
        <v>30</v>
      </c>
      <c r="G12" s="102" t="s">
        <v>13</v>
      </c>
      <c r="H12" s="138" t="s">
        <v>21</v>
      </c>
    </row>
    <row r="13" spans="2:8" x14ac:dyDescent="0.25">
      <c r="B13" s="98">
        <v>10</v>
      </c>
      <c r="C13" s="101" t="s">
        <v>154</v>
      </c>
      <c r="D13" s="82" t="s">
        <v>12</v>
      </c>
      <c r="E13" s="83">
        <v>20872142</v>
      </c>
      <c r="F13" s="97">
        <v>43</v>
      </c>
      <c r="G13" s="102" t="s">
        <v>13</v>
      </c>
      <c r="H13" s="138" t="s">
        <v>21</v>
      </c>
    </row>
    <row r="14" spans="2:8" x14ac:dyDescent="0.25">
      <c r="B14" s="98">
        <v>11</v>
      </c>
      <c r="C14" s="101" t="s">
        <v>45</v>
      </c>
      <c r="D14" s="84" t="s">
        <v>12</v>
      </c>
      <c r="E14" s="85">
        <v>4137931</v>
      </c>
      <c r="F14" s="99">
        <f>2023-1977</f>
        <v>46</v>
      </c>
      <c r="G14" s="102" t="s">
        <v>13</v>
      </c>
      <c r="H14" s="138" t="s">
        <v>21</v>
      </c>
    </row>
    <row r="15" spans="2:8" x14ac:dyDescent="0.25">
      <c r="B15" s="98">
        <v>12</v>
      </c>
      <c r="C15" s="101" t="s">
        <v>58</v>
      </c>
      <c r="D15" s="82" t="s">
        <v>12</v>
      </c>
      <c r="E15" s="83">
        <v>35511678</v>
      </c>
      <c r="F15" s="97">
        <f>2023-1968</f>
        <v>55</v>
      </c>
      <c r="G15" s="102" t="s">
        <v>13</v>
      </c>
      <c r="H15" s="82" t="s">
        <v>21</v>
      </c>
    </row>
    <row r="16" spans="2:8" x14ac:dyDescent="0.25">
      <c r="B16" s="98">
        <v>13</v>
      </c>
      <c r="C16" s="101" t="s">
        <v>59</v>
      </c>
      <c r="D16" s="84" t="s">
        <v>12</v>
      </c>
      <c r="E16" s="85">
        <v>1073629922</v>
      </c>
      <c r="F16" s="99">
        <f>2023-1995</f>
        <v>28</v>
      </c>
      <c r="G16" s="102" t="s">
        <v>13</v>
      </c>
      <c r="H16" s="84" t="s">
        <v>21</v>
      </c>
    </row>
    <row r="17" spans="2:8" x14ac:dyDescent="0.25">
      <c r="B17" s="98">
        <v>14</v>
      </c>
      <c r="C17" s="101" t="s">
        <v>95</v>
      </c>
      <c r="D17" s="82" t="s">
        <v>12</v>
      </c>
      <c r="E17" s="83">
        <v>1010219257</v>
      </c>
      <c r="F17" s="97">
        <v>29</v>
      </c>
      <c r="G17" s="102" t="s">
        <v>13</v>
      </c>
      <c r="H17" s="82" t="s">
        <v>14</v>
      </c>
    </row>
    <row r="18" spans="2:8" x14ac:dyDescent="0.25">
      <c r="B18" s="98">
        <v>15</v>
      </c>
      <c r="C18" s="120" t="s">
        <v>101</v>
      </c>
      <c r="D18" s="84" t="s">
        <v>12</v>
      </c>
      <c r="E18" s="85">
        <v>20871590</v>
      </c>
      <c r="F18" s="99">
        <f>2023-1969</f>
        <v>54</v>
      </c>
      <c r="G18" s="102" t="s">
        <v>13</v>
      </c>
      <c r="H18" s="84" t="s">
        <v>102</v>
      </c>
    </row>
    <row r="19" spans="2:8" x14ac:dyDescent="0.25">
      <c r="B19" s="98">
        <v>16</v>
      </c>
      <c r="C19" s="101" t="s">
        <v>103</v>
      </c>
      <c r="D19" s="82" t="s">
        <v>12</v>
      </c>
      <c r="E19" s="122">
        <v>65739648</v>
      </c>
      <c r="F19" s="97">
        <f>2023-1967</f>
        <v>56</v>
      </c>
      <c r="G19" s="102" t="s">
        <v>13</v>
      </c>
      <c r="H19" s="82" t="s">
        <v>102</v>
      </c>
    </row>
    <row r="20" spans="2:8" x14ac:dyDescent="0.25">
      <c r="B20" s="98">
        <v>17</v>
      </c>
      <c r="C20" s="101" t="s">
        <v>229</v>
      </c>
      <c r="D20" s="84" t="s">
        <v>12</v>
      </c>
      <c r="E20" s="121"/>
      <c r="F20" s="99"/>
      <c r="G20" s="102" t="s">
        <v>13</v>
      </c>
      <c r="H20" s="84" t="s">
        <v>102</v>
      </c>
    </row>
    <row r="21" spans="2:8" x14ac:dyDescent="0.25">
      <c r="B21" s="98">
        <v>18</v>
      </c>
      <c r="C21" s="101" t="s">
        <v>187</v>
      </c>
      <c r="D21" s="82" t="s">
        <v>12</v>
      </c>
      <c r="E21" s="122">
        <v>20869989</v>
      </c>
      <c r="F21" s="97">
        <f>2024-1938</f>
        <v>86</v>
      </c>
      <c r="G21" s="102" t="s">
        <v>13</v>
      </c>
      <c r="H21" s="82" t="s">
        <v>102</v>
      </c>
    </row>
    <row r="22" spans="2:8" x14ac:dyDescent="0.25">
      <c r="B22" s="98">
        <v>19</v>
      </c>
      <c r="C22" s="101" t="s">
        <v>104</v>
      </c>
      <c r="D22" s="84" t="s">
        <v>12</v>
      </c>
      <c r="E22" s="124">
        <v>39561291</v>
      </c>
      <c r="F22" s="99">
        <f>2024-1966</f>
        <v>58</v>
      </c>
      <c r="G22" s="102" t="s">
        <v>13</v>
      </c>
      <c r="H22" s="84" t="s">
        <v>102</v>
      </c>
    </row>
    <row r="23" spans="2:8" x14ac:dyDescent="0.25">
      <c r="B23" s="98">
        <v>20</v>
      </c>
      <c r="C23" s="101" t="s">
        <v>105</v>
      </c>
      <c r="D23" s="82" t="s">
        <v>12</v>
      </c>
      <c r="E23" s="122">
        <v>41331947</v>
      </c>
      <c r="F23" s="97">
        <f>2023-1943</f>
        <v>80</v>
      </c>
      <c r="G23" s="102" t="s">
        <v>13</v>
      </c>
      <c r="H23" s="82" t="s">
        <v>102</v>
      </c>
    </row>
    <row r="24" spans="2:8" x14ac:dyDescent="0.25">
      <c r="B24" s="98">
        <v>21</v>
      </c>
      <c r="C24" s="101" t="s">
        <v>106</v>
      </c>
      <c r="D24" s="84" t="s">
        <v>12</v>
      </c>
      <c r="E24" s="121">
        <v>27971839</v>
      </c>
      <c r="F24" s="99">
        <f>2024-1942</f>
        <v>82</v>
      </c>
      <c r="G24" s="102" t="s">
        <v>13</v>
      </c>
      <c r="H24" s="84" t="s">
        <v>102</v>
      </c>
    </row>
    <row r="25" spans="2:8" x14ac:dyDescent="0.25">
      <c r="B25" s="98">
        <v>22</v>
      </c>
      <c r="C25" s="101" t="s">
        <v>107</v>
      </c>
      <c r="D25" s="82" t="s">
        <v>12</v>
      </c>
      <c r="E25" s="122">
        <v>20278409</v>
      </c>
      <c r="F25" s="97">
        <f>2023-1936</f>
        <v>87</v>
      </c>
      <c r="G25" s="102" t="s">
        <v>13</v>
      </c>
      <c r="H25" s="82" t="s">
        <v>102</v>
      </c>
    </row>
    <row r="26" spans="2:8" x14ac:dyDescent="0.25">
      <c r="B26" s="98">
        <v>23</v>
      </c>
      <c r="C26" s="101" t="s">
        <v>108</v>
      </c>
      <c r="D26" s="84" t="s">
        <v>12</v>
      </c>
      <c r="E26" s="121">
        <v>20871360</v>
      </c>
      <c r="F26" s="99">
        <f>2024-1964</f>
        <v>60</v>
      </c>
      <c r="G26" s="102" t="s">
        <v>13</v>
      </c>
      <c r="H26" s="84" t="s">
        <v>102</v>
      </c>
    </row>
    <row r="27" spans="2:8" x14ac:dyDescent="0.25">
      <c r="B27" s="98">
        <v>24</v>
      </c>
      <c r="C27" s="101" t="s">
        <v>109</v>
      </c>
      <c r="D27" s="82" t="s">
        <v>12</v>
      </c>
      <c r="E27" s="123">
        <v>41432259</v>
      </c>
      <c r="F27" s="97">
        <f>2024-1949</f>
        <v>75</v>
      </c>
      <c r="G27" s="102" t="s">
        <v>13</v>
      </c>
      <c r="H27" s="82" t="s">
        <v>102</v>
      </c>
    </row>
    <row r="28" spans="2:8" x14ac:dyDescent="0.25">
      <c r="B28" s="98">
        <v>25</v>
      </c>
      <c r="C28" s="120" t="s">
        <v>110</v>
      </c>
      <c r="D28" s="84" t="s">
        <v>12</v>
      </c>
      <c r="E28" s="121">
        <v>10248545</v>
      </c>
      <c r="F28" s="99">
        <f>2023-1958</f>
        <v>65</v>
      </c>
      <c r="G28" s="102" t="s">
        <v>13</v>
      </c>
      <c r="H28" s="84" t="s">
        <v>102</v>
      </c>
    </row>
    <row r="29" spans="2:8" x14ac:dyDescent="0.25">
      <c r="B29" s="98">
        <v>26</v>
      </c>
      <c r="C29" s="101" t="s">
        <v>137</v>
      </c>
      <c r="D29" s="82" t="s">
        <v>12</v>
      </c>
      <c r="E29" s="122">
        <v>20614682</v>
      </c>
      <c r="F29" s="97">
        <f>2024-1945</f>
        <v>79</v>
      </c>
      <c r="G29" s="102" t="s">
        <v>13</v>
      </c>
      <c r="H29" s="82" t="s">
        <v>102</v>
      </c>
    </row>
    <row r="30" spans="2:8" x14ac:dyDescent="0.25">
      <c r="B30" s="98">
        <v>27</v>
      </c>
      <c r="C30" s="101" t="s">
        <v>111</v>
      </c>
      <c r="D30" s="84" t="s">
        <v>12</v>
      </c>
      <c r="E30" s="121">
        <v>20871799</v>
      </c>
      <c r="F30" s="99">
        <f>2023-1962</f>
        <v>61</v>
      </c>
      <c r="G30" s="102" t="s">
        <v>13</v>
      </c>
      <c r="H30" s="84" t="s">
        <v>102</v>
      </c>
    </row>
    <row r="31" spans="2:8" x14ac:dyDescent="0.25">
      <c r="B31" s="98">
        <v>28</v>
      </c>
      <c r="C31" s="101" t="s">
        <v>112</v>
      </c>
      <c r="D31" s="82" t="s">
        <v>12</v>
      </c>
      <c r="E31" s="122">
        <v>1030645467</v>
      </c>
      <c r="F31" s="97">
        <f>2023-1994</f>
        <v>29</v>
      </c>
      <c r="G31" s="102" t="s">
        <v>13</v>
      </c>
      <c r="H31" s="82" t="s">
        <v>102</v>
      </c>
    </row>
    <row r="32" spans="2:8" x14ac:dyDescent="0.25">
      <c r="B32" s="98">
        <v>29</v>
      </c>
      <c r="C32" s="101" t="s">
        <v>113</v>
      </c>
      <c r="D32" s="84" t="s">
        <v>32</v>
      </c>
      <c r="E32" s="121">
        <v>1188215947</v>
      </c>
      <c r="F32" s="99">
        <f>2023-2011</f>
        <v>12</v>
      </c>
      <c r="G32" s="102" t="s">
        <v>13</v>
      </c>
      <c r="H32" s="84" t="s">
        <v>102</v>
      </c>
    </row>
    <row r="33" spans="2:8" x14ac:dyDescent="0.25">
      <c r="B33" s="98">
        <v>30</v>
      </c>
      <c r="C33" s="101" t="s">
        <v>114</v>
      </c>
      <c r="D33" s="82" t="s">
        <v>12</v>
      </c>
      <c r="E33" s="123">
        <v>1030554290</v>
      </c>
      <c r="F33" s="97">
        <f>2024-1989</f>
        <v>35</v>
      </c>
      <c r="G33" s="102" t="s">
        <v>13</v>
      </c>
      <c r="H33" s="82" t="s">
        <v>102</v>
      </c>
    </row>
    <row r="34" spans="2:8" x14ac:dyDescent="0.25">
      <c r="B34" s="98">
        <v>31</v>
      </c>
      <c r="C34" s="101" t="s">
        <v>115</v>
      </c>
      <c r="D34" s="84" t="s">
        <v>32</v>
      </c>
      <c r="E34" s="124">
        <v>1023410143</v>
      </c>
      <c r="F34" s="99">
        <f>2023-2016</f>
        <v>7</v>
      </c>
      <c r="G34" s="102" t="s">
        <v>13</v>
      </c>
      <c r="H34" s="84" t="s">
        <v>102</v>
      </c>
    </row>
    <row r="35" spans="2:8" x14ac:dyDescent="0.25">
      <c r="B35" s="98">
        <v>32</v>
      </c>
      <c r="C35" s="101" t="s">
        <v>116</v>
      </c>
      <c r="D35" s="82" t="s">
        <v>12</v>
      </c>
      <c r="E35" s="122">
        <v>6333891</v>
      </c>
      <c r="F35" s="97">
        <f>2023-1985</f>
        <v>38</v>
      </c>
      <c r="G35" s="102" t="s">
        <v>13</v>
      </c>
      <c r="H35" s="82" t="s">
        <v>102</v>
      </c>
    </row>
    <row r="36" spans="2:8" x14ac:dyDescent="0.25">
      <c r="B36" s="98">
        <v>33</v>
      </c>
      <c r="C36" s="120" t="s">
        <v>117</v>
      </c>
      <c r="D36" s="84" t="s">
        <v>12</v>
      </c>
      <c r="E36" s="121">
        <v>20872348</v>
      </c>
      <c r="F36" s="99">
        <f>2024-1985</f>
        <v>39</v>
      </c>
      <c r="G36" s="102" t="s">
        <v>13</v>
      </c>
      <c r="H36" s="84" t="s">
        <v>102</v>
      </c>
    </row>
    <row r="37" spans="2:8" x14ac:dyDescent="0.25">
      <c r="B37" s="98">
        <v>34</v>
      </c>
      <c r="C37" s="120" t="s">
        <v>181</v>
      </c>
      <c r="D37" s="82" t="s">
        <v>32</v>
      </c>
      <c r="E37" s="122">
        <v>1030593363</v>
      </c>
      <c r="F37" s="97">
        <f>2023-2009</f>
        <v>14</v>
      </c>
      <c r="G37" s="102" t="s">
        <v>13</v>
      </c>
      <c r="H37" s="82" t="s">
        <v>102</v>
      </c>
    </row>
    <row r="38" spans="2:8" x14ac:dyDescent="0.25">
      <c r="B38" s="98">
        <v>35</v>
      </c>
      <c r="C38" s="101" t="s">
        <v>118</v>
      </c>
      <c r="D38" s="84" t="s">
        <v>12</v>
      </c>
      <c r="E38" s="121">
        <v>20871480</v>
      </c>
      <c r="F38" s="99">
        <f>2024-1968</f>
        <v>56</v>
      </c>
      <c r="G38" s="102" t="s">
        <v>13</v>
      </c>
      <c r="H38" s="84" t="s">
        <v>102</v>
      </c>
    </row>
    <row r="39" spans="2:8" x14ac:dyDescent="0.25">
      <c r="B39" s="98">
        <v>36</v>
      </c>
      <c r="C39" s="101" t="s">
        <v>119</v>
      </c>
      <c r="D39" s="82" t="s">
        <v>12</v>
      </c>
      <c r="E39" s="122">
        <v>28626506</v>
      </c>
      <c r="F39" s="97">
        <f>2024-1940</f>
        <v>84</v>
      </c>
      <c r="G39" s="102" t="s">
        <v>13</v>
      </c>
      <c r="H39" s="82" t="s">
        <v>102</v>
      </c>
    </row>
    <row r="40" spans="2:8" x14ac:dyDescent="0.25">
      <c r="B40" s="98">
        <v>37</v>
      </c>
      <c r="C40" s="101" t="s">
        <v>120</v>
      </c>
      <c r="D40" s="84" t="s">
        <v>32</v>
      </c>
      <c r="E40" s="121">
        <v>1073629444</v>
      </c>
      <c r="F40" s="99">
        <f>2024-2011</f>
        <v>13</v>
      </c>
      <c r="G40" s="102" t="s">
        <v>13</v>
      </c>
      <c r="H40" s="84" t="s">
        <v>102</v>
      </c>
    </row>
    <row r="41" spans="2:8" x14ac:dyDescent="0.25">
      <c r="B41" s="98">
        <v>38</v>
      </c>
      <c r="C41" s="101" t="s">
        <v>121</v>
      </c>
      <c r="D41" s="82" t="s">
        <v>12</v>
      </c>
      <c r="E41" s="122">
        <v>11451728</v>
      </c>
      <c r="F41" s="97">
        <f>2023-1981</f>
        <v>42</v>
      </c>
      <c r="G41" s="102" t="s">
        <v>13</v>
      </c>
      <c r="H41" s="82" t="s">
        <v>102</v>
      </c>
    </row>
    <row r="42" spans="2:8" x14ac:dyDescent="0.25">
      <c r="B42" s="98">
        <v>39</v>
      </c>
      <c r="C42" s="101" t="s">
        <v>122</v>
      </c>
      <c r="D42" s="84" t="s">
        <v>12</v>
      </c>
      <c r="E42" s="121">
        <v>20872366</v>
      </c>
      <c r="F42" s="99">
        <f>2023-1985</f>
        <v>38</v>
      </c>
      <c r="G42" s="102" t="s">
        <v>13</v>
      </c>
      <c r="H42" s="84" t="s">
        <v>102</v>
      </c>
    </row>
    <row r="43" spans="2:8" x14ac:dyDescent="0.25">
      <c r="B43" s="98">
        <v>40</v>
      </c>
      <c r="C43" s="101" t="s">
        <v>124</v>
      </c>
      <c r="D43" s="82" t="s">
        <v>12</v>
      </c>
      <c r="E43" s="122">
        <v>51651341</v>
      </c>
      <c r="F43" s="97">
        <f>2024-1961</f>
        <v>63</v>
      </c>
      <c r="G43" s="102" t="s">
        <v>13</v>
      </c>
      <c r="H43" s="82" t="s">
        <v>102</v>
      </c>
    </row>
    <row r="44" spans="2:8" x14ac:dyDescent="0.25">
      <c r="B44" s="98">
        <v>41</v>
      </c>
      <c r="C44" s="101" t="s">
        <v>125</v>
      </c>
      <c r="D44" s="84" t="s">
        <v>12</v>
      </c>
      <c r="E44" s="124">
        <v>51954742</v>
      </c>
      <c r="F44" s="99">
        <f>2023-1969</f>
        <v>54</v>
      </c>
      <c r="G44" s="102" t="s">
        <v>13</v>
      </c>
      <c r="H44" s="84" t="s">
        <v>102</v>
      </c>
    </row>
    <row r="45" spans="2:8" x14ac:dyDescent="0.25">
      <c r="B45" s="98">
        <v>42</v>
      </c>
      <c r="C45" s="120" t="s">
        <v>126</v>
      </c>
      <c r="D45" s="82" t="s">
        <v>12</v>
      </c>
      <c r="E45" s="122">
        <v>39558486</v>
      </c>
      <c r="F45" s="97">
        <f>2024-1965</f>
        <v>59</v>
      </c>
      <c r="G45" s="102" t="s">
        <v>13</v>
      </c>
      <c r="H45" s="82" t="s">
        <v>102</v>
      </c>
    </row>
    <row r="46" spans="2:8" x14ac:dyDescent="0.25">
      <c r="B46" s="98">
        <v>43</v>
      </c>
      <c r="C46" s="101" t="s">
        <v>127</v>
      </c>
      <c r="D46" s="84" t="s">
        <v>12</v>
      </c>
      <c r="E46" s="121">
        <v>41727190</v>
      </c>
      <c r="F46" s="99">
        <f>2024-1958</f>
        <v>66</v>
      </c>
      <c r="G46" s="102" t="s">
        <v>13</v>
      </c>
      <c r="H46" s="84" t="s">
        <v>102</v>
      </c>
    </row>
    <row r="47" spans="2:8" x14ac:dyDescent="0.25">
      <c r="B47" s="98">
        <v>44</v>
      </c>
      <c r="C47" s="101" t="s">
        <v>204</v>
      </c>
      <c r="D47" s="82" t="s">
        <v>12</v>
      </c>
      <c r="E47" s="122">
        <v>20617525</v>
      </c>
      <c r="F47" s="97">
        <f>2023-1951</f>
        <v>72</v>
      </c>
      <c r="G47" s="102" t="s">
        <v>13</v>
      </c>
      <c r="H47" s="82" t="s">
        <v>102</v>
      </c>
    </row>
    <row r="48" spans="2:8" x14ac:dyDescent="0.25">
      <c r="B48" s="98">
        <v>45</v>
      </c>
      <c r="C48" s="120" t="s">
        <v>128</v>
      </c>
      <c r="D48" s="84" t="s">
        <v>12</v>
      </c>
      <c r="E48" s="121">
        <v>43043664</v>
      </c>
      <c r="F48" s="99">
        <f>2024-1963</f>
        <v>61</v>
      </c>
      <c r="G48" s="102" t="s">
        <v>13</v>
      </c>
      <c r="H48" s="84" t="s">
        <v>102</v>
      </c>
    </row>
    <row r="49" spans="2:8" x14ac:dyDescent="0.25">
      <c r="B49" s="98">
        <v>46</v>
      </c>
      <c r="C49" s="101" t="s">
        <v>129</v>
      </c>
      <c r="D49" s="82" t="s">
        <v>12</v>
      </c>
      <c r="E49" s="122">
        <v>41600310</v>
      </c>
      <c r="F49" s="97">
        <v>72</v>
      </c>
      <c r="G49" s="102" t="s">
        <v>13</v>
      </c>
      <c r="H49" s="82" t="s">
        <v>102</v>
      </c>
    </row>
    <row r="50" spans="2:8" x14ac:dyDescent="0.25">
      <c r="B50" s="98">
        <v>47</v>
      </c>
      <c r="C50" s="101" t="s">
        <v>130</v>
      </c>
      <c r="D50" s="84" t="s">
        <v>12</v>
      </c>
      <c r="E50" s="121">
        <v>14248202</v>
      </c>
      <c r="F50" s="99">
        <v>78</v>
      </c>
      <c r="G50" s="102" t="s">
        <v>13</v>
      </c>
      <c r="H50" s="84" t="s">
        <v>102</v>
      </c>
    </row>
    <row r="51" spans="2:8" x14ac:dyDescent="0.25">
      <c r="B51" s="98">
        <v>48</v>
      </c>
      <c r="C51" s="101" t="s">
        <v>131</v>
      </c>
      <c r="D51" s="82" t="s">
        <v>12</v>
      </c>
      <c r="E51" s="122">
        <v>39562090</v>
      </c>
      <c r="F51" s="97"/>
      <c r="G51" s="102" t="s">
        <v>13</v>
      </c>
      <c r="H51" s="82" t="s">
        <v>102</v>
      </c>
    </row>
    <row r="52" spans="2:8" x14ac:dyDescent="0.25">
      <c r="B52" s="98">
        <v>49</v>
      </c>
      <c r="C52" s="101" t="s">
        <v>132</v>
      </c>
      <c r="D52" s="82" t="s">
        <v>12</v>
      </c>
      <c r="E52" s="122">
        <v>21017230</v>
      </c>
      <c r="F52" s="97"/>
      <c r="G52" s="102" t="s">
        <v>13</v>
      </c>
      <c r="H52" s="82" t="s">
        <v>102</v>
      </c>
    </row>
    <row r="53" spans="2:8" x14ac:dyDescent="0.25">
      <c r="B53" s="98">
        <v>50</v>
      </c>
      <c r="C53" s="101" t="s">
        <v>134</v>
      </c>
      <c r="D53" s="84" t="s">
        <v>12</v>
      </c>
      <c r="E53" s="121">
        <v>1193518169</v>
      </c>
      <c r="F53" s="99">
        <f>2023-2001</f>
        <v>22</v>
      </c>
      <c r="G53" s="102" t="s">
        <v>13</v>
      </c>
      <c r="H53" s="84" t="s">
        <v>102</v>
      </c>
    </row>
    <row r="54" spans="2:8" x14ac:dyDescent="0.25">
      <c r="B54" s="98">
        <v>51</v>
      </c>
      <c r="C54" s="120" t="s">
        <v>182</v>
      </c>
      <c r="D54" s="84" t="s">
        <v>12</v>
      </c>
      <c r="E54" s="124">
        <v>39656450</v>
      </c>
      <c r="F54" s="99">
        <f>2024-1971</f>
        <v>53</v>
      </c>
      <c r="G54" s="102" t="s">
        <v>13</v>
      </c>
      <c r="H54" s="84" t="s">
        <v>102</v>
      </c>
    </row>
    <row r="55" spans="2:8" x14ac:dyDescent="0.25">
      <c r="B55" s="98">
        <v>52</v>
      </c>
      <c r="C55" s="120" t="s">
        <v>183</v>
      </c>
      <c r="D55" s="82" t="s">
        <v>12</v>
      </c>
      <c r="E55" s="83">
        <v>19488559</v>
      </c>
      <c r="F55" s="97">
        <f>2024-1962</f>
        <v>62</v>
      </c>
      <c r="G55" s="102" t="s">
        <v>13</v>
      </c>
      <c r="H55" s="82" t="s">
        <v>102</v>
      </c>
    </row>
    <row r="56" spans="2:8" x14ac:dyDescent="0.25">
      <c r="B56" s="98">
        <v>53</v>
      </c>
      <c r="C56" s="125" t="s">
        <v>188</v>
      </c>
      <c r="D56" s="84" t="s">
        <v>12</v>
      </c>
      <c r="E56" s="85">
        <v>19442454</v>
      </c>
      <c r="F56" s="99">
        <f>2024-1960</f>
        <v>64</v>
      </c>
      <c r="G56" s="102" t="s">
        <v>13</v>
      </c>
      <c r="H56" s="84" t="s">
        <v>102</v>
      </c>
    </row>
    <row r="57" spans="2:8" x14ac:dyDescent="0.25">
      <c r="B57" s="98">
        <v>54</v>
      </c>
      <c r="C57" s="125" t="s">
        <v>189</v>
      </c>
      <c r="D57" s="82" t="s">
        <v>12</v>
      </c>
      <c r="E57" s="83">
        <v>20871909</v>
      </c>
      <c r="F57" s="97">
        <f>2023-1973</f>
        <v>50</v>
      </c>
      <c r="G57" s="102" t="s">
        <v>13</v>
      </c>
      <c r="H57" s="82" t="s">
        <v>102</v>
      </c>
    </row>
    <row r="58" spans="2:8" x14ac:dyDescent="0.25">
      <c r="B58" s="98">
        <v>55</v>
      </c>
      <c r="C58" s="125" t="s">
        <v>233</v>
      </c>
      <c r="D58" s="84" t="s">
        <v>201</v>
      </c>
      <c r="E58" s="85">
        <v>20871311</v>
      </c>
      <c r="F58" s="99">
        <f>2023-1964</f>
        <v>59</v>
      </c>
      <c r="G58" s="102" t="s">
        <v>13</v>
      </c>
      <c r="H58" s="84" t="s">
        <v>102</v>
      </c>
    </row>
    <row r="59" spans="2:8" ht="15.75" thickBot="1" x14ac:dyDescent="0.3">
      <c r="B59" s="98">
        <v>56</v>
      </c>
      <c r="C59" s="126" t="s">
        <v>190</v>
      </c>
      <c r="D59" s="87" t="s">
        <v>12</v>
      </c>
      <c r="E59" s="89">
        <v>20871462</v>
      </c>
      <c r="F59" s="100">
        <f>2023-1967</f>
        <v>56</v>
      </c>
      <c r="G59" s="111" t="s">
        <v>13</v>
      </c>
      <c r="H59" s="87" t="s">
        <v>102</v>
      </c>
    </row>
    <row r="60" spans="2:8" x14ac:dyDescent="0.25">
      <c r="B60" s="98">
        <v>57</v>
      </c>
      <c r="C60" s="101" t="s">
        <v>141</v>
      </c>
      <c r="D60" s="84" t="s">
        <v>12</v>
      </c>
      <c r="E60" s="118">
        <v>20871803</v>
      </c>
      <c r="F60" s="99">
        <v>51</v>
      </c>
      <c r="G60" s="102" t="s">
        <v>13</v>
      </c>
      <c r="H60" s="84" t="s">
        <v>14</v>
      </c>
    </row>
    <row r="61" spans="2:8" x14ac:dyDescent="0.25">
      <c r="B61" s="98">
        <v>58</v>
      </c>
      <c r="C61" s="101" t="s">
        <v>145</v>
      </c>
      <c r="D61" s="82" t="s">
        <v>12</v>
      </c>
      <c r="E61" s="83">
        <v>63455837</v>
      </c>
      <c r="F61" s="97">
        <f>2024-1970</f>
        <v>54</v>
      </c>
      <c r="G61" s="102" t="s">
        <v>13</v>
      </c>
      <c r="H61" s="82" t="s">
        <v>14</v>
      </c>
    </row>
    <row r="62" spans="2:8" x14ac:dyDescent="0.25">
      <c r="B62" s="98">
        <v>59</v>
      </c>
      <c r="C62" s="101" t="s">
        <v>146</v>
      </c>
      <c r="D62" s="84" t="s">
        <v>12</v>
      </c>
      <c r="E62" s="85">
        <v>1072970119</v>
      </c>
      <c r="F62" s="99">
        <f>2023-1985</f>
        <v>38</v>
      </c>
      <c r="G62" s="102" t="s">
        <v>13</v>
      </c>
      <c r="H62" s="84" t="s">
        <v>14</v>
      </c>
    </row>
    <row r="63" spans="2:8" x14ac:dyDescent="0.25">
      <c r="B63" s="98">
        <v>60</v>
      </c>
      <c r="C63" s="101" t="s">
        <v>147</v>
      </c>
      <c r="D63" s="82" t="s">
        <v>12</v>
      </c>
      <c r="E63" s="83">
        <v>35324024</v>
      </c>
      <c r="F63" s="97">
        <f>2024-1959</f>
        <v>65</v>
      </c>
      <c r="G63" s="102" t="s">
        <v>13</v>
      </c>
      <c r="H63" s="82" t="s">
        <v>14</v>
      </c>
    </row>
    <row r="64" spans="2:8" x14ac:dyDescent="0.25">
      <c r="B64" s="98">
        <v>61</v>
      </c>
      <c r="C64" s="101" t="s">
        <v>155</v>
      </c>
      <c r="D64" s="84" t="s">
        <v>12</v>
      </c>
      <c r="E64" s="85">
        <v>39523509</v>
      </c>
      <c r="F64" s="99">
        <v>62</v>
      </c>
      <c r="G64" s="102" t="s">
        <v>13</v>
      </c>
      <c r="H64" s="84" t="s">
        <v>158</v>
      </c>
    </row>
    <row r="65" spans="2:8" x14ac:dyDescent="0.25">
      <c r="B65" s="98">
        <v>62</v>
      </c>
      <c r="C65" s="101" t="s">
        <v>156</v>
      </c>
      <c r="D65" s="82" t="s">
        <v>12</v>
      </c>
      <c r="E65" s="83">
        <v>51914877</v>
      </c>
      <c r="F65" s="97">
        <v>56</v>
      </c>
      <c r="G65" s="102" t="s">
        <v>13</v>
      </c>
      <c r="H65" s="82" t="s">
        <v>158</v>
      </c>
    </row>
    <row r="66" spans="2:8" x14ac:dyDescent="0.25">
      <c r="B66" s="98">
        <v>63</v>
      </c>
      <c r="C66" s="101" t="s">
        <v>157</v>
      </c>
      <c r="D66" s="84" t="s">
        <v>12</v>
      </c>
      <c r="E66" s="85">
        <v>20501336</v>
      </c>
      <c r="F66" s="99">
        <v>59</v>
      </c>
      <c r="G66" s="102" t="s">
        <v>13</v>
      </c>
      <c r="H66" s="84" t="s">
        <v>158</v>
      </c>
    </row>
    <row r="67" spans="2:8" x14ac:dyDescent="0.25">
      <c r="B67" s="98">
        <v>64</v>
      </c>
      <c r="C67" s="101" t="s">
        <v>219</v>
      </c>
      <c r="D67" s="82" t="s">
        <v>12</v>
      </c>
      <c r="E67" s="83">
        <v>39612927</v>
      </c>
      <c r="F67" s="97">
        <v>62</v>
      </c>
      <c r="G67" s="102" t="s">
        <v>13</v>
      </c>
      <c r="H67" s="82" t="s">
        <v>158</v>
      </c>
    </row>
    <row r="68" spans="2:8" x14ac:dyDescent="0.25">
      <c r="B68" s="98">
        <v>65</v>
      </c>
      <c r="C68" s="101" t="s">
        <v>160</v>
      </c>
      <c r="D68" s="84" t="s">
        <v>12</v>
      </c>
      <c r="E68" s="118" t="s">
        <v>210</v>
      </c>
      <c r="F68" s="99">
        <v>74</v>
      </c>
      <c r="G68" s="102" t="s">
        <v>13</v>
      </c>
      <c r="H68" s="84" t="s">
        <v>14</v>
      </c>
    </row>
    <row r="69" spans="2:8" x14ac:dyDescent="0.25">
      <c r="B69" s="98">
        <v>66</v>
      </c>
      <c r="C69" s="101" t="s">
        <v>161</v>
      </c>
      <c r="D69" s="82" t="s">
        <v>12</v>
      </c>
      <c r="E69" s="116" t="s">
        <v>209</v>
      </c>
      <c r="F69" s="97">
        <v>71</v>
      </c>
      <c r="G69" s="102" t="s">
        <v>13</v>
      </c>
      <c r="H69" s="82" t="s">
        <v>14</v>
      </c>
    </row>
    <row r="70" spans="2:8" x14ac:dyDescent="0.25">
      <c r="B70" s="98">
        <v>67</v>
      </c>
      <c r="C70" s="101" t="s">
        <v>162</v>
      </c>
      <c r="D70" s="84" t="s">
        <v>12</v>
      </c>
      <c r="E70" s="118" t="s">
        <v>208</v>
      </c>
      <c r="F70" s="99">
        <v>47</v>
      </c>
      <c r="G70" s="102" t="s">
        <v>13</v>
      </c>
      <c r="H70" s="84" t="s">
        <v>14</v>
      </c>
    </row>
    <row r="71" spans="2:8" x14ac:dyDescent="0.25">
      <c r="B71" s="98">
        <v>68</v>
      </c>
      <c r="C71" s="101" t="s">
        <v>163</v>
      </c>
      <c r="D71" s="82" t="s">
        <v>12</v>
      </c>
      <c r="E71" s="116" t="s">
        <v>207</v>
      </c>
      <c r="F71" s="97">
        <v>49</v>
      </c>
      <c r="G71" s="102" t="s">
        <v>13</v>
      </c>
      <c r="H71" s="82" t="s">
        <v>14</v>
      </c>
    </row>
    <row r="72" spans="2:8" x14ac:dyDescent="0.25">
      <c r="B72" s="98">
        <v>69</v>
      </c>
      <c r="C72" s="101" t="s">
        <v>184</v>
      </c>
      <c r="D72" s="84" t="s">
        <v>12</v>
      </c>
      <c r="E72" s="85">
        <v>51728120</v>
      </c>
      <c r="F72" s="99">
        <v>60</v>
      </c>
      <c r="G72" s="102" t="s">
        <v>13</v>
      </c>
      <c r="H72" s="84" t="s">
        <v>14</v>
      </c>
    </row>
    <row r="73" spans="2:8" x14ac:dyDescent="0.25">
      <c r="B73" s="98">
        <v>70</v>
      </c>
      <c r="C73" s="101" t="s">
        <v>185</v>
      </c>
      <c r="D73" s="82" t="s">
        <v>12</v>
      </c>
      <c r="E73" s="83">
        <v>1010005588</v>
      </c>
      <c r="F73" s="97">
        <v>23</v>
      </c>
      <c r="G73" s="102" t="s">
        <v>13</v>
      </c>
      <c r="H73" s="82" t="s">
        <v>14</v>
      </c>
    </row>
    <row r="74" spans="2:8" x14ac:dyDescent="0.25">
      <c r="B74" s="98">
        <v>71</v>
      </c>
      <c r="C74" s="101" t="s">
        <v>186</v>
      </c>
      <c r="D74" s="84" t="s">
        <v>12</v>
      </c>
      <c r="E74" s="85">
        <v>41467849</v>
      </c>
      <c r="F74" s="99">
        <f>2023-1949</f>
        <v>74</v>
      </c>
      <c r="G74" s="102" t="s">
        <v>13</v>
      </c>
      <c r="H74" s="84" t="s">
        <v>21</v>
      </c>
    </row>
    <row r="75" spans="2:8" x14ac:dyDescent="0.25">
      <c r="B75" s="98">
        <v>72</v>
      </c>
      <c r="C75" s="101" t="s">
        <v>191</v>
      </c>
      <c r="D75" s="82" t="s">
        <v>12</v>
      </c>
      <c r="E75" s="83">
        <v>28558180</v>
      </c>
      <c r="F75" s="97">
        <v>41</v>
      </c>
      <c r="G75" s="102" t="s">
        <v>13</v>
      </c>
      <c r="H75" s="82" t="s">
        <v>14</v>
      </c>
    </row>
    <row r="76" spans="2:8" x14ac:dyDescent="0.25">
      <c r="B76" s="98">
        <v>73</v>
      </c>
      <c r="C76" s="101" t="s">
        <v>192</v>
      </c>
      <c r="D76" s="84" t="s">
        <v>12</v>
      </c>
      <c r="E76" s="85">
        <v>1077851566</v>
      </c>
      <c r="F76" s="99">
        <v>36</v>
      </c>
      <c r="G76" s="102" t="s">
        <v>13</v>
      </c>
      <c r="H76" s="84" t="s">
        <v>14</v>
      </c>
    </row>
    <row r="77" spans="2:8" x14ac:dyDescent="0.25">
      <c r="B77" s="98">
        <v>74</v>
      </c>
      <c r="C77" s="101" t="s">
        <v>193</v>
      </c>
      <c r="D77" s="82" t="s">
        <v>12</v>
      </c>
      <c r="E77" s="83">
        <v>1006119194</v>
      </c>
      <c r="F77" s="97">
        <v>23</v>
      </c>
      <c r="G77" s="102" t="s">
        <v>13</v>
      </c>
      <c r="H77" s="82" t="s">
        <v>14</v>
      </c>
    </row>
    <row r="78" spans="2:8" x14ac:dyDescent="0.25">
      <c r="B78" s="98">
        <v>75</v>
      </c>
      <c r="C78" s="101" t="s">
        <v>195</v>
      </c>
      <c r="D78" s="82" t="s">
        <v>12</v>
      </c>
      <c r="E78" s="83">
        <v>21015482</v>
      </c>
      <c r="F78" s="97">
        <v>58</v>
      </c>
      <c r="G78" s="102" t="s">
        <v>13</v>
      </c>
      <c r="H78" s="82" t="s">
        <v>14</v>
      </c>
    </row>
  </sheetData>
  <conditionalFormatting sqref="E4:E60">
    <cfRule type="duplicateValues" dxfId="9" priority="377"/>
  </conditionalFormatting>
  <conditionalFormatting sqref="C3:C78">
    <cfRule type="duplicateValues" dxfId="8" priority="379"/>
  </conditionalFormatting>
  <conditionalFormatting sqref="E3:E78">
    <cfRule type="duplicateValues" dxfId="7" priority="381"/>
  </conditionalFormatting>
  <conditionalFormatting sqref="E4:E78">
    <cfRule type="duplicateValues" dxfId="6" priority="383"/>
  </conditionalFormatting>
  <conditionalFormatting sqref="C4:C78">
    <cfRule type="duplicateValues" dxfId="5" priority="38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D251-A7ED-40B7-8936-C89C5275185F}">
  <dimension ref="B1:H45"/>
  <sheetViews>
    <sheetView topLeftCell="A28" workbookViewId="0">
      <selection activeCell="D48" sqref="D48"/>
    </sheetView>
  </sheetViews>
  <sheetFormatPr baseColWidth="10" defaultRowHeight="15" x14ac:dyDescent="0.25"/>
  <cols>
    <col min="2" max="2" width="4" bestFit="1" customWidth="1"/>
    <col min="3" max="3" width="34.42578125" bestFit="1" customWidth="1"/>
    <col min="5" max="5" width="12.7109375" bestFit="1" customWidth="1"/>
    <col min="7" max="7" width="13.85546875" bestFit="1" customWidth="1"/>
    <col min="8" max="8" width="15.28515625" bestFit="1" customWidth="1"/>
  </cols>
  <sheetData>
    <row r="1" spans="2:8" x14ac:dyDescent="0.25">
      <c r="B1" t="s">
        <v>0</v>
      </c>
      <c r="C1" t="s">
        <v>1</v>
      </c>
      <c r="D1" t="s">
        <v>2</v>
      </c>
      <c r="E1" t="s">
        <v>236</v>
      </c>
      <c r="F1" t="s">
        <v>64</v>
      </c>
      <c r="G1" t="s">
        <v>6</v>
      </c>
      <c r="H1" t="s">
        <v>237</v>
      </c>
    </row>
    <row r="2" spans="2:8" x14ac:dyDescent="0.25">
      <c r="B2" s="96">
        <v>1</v>
      </c>
      <c r="C2" s="112" t="s">
        <v>96</v>
      </c>
      <c r="D2" s="82" t="s">
        <v>12</v>
      </c>
      <c r="E2" s="83">
        <v>21014616</v>
      </c>
      <c r="F2" s="97">
        <v>62</v>
      </c>
      <c r="G2" s="113" t="s">
        <v>23</v>
      </c>
      <c r="H2" s="82" t="s">
        <v>34</v>
      </c>
    </row>
    <row r="3" spans="2:8" x14ac:dyDescent="0.25">
      <c r="B3" s="96">
        <v>2</v>
      </c>
      <c r="C3" s="112" t="s">
        <v>92</v>
      </c>
      <c r="D3" s="84" t="s">
        <v>12</v>
      </c>
      <c r="E3" s="85">
        <v>1075624814</v>
      </c>
      <c r="F3" s="99">
        <v>37</v>
      </c>
      <c r="G3" s="113" t="s">
        <v>23</v>
      </c>
      <c r="H3" s="84" t="s">
        <v>34</v>
      </c>
    </row>
    <row r="4" spans="2:8" x14ac:dyDescent="0.25">
      <c r="B4" s="96">
        <v>3</v>
      </c>
      <c r="C4" s="112" t="s">
        <v>221</v>
      </c>
      <c r="D4" s="82" t="s">
        <v>12</v>
      </c>
      <c r="E4" s="83">
        <v>1075639242</v>
      </c>
      <c r="F4" s="97">
        <v>27</v>
      </c>
      <c r="G4" s="113" t="s">
        <v>23</v>
      </c>
      <c r="H4" s="82" t="s">
        <v>34</v>
      </c>
    </row>
    <row r="5" spans="2:8" x14ac:dyDescent="0.25">
      <c r="B5" s="96">
        <v>4</v>
      </c>
      <c r="C5" s="112" t="s">
        <v>223</v>
      </c>
      <c r="D5" s="84" t="s">
        <v>37</v>
      </c>
      <c r="E5" s="85">
        <v>1075630179</v>
      </c>
      <c r="F5" s="99">
        <v>6</v>
      </c>
      <c r="G5" s="113" t="s">
        <v>23</v>
      </c>
      <c r="H5" s="84" t="s">
        <v>34</v>
      </c>
    </row>
    <row r="6" spans="2:8" x14ac:dyDescent="0.25">
      <c r="B6" s="96">
        <v>5</v>
      </c>
      <c r="C6" s="112" t="s">
        <v>97</v>
      </c>
      <c r="D6" s="82" t="s">
        <v>12</v>
      </c>
      <c r="E6" s="83">
        <v>52530263</v>
      </c>
      <c r="F6" s="97">
        <v>25</v>
      </c>
      <c r="G6" s="113" t="s">
        <v>23</v>
      </c>
      <c r="H6" s="82" t="s">
        <v>34</v>
      </c>
    </row>
    <row r="7" spans="2:8" x14ac:dyDescent="0.25">
      <c r="B7" s="96">
        <v>6</v>
      </c>
      <c r="C7" s="112" t="s">
        <v>224</v>
      </c>
      <c r="D7" s="84" t="s">
        <v>12</v>
      </c>
      <c r="E7" s="85">
        <v>21013901</v>
      </c>
      <c r="F7" s="99" t="s">
        <v>225</v>
      </c>
      <c r="G7" s="113" t="s">
        <v>23</v>
      </c>
      <c r="H7" s="84" t="s">
        <v>34</v>
      </c>
    </row>
    <row r="8" spans="2:8" x14ac:dyDescent="0.25">
      <c r="B8" s="96">
        <v>7</v>
      </c>
      <c r="C8" s="112" t="s">
        <v>222</v>
      </c>
      <c r="D8" s="82" t="s">
        <v>12</v>
      </c>
      <c r="E8" s="83">
        <v>21014615</v>
      </c>
      <c r="F8" s="97" t="s">
        <v>65</v>
      </c>
      <c r="G8" s="113" t="s">
        <v>23</v>
      </c>
      <c r="H8" s="82" t="s">
        <v>34</v>
      </c>
    </row>
    <row r="9" spans="2:8" x14ac:dyDescent="0.25">
      <c r="B9" s="96">
        <v>8</v>
      </c>
      <c r="C9" s="112" t="s">
        <v>143</v>
      </c>
      <c r="D9" s="84" t="s">
        <v>32</v>
      </c>
      <c r="E9" s="85">
        <v>1075628981</v>
      </c>
      <c r="F9" s="99" t="s">
        <v>144</v>
      </c>
      <c r="G9" s="113" t="s">
        <v>23</v>
      </c>
      <c r="H9" s="84" t="s">
        <v>34</v>
      </c>
    </row>
    <row r="10" spans="2:8" ht="15.75" thickBot="1" x14ac:dyDescent="0.3">
      <c r="B10" s="96">
        <v>9</v>
      </c>
      <c r="C10" s="114" t="s">
        <v>99</v>
      </c>
      <c r="D10" s="87" t="s">
        <v>12</v>
      </c>
      <c r="E10" s="89">
        <v>3209381</v>
      </c>
      <c r="F10" s="100" t="s">
        <v>100</v>
      </c>
      <c r="G10" s="115" t="s">
        <v>23</v>
      </c>
      <c r="H10" s="87" t="s">
        <v>34</v>
      </c>
    </row>
    <row r="11" spans="2:8" x14ac:dyDescent="0.25">
      <c r="B11" s="96">
        <v>10</v>
      </c>
      <c r="C11" s="117" t="s">
        <v>151</v>
      </c>
      <c r="D11" s="82"/>
      <c r="E11" s="116"/>
      <c r="F11" s="97" t="s">
        <v>180</v>
      </c>
      <c r="G11" s="113" t="s">
        <v>23</v>
      </c>
      <c r="H11" s="82" t="s">
        <v>88</v>
      </c>
    </row>
    <row r="12" spans="2:8" x14ac:dyDescent="0.25">
      <c r="B12" s="96">
        <v>11</v>
      </c>
      <c r="C12" s="117" t="s">
        <v>36</v>
      </c>
      <c r="D12" s="84"/>
      <c r="E12" s="118"/>
      <c r="F12" s="99" t="s">
        <v>169</v>
      </c>
      <c r="G12" s="113" t="s">
        <v>23</v>
      </c>
      <c r="H12" s="84" t="s">
        <v>88</v>
      </c>
    </row>
    <row r="13" spans="2:8" x14ac:dyDescent="0.25">
      <c r="B13" s="96">
        <v>12</v>
      </c>
      <c r="C13" s="117" t="s">
        <v>42</v>
      </c>
      <c r="D13" s="82" t="s">
        <v>12</v>
      </c>
      <c r="E13" s="83">
        <v>41568536</v>
      </c>
      <c r="F13" s="97">
        <v>70</v>
      </c>
      <c r="G13" s="113" t="s">
        <v>23</v>
      </c>
      <c r="H13" s="82" t="s">
        <v>34</v>
      </c>
    </row>
    <row r="14" spans="2:8" x14ac:dyDescent="0.25">
      <c r="B14" s="96">
        <v>13</v>
      </c>
      <c r="C14" s="117" t="s">
        <v>227</v>
      </c>
      <c r="D14" s="84" t="s">
        <v>12</v>
      </c>
      <c r="E14" s="85">
        <v>65739854</v>
      </c>
      <c r="F14" s="99">
        <v>56</v>
      </c>
      <c r="G14" s="113" t="s">
        <v>23</v>
      </c>
      <c r="H14" s="84" t="s">
        <v>34</v>
      </c>
    </row>
    <row r="15" spans="2:8" x14ac:dyDescent="0.25">
      <c r="B15" s="96">
        <v>14</v>
      </c>
      <c r="C15" s="117" t="s">
        <v>218</v>
      </c>
      <c r="D15" s="82" t="s">
        <v>12</v>
      </c>
      <c r="E15" s="83">
        <v>21017918</v>
      </c>
      <c r="F15" s="97">
        <v>45</v>
      </c>
      <c r="G15" s="113" t="s">
        <v>23</v>
      </c>
      <c r="H15" s="82" t="s">
        <v>34</v>
      </c>
    </row>
    <row r="16" spans="2:8" x14ac:dyDescent="0.25">
      <c r="B16" s="96">
        <v>15</v>
      </c>
      <c r="C16" s="112" t="s">
        <v>46</v>
      </c>
      <c r="D16" s="82" t="s">
        <v>12</v>
      </c>
      <c r="E16" s="83">
        <v>21012039</v>
      </c>
      <c r="F16" s="97">
        <v>73</v>
      </c>
      <c r="G16" s="113" t="s">
        <v>23</v>
      </c>
      <c r="H16" s="82" t="s">
        <v>34</v>
      </c>
    </row>
    <row r="17" spans="2:8" x14ac:dyDescent="0.25">
      <c r="B17" s="96">
        <v>16</v>
      </c>
      <c r="C17" s="112" t="s">
        <v>48</v>
      </c>
      <c r="D17" s="84" t="s">
        <v>12</v>
      </c>
      <c r="E17" s="85">
        <v>21013371</v>
      </c>
      <c r="F17" s="99">
        <v>68</v>
      </c>
      <c r="G17" s="113" t="s">
        <v>23</v>
      </c>
      <c r="H17" s="84" t="s">
        <v>34</v>
      </c>
    </row>
    <row r="18" spans="2:8" x14ac:dyDescent="0.25">
      <c r="B18" s="96">
        <v>17</v>
      </c>
      <c r="C18" s="112" t="s">
        <v>50</v>
      </c>
      <c r="D18" s="82" t="s">
        <v>12</v>
      </c>
      <c r="E18" s="83">
        <v>21013874</v>
      </c>
      <c r="F18" s="97">
        <v>67</v>
      </c>
      <c r="G18" s="113" t="s">
        <v>23</v>
      </c>
      <c r="H18" s="82" t="s">
        <v>34</v>
      </c>
    </row>
    <row r="19" spans="2:8" x14ac:dyDescent="0.25">
      <c r="B19" s="96">
        <v>18</v>
      </c>
      <c r="C19" s="112" t="s">
        <v>51</v>
      </c>
      <c r="D19" s="84" t="s">
        <v>12</v>
      </c>
      <c r="E19" s="85">
        <v>21011498</v>
      </c>
      <c r="F19" s="99">
        <v>75</v>
      </c>
      <c r="G19" s="113" t="s">
        <v>23</v>
      </c>
      <c r="H19" s="84" t="s">
        <v>34</v>
      </c>
    </row>
    <row r="20" spans="2:8" x14ac:dyDescent="0.25">
      <c r="B20" s="96">
        <v>19</v>
      </c>
      <c r="C20" s="112" t="s">
        <v>220</v>
      </c>
      <c r="D20" s="82" t="s">
        <v>12</v>
      </c>
      <c r="E20" s="83">
        <v>21015192</v>
      </c>
      <c r="F20" s="97"/>
      <c r="G20" s="113" t="s">
        <v>23</v>
      </c>
      <c r="H20" s="82" t="s">
        <v>34</v>
      </c>
    </row>
    <row r="21" spans="2:8" x14ac:dyDescent="0.25">
      <c r="B21" s="96">
        <v>20</v>
      </c>
      <c r="C21" s="112" t="s">
        <v>55</v>
      </c>
      <c r="D21" s="84" t="s">
        <v>12</v>
      </c>
      <c r="E21" s="85">
        <v>37241037</v>
      </c>
      <c r="F21" s="99">
        <v>70</v>
      </c>
      <c r="G21" s="113" t="s">
        <v>23</v>
      </c>
      <c r="H21" s="84" t="s">
        <v>34</v>
      </c>
    </row>
    <row r="22" spans="2:8" x14ac:dyDescent="0.25">
      <c r="B22" s="96">
        <v>21</v>
      </c>
      <c r="C22" s="112" t="s">
        <v>98</v>
      </c>
      <c r="D22" s="82" t="s">
        <v>32</v>
      </c>
      <c r="E22" s="83">
        <v>1195463766</v>
      </c>
      <c r="F22" s="97">
        <v>12</v>
      </c>
      <c r="G22" s="113" t="s">
        <v>23</v>
      </c>
      <c r="H22" s="82" t="s">
        <v>34</v>
      </c>
    </row>
    <row r="23" spans="2:8" x14ac:dyDescent="0.25">
      <c r="B23" s="96">
        <v>22</v>
      </c>
      <c r="C23" s="112" t="s">
        <v>226</v>
      </c>
      <c r="D23" s="84" t="s">
        <v>12</v>
      </c>
      <c r="E23" s="85">
        <v>21018576</v>
      </c>
      <c r="F23" s="99">
        <v>41</v>
      </c>
      <c r="G23" s="113" t="s">
        <v>23</v>
      </c>
      <c r="H23" s="84" t="s">
        <v>34</v>
      </c>
    </row>
    <row r="24" spans="2:8" x14ac:dyDescent="0.25">
      <c r="B24" s="96">
        <v>23</v>
      </c>
      <c r="C24" s="117" t="s">
        <v>66</v>
      </c>
      <c r="D24" s="82" t="s">
        <v>12</v>
      </c>
      <c r="E24" s="83">
        <v>21018743</v>
      </c>
      <c r="F24" s="97" t="s">
        <v>68</v>
      </c>
      <c r="G24" s="113" t="s">
        <v>23</v>
      </c>
      <c r="H24" s="82" t="s">
        <v>14</v>
      </c>
    </row>
    <row r="25" spans="2:8" x14ac:dyDescent="0.25">
      <c r="B25" s="96">
        <v>24</v>
      </c>
      <c r="C25" s="117" t="s">
        <v>41</v>
      </c>
      <c r="D25" s="84" t="s">
        <v>32</v>
      </c>
      <c r="E25" s="85">
        <v>1075629884</v>
      </c>
      <c r="F25" s="99" t="s">
        <v>67</v>
      </c>
      <c r="G25" s="113" t="s">
        <v>23</v>
      </c>
      <c r="H25" s="84" t="s">
        <v>14</v>
      </c>
    </row>
    <row r="26" spans="2:8" x14ac:dyDescent="0.25">
      <c r="B26" s="96">
        <v>25</v>
      </c>
      <c r="C26" s="117" t="s">
        <v>69</v>
      </c>
      <c r="D26" s="82" t="s">
        <v>12</v>
      </c>
      <c r="E26" s="83">
        <v>21016741</v>
      </c>
      <c r="F26" s="97">
        <v>52</v>
      </c>
      <c r="G26" s="113" t="s">
        <v>23</v>
      </c>
      <c r="H26" s="82" t="s">
        <v>34</v>
      </c>
    </row>
    <row r="27" spans="2:8" x14ac:dyDescent="0.25">
      <c r="B27" s="96">
        <v>26</v>
      </c>
      <c r="C27" s="117" t="s">
        <v>70</v>
      </c>
      <c r="D27" s="84" t="s">
        <v>12</v>
      </c>
      <c r="E27" s="85">
        <v>21017475</v>
      </c>
      <c r="F27" s="99">
        <v>46</v>
      </c>
      <c r="G27" s="113" t="s">
        <v>23</v>
      </c>
      <c r="H27" s="84" t="s">
        <v>34</v>
      </c>
    </row>
    <row r="28" spans="2:8" x14ac:dyDescent="0.25">
      <c r="B28" s="96">
        <v>27</v>
      </c>
      <c r="C28" s="117" t="s">
        <v>77</v>
      </c>
      <c r="D28" s="82" t="s">
        <v>12</v>
      </c>
      <c r="E28" s="83">
        <v>19143337</v>
      </c>
      <c r="F28" s="97">
        <v>73</v>
      </c>
      <c r="G28" s="113" t="s">
        <v>23</v>
      </c>
      <c r="H28" s="82" t="s">
        <v>14</v>
      </c>
    </row>
    <row r="29" spans="2:8" x14ac:dyDescent="0.25">
      <c r="B29" s="96">
        <v>28</v>
      </c>
      <c r="C29" s="117" t="s">
        <v>78</v>
      </c>
      <c r="D29" s="84" t="s">
        <v>12</v>
      </c>
      <c r="E29" s="85">
        <v>41721559</v>
      </c>
      <c r="F29" s="99">
        <v>67</v>
      </c>
      <c r="G29" s="113" t="s">
        <v>23</v>
      </c>
      <c r="H29" s="84" t="s">
        <v>14</v>
      </c>
    </row>
    <row r="30" spans="2:8" x14ac:dyDescent="0.25">
      <c r="B30" s="96">
        <v>29</v>
      </c>
      <c r="C30" s="117" t="s">
        <v>79</v>
      </c>
      <c r="D30" s="82" t="s">
        <v>12</v>
      </c>
      <c r="E30" s="83">
        <v>41745302</v>
      </c>
      <c r="F30" s="97">
        <v>69</v>
      </c>
      <c r="G30" s="113" t="s">
        <v>23</v>
      </c>
      <c r="H30" s="82" t="s">
        <v>14</v>
      </c>
    </row>
    <row r="31" spans="2:8" x14ac:dyDescent="0.25">
      <c r="B31" s="96">
        <v>30</v>
      </c>
      <c r="C31" s="117" t="s">
        <v>80</v>
      </c>
      <c r="D31" s="84" t="s">
        <v>12</v>
      </c>
      <c r="E31" s="85">
        <v>51747869</v>
      </c>
      <c r="F31" s="99">
        <v>59</v>
      </c>
      <c r="G31" s="113" t="s">
        <v>23</v>
      </c>
      <c r="H31" s="84" t="s">
        <v>14</v>
      </c>
    </row>
    <row r="32" spans="2:8" ht="15.75" thickBot="1" x14ac:dyDescent="0.3">
      <c r="B32" s="96">
        <v>31</v>
      </c>
      <c r="C32" s="119" t="s">
        <v>81</v>
      </c>
      <c r="D32" s="87" t="s">
        <v>12</v>
      </c>
      <c r="E32" s="89">
        <v>35504848</v>
      </c>
      <c r="F32" s="100">
        <v>62</v>
      </c>
      <c r="G32" s="115" t="s">
        <v>23</v>
      </c>
      <c r="H32" s="87" t="s">
        <v>14</v>
      </c>
    </row>
    <row r="33" spans="2:8" x14ac:dyDescent="0.25">
      <c r="B33" s="96">
        <v>32</v>
      </c>
      <c r="C33" s="117" t="s">
        <v>135</v>
      </c>
      <c r="D33" s="84" t="s">
        <v>12</v>
      </c>
      <c r="E33" s="121">
        <v>39420287</v>
      </c>
      <c r="F33" s="99">
        <f>2023-1979</f>
        <v>44</v>
      </c>
      <c r="G33" s="113" t="s">
        <v>23</v>
      </c>
      <c r="H33" s="84" t="s">
        <v>102</v>
      </c>
    </row>
    <row r="34" spans="2:8" x14ac:dyDescent="0.25">
      <c r="B34" s="96">
        <v>33</v>
      </c>
      <c r="C34" s="117" t="s">
        <v>136</v>
      </c>
      <c r="D34" s="82" t="s">
        <v>32</v>
      </c>
      <c r="E34" s="122">
        <v>1028014237</v>
      </c>
      <c r="F34" s="97">
        <f>2023-2011</f>
        <v>12</v>
      </c>
      <c r="G34" s="113" t="s">
        <v>23</v>
      </c>
      <c r="H34" s="82" t="s">
        <v>102</v>
      </c>
    </row>
    <row r="35" spans="2:8" x14ac:dyDescent="0.25">
      <c r="B35" s="96">
        <v>34</v>
      </c>
      <c r="C35" s="117" t="s">
        <v>165</v>
      </c>
      <c r="D35" s="84" t="s">
        <v>12</v>
      </c>
      <c r="E35" s="85">
        <v>21012620</v>
      </c>
      <c r="F35" s="99">
        <f>2024-1953</f>
        <v>71</v>
      </c>
      <c r="G35" s="113" t="s">
        <v>23</v>
      </c>
      <c r="H35" s="84" t="s">
        <v>159</v>
      </c>
    </row>
    <row r="36" spans="2:8" x14ac:dyDescent="0.25">
      <c r="B36" s="96">
        <v>35</v>
      </c>
      <c r="C36" s="117" t="s">
        <v>179</v>
      </c>
      <c r="D36" s="82" t="s">
        <v>12</v>
      </c>
      <c r="E36" s="83">
        <v>21056217</v>
      </c>
      <c r="F36" s="97">
        <f>2024-1958</f>
        <v>66</v>
      </c>
      <c r="G36" s="113" t="s">
        <v>23</v>
      </c>
      <c r="H36" s="82" t="s">
        <v>159</v>
      </c>
    </row>
    <row r="37" spans="2:8" x14ac:dyDescent="0.25">
      <c r="B37" s="96">
        <v>36</v>
      </c>
      <c r="C37" s="117" t="s">
        <v>166</v>
      </c>
      <c r="D37" s="84" t="s">
        <v>12</v>
      </c>
      <c r="E37" s="85">
        <v>19375825</v>
      </c>
      <c r="F37" s="99">
        <f>2023-1959</f>
        <v>64</v>
      </c>
      <c r="G37" s="113" t="s">
        <v>23</v>
      </c>
      <c r="H37" s="84" t="s">
        <v>159</v>
      </c>
    </row>
    <row r="38" spans="2:8" x14ac:dyDescent="0.25">
      <c r="B38" s="96">
        <v>37</v>
      </c>
      <c r="C38" s="117" t="s">
        <v>167</v>
      </c>
      <c r="D38" s="82" t="s">
        <v>12</v>
      </c>
      <c r="E38" s="83">
        <v>21012699</v>
      </c>
      <c r="F38" s="97">
        <f>2023-1952</f>
        <v>71</v>
      </c>
      <c r="G38" s="113" t="s">
        <v>23</v>
      </c>
      <c r="H38" s="82" t="s">
        <v>159</v>
      </c>
    </row>
    <row r="39" spans="2:8" x14ac:dyDescent="0.25">
      <c r="B39" s="96">
        <v>38</v>
      </c>
      <c r="C39" s="117" t="s">
        <v>177</v>
      </c>
      <c r="D39" s="84" t="s">
        <v>12</v>
      </c>
      <c r="E39" s="85">
        <v>21014236</v>
      </c>
      <c r="F39" s="99">
        <f>2024-1958</f>
        <v>66</v>
      </c>
      <c r="G39" s="113" t="s">
        <v>23</v>
      </c>
      <c r="H39" s="84" t="s">
        <v>159</v>
      </c>
    </row>
    <row r="40" spans="2:8" x14ac:dyDescent="0.25">
      <c r="B40" s="96">
        <v>39</v>
      </c>
      <c r="C40" s="117" t="s">
        <v>178</v>
      </c>
      <c r="D40" s="82" t="s">
        <v>12</v>
      </c>
      <c r="E40" s="83">
        <v>21015380</v>
      </c>
      <c r="F40" s="97">
        <f>2024-1965</f>
        <v>59</v>
      </c>
      <c r="G40" s="113" t="s">
        <v>23</v>
      </c>
      <c r="H40" s="82" t="s">
        <v>159</v>
      </c>
    </row>
    <row r="41" spans="2:8" x14ac:dyDescent="0.25">
      <c r="B41" s="96">
        <v>40</v>
      </c>
      <c r="C41" s="117" t="s">
        <v>197</v>
      </c>
      <c r="D41" s="82" t="s">
        <v>12</v>
      </c>
      <c r="E41" s="83">
        <v>1075629194</v>
      </c>
      <c r="F41" s="97">
        <v>27</v>
      </c>
      <c r="G41" s="113" t="s">
        <v>23</v>
      </c>
      <c r="H41" s="82" t="s">
        <v>34</v>
      </c>
    </row>
    <row r="42" spans="2:8" x14ac:dyDescent="0.25">
      <c r="B42" s="96">
        <v>41</v>
      </c>
      <c r="C42" s="117" t="s">
        <v>198</v>
      </c>
      <c r="D42" s="84" t="s">
        <v>12</v>
      </c>
      <c r="E42" s="85">
        <v>41681426</v>
      </c>
      <c r="F42" s="99">
        <v>67</v>
      </c>
      <c r="G42" s="113" t="s">
        <v>23</v>
      </c>
      <c r="H42" s="84" t="s">
        <v>34</v>
      </c>
    </row>
    <row r="43" spans="2:8" x14ac:dyDescent="0.25">
      <c r="B43" s="96">
        <v>42</v>
      </c>
      <c r="C43" s="117" t="s">
        <v>200</v>
      </c>
      <c r="D43" s="82" t="s">
        <v>201</v>
      </c>
      <c r="E43" s="83">
        <v>4211176</v>
      </c>
      <c r="F43" s="97">
        <v>66</v>
      </c>
      <c r="G43" s="113" t="s">
        <v>23</v>
      </c>
      <c r="H43" s="82" t="s">
        <v>34</v>
      </c>
    </row>
    <row r="44" spans="2:8" x14ac:dyDescent="0.25">
      <c r="B44" s="96">
        <v>43</v>
      </c>
      <c r="C44" s="117" t="s">
        <v>205</v>
      </c>
      <c r="D44" s="84" t="s">
        <v>201</v>
      </c>
      <c r="E44" s="85">
        <v>79346819</v>
      </c>
      <c r="F44" s="99">
        <v>59</v>
      </c>
      <c r="G44" s="113" t="s">
        <v>23</v>
      </c>
      <c r="H44" s="84" t="s">
        <v>14</v>
      </c>
    </row>
    <row r="45" spans="2:8" x14ac:dyDescent="0.25">
      <c r="B45" s="96">
        <v>44</v>
      </c>
      <c r="C45" s="117" t="s">
        <v>211</v>
      </c>
      <c r="D45" s="82" t="s">
        <v>201</v>
      </c>
      <c r="E45" s="116">
        <v>51697265</v>
      </c>
      <c r="F45" s="97">
        <v>61</v>
      </c>
      <c r="G45" s="113" t="s">
        <v>23</v>
      </c>
      <c r="H45" s="82" t="s">
        <v>14</v>
      </c>
    </row>
  </sheetData>
  <conditionalFormatting sqref="E2:E34">
    <cfRule type="duplicateValues" dxfId="4" priority="355"/>
  </conditionalFormatting>
  <conditionalFormatting sqref="C2:C45">
    <cfRule type="duplicateValues" dxfId="3" priority="359"/>
  </conditionalFormatting>
  <conditionalFormatting sqref="E2:E45">
    <cfRule type="duplicateValues" dxfId="2" priority="361"/>
  </conditionalFormatting>
  <conditionalFormatting sqref="E2:E41">
    <cfRule type="duplicateValues" dxfId="1" priority="363"/>
  </conditionalFormatting>
  <conditionalFormatting sqref="C2:C41">
    <cfRule type="duplicateValues" dxfId="0" priority="36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Hoja8</vt:lpstr>
      <vt:lpstr>BUS ANAPOIMA 1</vt:lpstr>
      <vt:lpstr>BUS APULO 1</vt:lpstr>
      <vt:lpstr>BUS APULO 2</vt:lpstr>
      <vt:lpstr>Hoja5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2024-02-28T13:15:28Z</dcterms:created>
  <dcterms:modified xsi:type="dcterms:W3CDTF">2024-05-20T23:41:32Z</dcterms:modified>
</cp:coreProperties>
</file>