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SAN ANDRÉS\"/>
    </mc:Choice>
  </mc:AlternateContent>
  <xr:revisionPtr revIDLastSave="0" documentId="8_{493F3C7F-84ED-4EAF-A226-33437AB6FD81}" xr6:coauthVersionLast="47" xr6:coauthVersionMax="47" xr10:uidLastSave="{00000000-0000-0000-0000-000000000000}"/>
  <bookViews>
    <workbookView xWindow="-120" yWindow="-120" windowWidth="20730" windowHeight="11160" xr2:uid="{86021D68-EB1B-4D63-925F-4D359EC09916}"/>
  </bookViews>
  <sheets>
    <sheet name="Hoja1" sheetId="1" r:id="rId1"/>
    <sheet name="Hoja4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5" i="1" l="1"/>
  <c r="Q24" i="1"/>
  <c r="Q23" i="1"/>
  <c r="L42" i="1"/>
  <c r="R8" i="1"/>
  <c r="R5" i="1"/>
  <c r="R6" i="1"/>
  <c r="R7" i="1"/>
  <c r="R4" i="1"/>
  <c r="Q8" i="1"/>
  <c r="Q7" i="1"/>
  <c r="Q6" i="1"/>
  <c r="Q5" i="1"/>
  <c r="Q4" i="1"/>
  <c r="K41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" i="1"/>
  <c r="L41" i="1" s="1"/>
  <c r="Q17" i="1"/>
  <c r="Q15" i="1"/>
  <c r="D16" i="4"/>
  <c r="N8" i="1"/>
</calcChain>
</file>

<file path=xl/sharedStrings.xml><?xml version="1.0" encoding="utf-8"?>
<sst xmlns="http://schemas.openxmlformats.org/spreadsheetml/2006/main" count="283" uniqueCount="100">
  <si>
    <t>N°</t>
  </si>
  <si>
    <t>NOMBRE</t>
  </si>
  <si>
    <t>N.D</t>
  </si>
  <si>
    <t>FECHA DE NACIMIENTO</t>
  </si>
  <si>
    <t>TELEFONO</t>
  </si>
  <si>
    <t>COMISIONISTA</t>
  </si>
  <si>
    <t>MARIA MARLIN DINAS HERRERA</t>
  </si>
  <si>
    <t>T.D</t>
  </si>
  <si>
    <t>C.C</t>
  </si>
  <si>
    <t xml:space="preserve">ROQUE PUIN ARIAS </t>
  </si>
  <si>
    <t>María Inés Bustos Castañeda</t>
  </si>
  <si>
    <t>Carlos Arturo Cajamarca Martinez</t>
  </si>
  <si>
    <t>Blanca Emilia Rojas Silva</t>
  </si>
  <si>
    <t>T.I</t>
  </si>
  <si>
    <t xml:space="preserve">MARIA CONSUELO OVALLE ROJAS </t>
  </si>
  <si>
    <t>JULIO CESAR AGUILAR VERANO</t>
  </si>
  <si>
    <t>310 360 7993</t>
  </si>
  <si>
    <t>CESAR STEVEN AGUILAR OVALLE</t>
  </si>
  <si>
    <t>310 5696243</t>
  </si>
  <si>
    <t>ANA EDITH MORENO SILVA</t>
  </si>
  <si>
    <t xml:space="preserve">MARCOS BARRERO </t>
  </si>
  <si>
    <t>DANIEL MAURICIO ZAMUDIO BERRIO</t>
  </si>
  <si>
    <t>DIANA ALEJANDRA ZAMUDIO BERRIO</t>
  </si>
  <si>
    <t>EMMANUEL JULIAN IBARRA ZAMUDIO</t>
  </si>
  <si>
    <t>LAD</t>
  </si>
  <si>
    <t>MARGARITA BERRIO SERENO</t>
  </si>
  <si>
    <t>EDITH</t>
  </si>
  <si>
    <t>JULIE KATHERINE CAÑON ROJAS</t>
  </si>
  <si>
    <t>CRISTIAN DAVID CAJAMARCA BUSTOS</t>
  </si>
  <si>
    <t>LUIS ALBERTO DUARTE MOLINA</t>
  </si>
  <si>
    <t>JOSÉ GABRIEL CABRERA</t>
  </si>
  <si>
    <t>ANDRES FELIPE CAMACHO BERRIO</t>
  </si>
  <si>
    <t>310 669 2787</t>
  </si>
  <si>
    <t>MARÍA ELENA BERRIO ROMERO</t>
  </si>
  <si>
    <t>311 453 6013</t>
  </si>
  <si>
    <t>DEYANIRA ORTIZ</t>
  </si>
  <si>
    <t>HABITACIÓN DOBLE</t>
  </si>
  <si>
    <t>HB. DOBLE CON DOS CAMAS</t>
  </si>
  <si>
    <t>TRIPLE 3 CAMAS SENCILLAS</t>
  </si>
  <si>
    <t>ACOMODACIÓN SAN ANDRES</t>
  </si>
  <si>
    <t>Esperanza Pesellin pulido</t>
  </si>
  <si>
    <t>ESPERANZA PESELLIN</t>
  </si>
  <si>
    <t>JESUS HUMBERTO PATIÑO PESELLIN</t>
  </si>
  <si>
    <t>YOLANDA JIMENEZ RODRÍGUEZ</t>
  </si>
  <si>
    <t>313 852 4266</t>
  </si>
  <si>
    <t>ALODIA MARQUEZ BERMUDEZ</t>
  </si>
  <si>
    <t>JUAN PABLO RAYRAN MARQUEZ</t>
  </si>
  <si>
    <t>MARÍA VITERMINA MARQUEZ BERMUNDEZ</t>
  </si>
  <si>
    <t>FLOR CECILIA BERRIO ROMERO</t>
  </si>
  <si>
    <t>ALICIA BERRIO DE SARMIENTO</t>
  </si>
  <si>
    <t>ERIKA MUÑOZ</t>
  </si>
  <si>
    <t xml:space="preserve">20.871 845 </t>
  </si>
  <si>
    <t>HABITACIÓN CUADRUPLE CUATRO CAMAS</t>
  </si>
  <si>
    <t>MARÍA VITERMINA MARQUEZ BERMUDEZ</t>
  </si>
  <si>
    <t>PAULA MELISA MOLINA LOPEZ</t>
  </si>
  <si>
    <t>JAVIER MOLINA DIAZ</t>
  </si>
  <si>
    <t>MARÍA DE LA CRUZ BERRIO SERENO</t>
  </si>
  <si>
    <t>MARTHA ROSIO LOPEZ AMAYA</t>
  </si>
  <si>
    <t>ARIANNA VALENTINA DOMINGUEZ PESELLIN</t>
  </si>
  <si>
    <t>JUAN ESTEBAN RAYRAN RESTREPO</t>
  </si>
  <si>
    <t>Maria Consuelo Baquero Agudelo</t>
  </si>
  <si>
    <t>ABONOS</t>
  </si>
  <si>
    <t>MUNICIPIOS</t>
  </si>
  <si>
    <t>APULO</t>
  </si>
  <si>
    <t>BOGOTÁ</t>
  </si>
  <si>
    <t>TOCAIMA</t>
  </si>
  <si>
    <t>EMPRESA</t>
  </si>
  <si>
    <t>ANAPOIMA</t>
  </si>
  <si>
    <t>""</t>
  </si>
  <si>
    <t>GLORIA</t>
  </si>
  <si>
    <t>TOTAL</t>
  </si>
  <si>
    <t>MAFE</t>
  </si>
  <si>
    <t>3'00.000</t>
  </si>
  <si>
    <t>Laura Alejandra Marquez Fiscal</t>
  </si>
  <si>
    <t>CELULAR</t>
  </si>
  <si>
    <t>….</t>
  </si>
  <si>
    <t>310 270 9937</t>
  </si>
  <si>
    <t>312 753 3162</t>
  </si>
  <si>
    <t>..</t>
  </si>
  <si>
    <t>…</t>
  </si>
  <si>
    <t>322 383 7648</t>
  </si>
  <si>
    <t>312 309 4736</t>
  </si>
  <si>
    <t>311 838 6001</t>
  </si>
  <si>
    <t>:::</t>
  </si>
  <si>
    <t>::::</t>
  </si>
  <si>
    <t>312 471 2705</t>
  </si>
  <si>
    <t xml:space="preserve"> </t>
  </si>
  <si>
    <t>2'000.000</t>
  </si>
  <si>
    <t>Tiquetes</t>
  </si>
  <si>
    <t>Hospedaje + alimentación</t>
  </si>
  <si>
    <t>Traslado a playas de rocky cay</t>
  </si>
  <si>
    <t>Transfer y tours</t>
  </si>
  <si>
    <t>Seguro</t>
  </si>
  <si>
    <t xml:space="preserve">COSTOS Y GASTOS </t>
  </si>
  <si>
    <t>VALOR</t>
  </si>
  <si>
    <t>COMISIÓN</t>
  </si>
  <si>
    <t>COMISIONES</t>
  </si>
  <si>
    <t>INGRESOS</t>
  </si>
  <si>
    <t>UTILIDAD</t>
  </si>
  <si>
    <t>Gatos de representación (transporte, tarjeta de Ingreso a la isla, almuerzos, ingresos a atractivos, taxi y bebidas)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</si>
</sst>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2" fontId="2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14" fontId="0" fillId="0" borderId="0" xfId="0" applyNumberFormat="1"/>
    <xf numFmtId="0" fontId="0" fillId="5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9" borderId="0" xfId="0" applyFont="1" applyFill="1"/>
    <xf numFmtId="0" fontId="0" fillId="0" borderId="5" xfId="0" applyBorder="1" applyAlignment="1">
      <alignment horizontal="center"/>
    </xf>
    <xf numFmtId="3" fontId="0" fillId="0" borderId="5" xfId="0" applyNumberForma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4" borderId="4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42" fontId="0" fillId="0" borderId="0" xfId="1" applyFont="1"/>
    <xf numFmtId="42" fontId="0" fillId="0" borderId="0" xfId="1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ill="1" applyAlignment="1">
      <alignment horizontal="center"/>
    </xf>
    <xf numFmtId="0" fontId="0" fillId="0" borderId="0" xfId="0" applyFill="1"/>
    <xf numFmtId="3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42" fontId="0" fillId="0" borderId="1" xfId="1" applyFont="1" applyBorder="1"/>
    <xf numFmtId="42" fontId="3" fillId="0" borderId="1" xfId="1" applyFont="1" applyBorder="1"/>
    <xf numFmtId="42" fontId="0" fillId="0" borderId="1" xfId="1" applyFont="1" applyBorder="1" applyAlignment="1">
      <alignment horizontal="center"/>
    </xf>
    <xf numFmtId="0" fontId="0" fillId="0" borderId="1" xfId="0" applyBorder="1" applyAlignment="1">
      <alignment horizontal="left" wrapText="1"/>
    </xf>
    <xf numFmtId="42" fontId="0" fillId="0" borderId="1" xfId="1" applyFont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42" fontId="0" fillId="0" borderId="1" xfId="1" applyFont="1" applyBorder="1" applyAlignment="1">
      <alignment horizontal="center" vertical="center"/>
    </xf>
    <xf numFmtId="42" fontId="0" fillId="0" borderId="4" xfId="1" applyFont="1" applyBorder="1" applyAlignment="1">
      <alignment horizontal="center"/>
    </xf>
    <xf numFmtId="42" fontId="0" fillId="0" borderId="7" xfId="1" applyFont="1" applyBorder="1" applyAlignment="1">
      <alignment horizontal="center"/>
    </xf>
    <xf numFmtId="42" fontId="0" fillId="0" borderId="8" xfId="1" applyFont="1" applyBorder="1" applyAlignment="1">
      <alignment horizontal="center"/>
    </xf>
    <xf numFmtId="0" fontId="0" fillId="0" borderId="7" xfId="0" applyBorder="1" applyAlignment="1">
      <alignment horizontal="left"/>
    </xf>
    <xf numFmtId="0" fontId="3" fillId="3" borderId="8" xfId="0" applyFont="1" applyFill="1" applyBorder="1" applyAlignment="1">
      <alignment horizontal="left"/>
    </xf>
    <xf numFmtId="3" fontId="3" fillId="2" borderId="8" xfId="0" applyNumberFormat="1" applyFont="1" applyFill="1" applyBorder="1" applyAlignment="1">
      <alignment horizontal="left"/>
    </xf>
    <xf numFmtId="3" fontId="3" fillId="5" borderId="4" xfId="0" applyNumberFormat="1" applyFont="1" applyFill="1" applyBorder="1" applyAlignment="1">
      <alignment horizontal="left"/>
    </xf>
  </cellXfs>
  <cellStyles count="2">
    <cellStyle name="Moneda [0]" xfId="1" builtinId="7"/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0F2451-142B-4BE1-AF43-4017DC8317E3}" name="Tabla1" displayName="Tabla1" ref="B3:L41" totalsRowCount="1" headerRowDxfId="22">
  <autoFilter ref="B3:L40" xr:uid="{B40F2451-142B-4BE1-AF43-4017DC8317E3}"/>
  <tableColumns count="11">
    <tableColumn id="1" xr3:uid="{8A6B238F-F0BF-4D08-9BB6-47ABECF4CD01}" name="N°" dataDxfId="21" totalsRowDxfId="10"/>
    <tableColumn id="2" xr3:uid="{BDD5278F-E53E-4B31-809F-A8B0C1319E98}" name="NOMBRE" dataDxfId="20" totalsRowDxfId="9"/>
    <tableColumn id="3" xr3:uid="{8FE049D1-E600-4B12-B7D6-AC04388B0E7C}" name="T.D" dataDxfId="19" totalsRowDxfId="8"/>
    <tableColumn id="4" xr3:uid="{ABAB9460-7835-4D09-BDA4-9B8B8FAD6132}" name="N.D" dataDxfId="18" totalsRowDxfId="7"/>
    <tableColumn id="5" xr3:uid="{10B9FA97-E146-4F72-A383-3C9AEC2876CB}" name="FECHA DE NACIMIENTO" dataDxfId="17" totalsRowDxfId="6"/>
    <tableColumn id="6" xr3:uid="{5033357B-5D72-4B25-A62D-1CE58245E18B}" name="TELEFONO" dataDxfId="16" totalsRowDxfId="5"/>
    <tableColumn id="7" xr3:uid="{5B03DDDA-A180-4F69-B9C6-EE57AE3B2847}" name="COMISIONISTA" dataDxfId="15" totalsRowDxfId="4"/>
    <tableColumn id="9" xr3:uid="{673A8ACA-1ECF-4C8E-B081-0F5DCD4F9CD8}" name="MUNICIPIOS" dataDxfId="14" totalsRowDxfId="3"/>
    <tableColumn id="8" xr3:uid="{1A8C838D-11C9-4F10-BE4C-8506964BFDEF}" name="ABONOS" dataDxfId="13" totalsRowDxfId="2"/>
    <tableColumn id="11" xr3:uid="{35F7672D-3425-4A78-A2B8-136AFE809F3A}" name="VALOR" totalsRowFunction="sum" dataDxfId="11" totalsRowDxfId="1" dataCellStyle="Moneda [0]" totalsRowCellStyle="Moneda [0]"/>
    <tableColumn id="10" xr3:uid="{660D217D-DA65-4B63-88E6-CE1212F84460}" name="COMISIÓN" totalsRowFunction="sum" dataDxfId="12" totalsRowDxfId="0" dataCellStyle="Moneda [0]" totalsRowCellStyle="Moneda [0]">
      <calculatedColumnFormula>Tabla1[[#This Row],[VALOR]]-50000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410BE-0F9A-4F43-9A2E-B477E7648FD8}">
  <dimension ref="A2:AC42"/>
  <sheetViews>
    <sheetView tabSelected="1" topLeftCell="H10" zoomScale="109" workbookViewId="0">
      <selection activeCell="P21" sqref="P21"/>
    </sheetView>
  </sheetViews>
  <sheetFormatPr baseColWidth="10" defaultRowHeight="15" x14ac:dyDescent="0.25"/>
  <cols>
    <col min="2" max="2" width="7.7109375" style="1" bestFit="1" customWidth="1"/>
    <col min="3" max="3" width="34.42578125" bestFit="1" customWidth="1"/>
    <col min="4" max="4" width="11.42578125" style="1"/>
    <col min="5" max="5" width="13.42578125" style="1" bestFit="1" customWidth="1"/>
    <col min="6" max="6" width="23.7109375" style="1" customWidth="1"/>
    <col min="7" max="7" width="16.140625" style="1" bestFit="1" customWidth="1"/>
    <col min="8" max="8" width="19.85546875" style="1" bestFit="1" customWidth="1"/>
    <col min="9" max="9" width="16.42578125" style="1" customWidth="1"/>
    <col min="11" max="11" width="13.28515625" style="38" bestFit="1" customWidth="1"/>
    <col min="12" max="12" width="16.42578125" style="38" bestFit="1" customWidth="1"/>
    <col min="16" max="16" width="29.140625" style="40" customWidth="1"/>
    <col min="17" max="17" width="16.85546875" style="1" customWidth="1"/>
    <col min="18" max="18" width="12.140625" style="38" bestFit="1" customWidth="1"/>
    <col min="25" max="25" width="17.140625" style="4" customWidth="1"/>
    <col min="26" max="26" width="36.28515625" bestFit="1" customWidth="1"/>
    <col min="28" max="28" width="14.28515625" bestFit="1" customWidth="1"/>
    <col min="29" max="29" width="11.42578125" style="14"/>
  </cols>
  <sheetData>
    <row r="2" spans="2:29" x14ac:dyDescent="0.25">
      <c r="Y2" s="28" t="s">
        <v>39</v>
      </c>
      <c r="Z2" s="28"/>
      <c r="AA2" s="28"/>
      <c r="AB2" s="28"/>
      <c r="AC2" s="28"/>
    </row>
    <row r="3" spans="2:29" s="1" customFormat="1" ht="15" customHeight="1" x14ac:dyDescent="0.25">
      <c r="B3" s="1" t="s">
        <v>0</v>
      </c>
      <c r="C3" s="1" t="s">
        <v>1</v>
      </c>
      <c r="D3" s="1" t="s">
        <v>7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62</v>
      </c>
      <c r="J3" s="1" t="s">
        <v>61</v>
      </c>
      <c r="K3" s="39" t="s">
        <v>94</v>
      </c>
      <c r="L3" s="39" t="s">
        <v>95</v>
      </c>
      <c r="P3" s="28" t="s">
        <v>96</v>
      </c>
      <c r="Q3" s="28"/>
      <c r="R3" s="28"/>
    </row>
    <row r="4" spans="2:29" x14ac:dyDescent="0.25">
      <c r="B4" s="1">
        <v>1</v>
      </c>
      <c r="C4" t="s">
        <v>14</v>
      </c>
      <c r="D4" s="1" t="s">
        <v>8</v>
      </c>
      <c r="E4" s="2">
        <v>20871466</v>
      </c>
      <c r="F4" s="3">
        <v>24767</v>
      </c>
      <c r="H4" s="1" t="s">
        <v>24</v>
      </c>
      <c r="I4" s="6" t="s">
        <v>63</v>
      </c>
      <c r="J4" s="1" t="s">
        <v>87</v>
      </c>
      <c r="K4" s="39">
        <v>1580000</v>
      </c>
      <c r="L4" s="39">
        <f>Tabla1[[#This Row],[VALOR]]-50000</f>
        <v>1530000</v>
      </c>
      <c r="M4" s="18" t="s">
        <v>63</v>
      </c>
      <c r="N4" s="8">
        <v>12</v>
      </c>
      <c r="O4" s="1"/>
      <c r="P4" s="44" t="s">
        <v>24</v>
      </c>
      <c r="Q4" s="8">
        <f>COUNTIF(Tabla1[COMISIONISTA],"LAD")</f>
        <v>15</v>
      </c>
      <c r="R4" s="45">
        <f>Q4*50000</f>
        <v>750000</v>
      </c>
      <c r="Y4"/>
      <c r="AC4"/>
    </row>
    <row r="5" spans="2:29" x14ac:dyDescent="0.25">
      <c r="B5" s="1">
        <v>2</v>
      </c>
      <c r="C5" t="s">
        <v>15</v>
      </c>
      <c r="D5" s="1" t="s">
        <v>8</v>
      </c>
      <c r="E5" s="2">
        <v>79348073</v>
      </c>
      <c r="F5" s="3">
        <v>23397</v>
      </c>
      <c r="G5" s="1" t="s">
        <v>16</v>
      </c>
      <c r="H5" s="1" t="s">
        <v>24</v>
      </c>
      <c r="I5" s="6" t="s">
        <v>63</v>
      </c>
      <c r="J5" s="1" t="s">
        <v>68</v>
      </c>
      <c r="K5" s="39">
        <v>1580000</v>
      </c>
      <c r="L5" s="39">
        <f>Tabla1[[#This Row],[VALOR]]-50000</f>
        <v>1530000</v>
      </c>
      <c r="M5" s="19" t="s">
        <v>67</v>
      </c>
      <c r="N5" s="8">
        <v>8</v>
      </c>
      <c r="O5" s="1"/>
      <c r="P5" s="44" t="s">
        <v>26</v>
      </c>
      <c r="Q5" s="8">
        <f>COUNTIF(Tabla1[COMISIONISTA],"EDITH")</f>
        <v>10</v>
      </c>
      <c r="R5" s="45">
        <f t="shared" ref="R5:R7" si="0">Q5*50000</f>
        <v>500000</v>
      </c>
      <c r="Y5"/>
      <c r="AC5"/>
    </row>
    <row r="6" spans="2:29" ht="15" customHeight="1" x14ac:dyDescent="0.25">
      <c r="B6" s="1">
        <v>3</v>
      </c>
      <c r="C6" t="s">
        <v>17</v>
      </c>
      <c r="D6" s="1" t="s">
        <v>13</v>
      </c>
      <c r="E6" s="2">
        <v>1073629218</v>
      </c>
      <c r="F6" s="3">
        <v>40191</v>
      </c>
      <c r="G6" s="1" t="s">
        <v>18</v>
      </c>
      <c r="H6" s="1" t="s">
        <v>24</v>
      </c>
      <c r="I6" s="6" t="s">
        <v>63</v>
      </c>
      <c r="J6" s="1" t="s">
        <v>68</v>
      </c>
      <c r="K6" s="39">
        <v>1580000</v>
      </c>
      <c r="L6" s="39">
        <f>Tabla1[[#This Row],[VALOR]]-50000</f>
        <v>1530000</v>
      </c>
      <c r="M6" s="20" t="s">
        <v>65</v>
      </c>
      <c r="N6" s="8">
        <v>8</v>
      </c>
      <c r="O6" s="1"/>
      <c r="P6" s="44" t="s">
        <v>71</v>
      </c>
      <c r="Q6" s="8">
        <f>COUNTIF(Tabla1[COMISIONISTA],"MAFE")</f>
        <v>4</v>
      </c>
      <c r="R6" s="45">
        <f t="shared" si="0"/>
        <v>200000</v>
      </c>
      <c r="Y6"/>
      <c r="AC6"/>
    </row>
    <row r="7" spans="2:29" x14ac:dyDescent="0.25">
      <c r="B7" s="1">
        <v>4</v>
      </c>
      <c r="C7" t="s">
        <v>19</v>
      </c>
      <c r="D7" s="1" t="s">
        <v>8</v>
      </c>
      <c r="E7" s="2">
        <v>51651341</v>
      </c>
      <c r="F7" s="5">
        <v>22405</v>
      </c>
      <c r="G7" s="1" t="s">
        <v>74</v>
      </c>
      <c r="H7" s="1" t="s">
        <v>26</v>
      </c>
      <c r="I7" s="6" t="s">
        <v>63</v>
      </c>
      <c r="J7" s="2">
        <v>500000</v>
      </c>
      <c r="K7" s="39">
        <v>1580000</v>
      </c>
      <c r="L7" s="39">
        <f>Tabla1[[#This Row],[VALOR]]-50000</f>
        <v>1530000</v>
      </c>
      <c r="M7" s="21" t="s">
        <v>64</v>
      </c>
      <c r="N7" s="8">
        <v>10</v>
      </c>
      <c r="O7" s="1"/>
      <c r="P7" s="44" t="s">
        <v>69</v>
      </c>
      <c r="Q7" s="8">
        <f>COUNTIF(Tabla1[COMISIONISTA],"GLORIA")</f>
        <v>6</v>
      </c>
      <c r="R7" s="45">
        <f t="shared" si="0"/>
        <v>300000</v>
      </c>
      <c r="Y7"/>
      <c r="AC7"/>
    </row>
    <row r="8" spans="2:29" x14ac:dyDescent="0.25">
      <c r="B8" s="1">
        <v>5</v>
      </c>
      <c r="C8" t="s">
        <v>20</v>
      </c>
      <c r="D8" s="1" t="s">
        <v>8</v>
      </c>
      <c r="E8" s="2">
        <v>3149137</v>
      </c>
      <c r="F8" s="3">
        <v>35546</v>
      </c>
      <c r="G8" s="1" t="s">
        <v>75</v>
      </c>
      <c r="H8" s="1" t="s">
        <v>26</v>
      </c>
      <c r="I8" s="6" t="s">
        <v>63</v>
      </c>
      <c r="J8" s="2">
        <v>1530000</v>
      </c>
      <c r="K8" s="39">
        <v>1580000</v>
      </c>
      <c r="L8" s="39">
        <f>Tabla1[[#This Row],[VALOR]]-50000</f>
        <v>1530000</v>
      </c>
      <c r="M8" s="8" t="s">
        <v>70</v>
      </c>
      <c r="N8" s="8">
        <f>SUM(N4:N7)</f>
        <v>38</v>
      </c>
      <c r="O8" s="1"/>
      <c r="P8" s="44" t="s">
        <v>70</v>
      </c>
      <c r="Q8" s="8">
        <f>SUM(Q4:Q7)</f>
        <v>35</v>
      </c>
      <c r="R8" s="46">
        <f>SUM(R4:R7)</f>
        <v>1750000</v>
      </c>
      <c r="Y8"/>
      <c r="AC8"/>
    </row>
    <row r="9" spans="2:29" x14ac:dyDescent="0.25">
      <c r="B9" s="1">
        <v>6</v>
      </c>
      <c r="C9" t="s">
        <v>12</v>
      </c>
      <c r="D9" s="1" t="s">
        <v>8</v>
      </c>
      <c r="E9" s="2">
        <v>20870456</v>
      </c>
      <c r="F9" s="3">
        <v>16303</v>
      </c>
      <c r="G9" s="1" t="s">
        <v>76</v>
      </c>
      <c r="H9" s="1" t="s">
        <v>26</v>
      </c>
      <c r="I9" s="6" t="s">
        <v>63</v>
      </c>
      <c r="J9" s="1"/>
      <c r="K9" s="39">
        <v>1580000</v>
      </c>
      <c r="L9" s="39">
        <f>Tabla1[[#This Row],[VALOR]]-50000</f>
        <v>1530000</v>
      </c>
      <c r="M9" s="1"/>
      <c r="N9" s="1"/>
      <c r="O9" s="1"/>
      <c r="R9" s="39"/>
      <c r="S9" s="1"/>
      <c r="T9" s="1"/>
      <c r="U9" s="1"/>
      <c r="V9" s="1"/>
      <c r="W9" s="1"/>
      <c r="Y9" s="27"/>
      <c r="Z9" s="7" t="s">
        <v>25</v>
      </c>
      <c r="AA9" s="8" t="s">
        <v>8</v>
      </c>
      <c r="AB9" s="9">
        <v>21016903</v>
      </c>
      <c r="AC9" s="11">
        <v>25003</v>
      </c>
    </row>
    <row r="10" spans="2:29" ht="15" customHeight="1" x14ac:dyDescent="0.25">
      <c r="B10" s="1">
        <v>7</v>
      </c>
      <c r="C10" t="s">
        <v>6</v>
      </c>
      <c r="D10" s="1" t="s">
        <v>8</v>
      </c>
      <c r="E10" s="2">
        <v>1035238756</v>
      </c>
      <c r="F10" s="3">
        <v>33584</v>
      </c>
      <c r="H10" s="1" t="s">
        <v>24</v>
      </c>
      <c r="I10" s="6" t="s">
        <v>63</v>
      </c>
      <c r="J10" s="2">
        <v>600000</v>
      </c>
      <c r="K10" s="39">
        <v>1580000</v>
      </c>
      <c r="L10" s="39">
        <f>Tabla1[[#This Row],[VALOR]]-50000</f>
        <v>1530000</v>
      </c>
      <c r="M10" s="1"/>
      <c r="N10" s="1"/>
      <c r="O10" s="1"/>
      <c r="R10" s="39"/>
      <c r="S10" s="1"/>
      <c r="T10" s="1"/>
      <c r="U10" s="1"/>
      <c r="V10" s="1"/>
      <c r="W10" s="1"/>
      <c r="Y10" s="29" t="s">
        <v>36</v>
      </c>
      <c r="Z10" s="7" t="s">
        <v>6</v>
      </c>
      <c r="AA10" s="8" t="s">
        <v>8</v>
      </c>
      <c r="AB10" s="9">
        <v>1035238756</v>
      </c>
      <c r="AC10" s="11">
        <v>33584</v>
      </c>
    </row>
    <row r="11" spans="2:29" x14ac:dyDescent="0.25">
      <c r="B11" s="1">
        <v>8</v>
      </c>
      <c r="C11" t="s">
        <v>9</v>
      </c>
      <c r="D11" s="1" t="s">
        <v>8</v>
      </c>
      <c r="E11" s="2">
        <v>11450756</v>
      </c>
      <c r="F11" s="3">
        <v>24478</v>
      </c>
      <c r="G11" s="1" t="s">
        <v>77</v>
      </c>
      <c r="H11" s="1" t="s">
        <v>24</v>
      </c>
      <c r="I11" s="6" t="s">
        <v>63</v>
      </c>
      <c r="J11" s="2">
        <v>600000</v>
      </c>
      <c r="K11" s="39">
        <v>1580000</v>
      </c>
      <c r="L11" s="39">
        <f>Tabla1[[#This Row],[VALOR]]-50000</f>
        <v>1530000</v>
      </c>
      <c r="M11" s="1"/>
      <c r="N11" s="1"/>
      <c r="O11" s="1"/>
      <c r="R11" s="39"/>
      <c r="S11" s="1"/>
      <c r="T11" s="1"/>
      <c r="U11" s="1"/>
      <c r="V11" s="1"/>
      <c r="W11" s="1"/>
      <c r="Y11" s="29"/>
      <c r="Z11" s="7" t="s">
        <v>9</v>
      </c>
      <c r="AA11" s="8" t="s">
        <v>8</v>
      </c>
      <c r="AB11" s="9">
        <v>11450756</v>
      </c>
      <c r="AC11" s="11">
        <v>24478</v>
      </c>
    </row>
    <row r="12" spans="2:29" ht="15" customHeight="1" thickBot="1" x14ac:dyDescent="0.3">
      <c r="B12" s="1">
        <v>9</v>
      </c>
      <c r="C12" s="25" t="s">
        <v>10</v>
      </c>
      <c r="D12" s="1" t="s">
        <v>8</v>
      </c>
      <c r="E12" s="2">
        <v>30346038</v>
      </c>
      <c r="F12" s="3">
        <v>24512</v>
      </c>
      <c r="G12" s="1" t="s">
        <v>78</v>
      </c>
      <c r="H12" s="1" t="s">
        <v>26</v>
      </c>
      <c r="I12" s="15" t="s">
        <v>64</v>
      </c>
      <c r="J12" s="1"/>
      <c r="K12" s="39">
        <v>1580000</v>
      </c>
      <c r="L12" s="39">
        <f>Tabla1[[#This Row],[VALOR]]-50000</f>
        <v>1530000</v>
      </c>
      <c r="M12" s="1"/>
      <c r="N12" s="1"/>
      <c r="O12" s="1"/>
      <c r="R12" s="39"/>
      <c r="S12" s="1"/>
      <c r="T12" s="1"/>
      <c r="U12" s="1"/>
      <c r="V12" s="1"/>
      <c r="W12" s="1"/>
      <c r="Y12" s="29" t="s">
        <v>36</v>
      </c>
      <c r="Z12" s="7" t="s">
        <v>10</v>
      </c>
      <c r="AA12" s="8" t="s">
        <v>8</v>
      </c>
      <c r="AB12" s="9">
        <v>30346038</v>
      </c>
      <c r="AC12" s="11">
        <v>24512</v>
      </c>
    </row>
    <row r="13" spans="2:29" x14ac:dyDescent="0.25">
      <c r="B13" s="1">
        <v>10</v>
      </c>
      <c r="C13" s="26" t="s">
        <v>11</v>
      </c>
      <c r="D13" s="1" t="s">
        <v>8</v>
      </c>
      <c r="E13" s="2">
        <v>79204543</v>
      </c>
      <c r="F13" s="3">
        <v>24051</v>
      </c>
      <c r="G13" s="1" t="s">
        <v>79</v>
      </c>
      <c r="H13" s="1" t="s">
        <v>26</v>
      </c>
      <c r="I13" s="15" t="s">
        <v>64</v>
      </c>
      <c r="J13" s="1"/>
      <c r="K13" s="39">
        <v>1580000</v>
      </c>
      <c r="L13" s="39">
        <f>Tabla1[[#This Row],[VALOR]]-50000</f>
        <v>1530000</v>
      </c>
      <c r="M13" s="1"/>
      <c r="N13" s="1"/>
      <c r="O13" s="1"/>
      <c r="P13" s="28" t="s">
        <v>93</v>
      </c>
      <c r="Q13" s="28"/>
      <c r="R13" s="39"/>
      <c r="S13" s="1"/>
      <c r="T13" s="1"/>
      <c r="U13" s="1"/>
      <c r="V13" s="1"/>
      <c r="W13" s="1"/>
      <c r="Y13" s="29"/>
      <c r="Z13" s="7" t="s">
        <v>11</v>
      </c>
      <c r="AA13" s="8" t="s">
        <v>8</v>
      </c>
      <c r="AB13" s="9">
        <v>79204543</v>
      </c>
      <c r="AC13" s="11">
        <v>24051</v>
      </c>
    </row>
    <row r="14" spans="2:29" ht="15" customHeight="1" x14ac:dyDescent="0.25">
      <c r="B14" s="1">
        <v>11</v>
      </c>
      <c r="C14" t="s">
        <v>21</v>
      </c>
      <c r="D14" s="1" t="s">
        <v>8</v>
      </c>
      <c r="E14" s="2">
        <v>1075626614</v>
      </c>
      <c r="F14" s="3">
        <v>33237</v>
      </c>
      <c r="G14" s="1">
        <v>3112532926</v>
      </c>
      <c r="H14" s="1" t="s">
        <v>24</v>
      </c>
      <c r="I14" s="15" t="s">
        <v>64</v>
      </c>
      <c r="J14" s="1"/>
      <c r="K14" s="39">
        <v>1580000</v>
      </c>
      <c r="L14" s="39">
        <f>Tabla1[[#This Row],[VALOR]]-50000</f>
        <v>1530000</v>
      </c>
      <c r="M14" s="1"/>
      <c r="N14" s="1"/>
      <c r="O14" s="1"/>
      <c r="P14" s="44" t="s">
        <v>88</v>
      </c>
      <c r="Q14" s="47">
        <v>18170700</v>
      </c>
      <c r="R14" s="39"/>
      <c r="S14" s="1"/>
      <c r="T14" s="1"/>
      <c r="U14" s="1"/>
      <c r="V14" s="1"/>
      <c r="W14" s="1"/>
      <c r="Y14" s="35" t="s">
        <v>38</v>
      </c>
      <c r="Z14" s="7" t="s">
        <v>20</v>
      </c>
      <c r="AA14" s="8" t="s">
        <v>8</v>
      </c>
      <c r="AB14" s="9">
        <v>3149137</v>
      </c>
      <c r="AC14" s="11">
        <v>35546</v>
      </c>
    </row>
    <row r="15" spans="2:29" x14ac:dyDescent="0.25">
      <c r="B15" s="1">
        <v>12</v>
      </c>
      <c r="C15" t="s">
        <v>22</v>
      </c>
      <c r="D15" s="1" t="s">
        <v>8</v>
      </c>
      <c r="E15" s="2">
        <v>1075624623</v>
      </c>
      <c r="F15" s="3">
        <v>31819</v>
      </c>
      <c r="G15" s="1">
        <v>3143664984</v>
      </c>
      <c r="H15" s="1" t="s">
        <v>24</v>
      </c>
      <c r="I15" s="17" t="s">
        <v>65</v>
      </c>
      <c r="J15" s="1"/>
      <c r="K15" s="39">
        <v>1580000</v>
      </c>
      <c r="L15" s="39">
        <f>Tabla1[[#This Row],[VALOR]]-50000</f>
        <v>1530000</v>
      </c>
      <c r="M15" s="1"/>
      <c r="N15" s="1"/>
      <c r="O15" s="1"/>
      <c r="P15" s="48" t="s">
        <v>89</v>
      </c>
      <c r="Q15" s="49">
        <f>20641500+2659500</f>
        <v>23301000</v>
      </c>
      <c r="R15" s="39"/>
      <c r="S15" s="1"/>
      <c r="T15" s="1"/>
      <c r="U15" s="1"/>
      <c r="V15" s="1"/>
      <c r="W15" s="1"/>
      <c r="Y15" s="36"/>
      <c r="Z15" s="7" t="s">
        <v>29</v>
      </c>
      <c r="AA15" s="8" t="s">
        <v>8</v>
      </c>
      <c r="AB15" s="9">
        <v>79538678</v>
      </c>
      <c r="AC15" s="11">
        <v>25737</v>
      </c>
    </row>
    <row r="16" spans="2:29" x14ac:dyDescent="0.25">
      <c r="B16" s="1">
        <v>13</v>
      </c>
      <c r="C16" t="s">
        <v>23</v>
      </c>
      <c r="D16" s="1" t="s">
        <v>13</v>
      </c>
      <c r="E16" s="2">
        <v>1072105753</v>
      </c>
      <c r="F16" s="3">
        <v>40837</v>
      </c>
      <c r="H16" s="1" t="s">
        <v>24</v>
      </c>
      <c r="I16" s="17" t="s">
        <v>65</v>
      </c>
      <c r="J16" s="1"/>
      <c r="K16" s="39">
        <v>1580000</v>
      </c>
      <c r="L16" s="39">
        <f>Tabla1[[#This Row],[VALOR]]-50000</f>
        <v>1530000</v>
      </c>
      <c r="M16" s="1"/>
      <c r="N16" s="1"/>
      <c r="O16" s="1"/>
      <c r="P16" s="48"/>
      <c r="Q16" s="49"/>
      <c r="R16" s="39"/>
      <c r="S16" s="1"/>
      <c r="T16" s="1"/>
      <c r="U16" s="1"/>
      <c r="V16" s="1"/>
      <c r="W16" s="1"/>
      <c r="Y16" s="37"/>
      <c r="Z16" s="7" t="s">
        <v>30</v>
      </c>
      <c r="AA16" s="8" t="s">
        <v>8</v>
      </c>
      <c r="AB16" s="9">
        <v>79656808</v>
      </c>
      <c r="AC16" s="11">
        <v>27034</v>
      </c>
    </row>
    <row r="17" spans="1:29" ht="27" customHeight="1" x14ac:dyDescent="0.25">
      <c r="B17" s="1">
        <v>14</v>
      </c>
      <c r="C17" t="s">
        <v>25</v>
      </c>
      <c r="D17" s="1" t="s">
        <v>8</v>
      </c>
      <c r="E17" s="2">
        <v>21016903</v>
      </c>
      <c r="F17" s="3">
        <v>25003</v>
      </c>
      <c r="G17" s="1">
        <v>3124330665</v>
      </c>
      <c r="H17" s="1" t="s">
        <v>24</v>
      </c>
      <c r="I17" s="17" t="s">
        <v>65</v>
      </c>
      <c r="J17" s="1"/>
      <c r="K17" s="39">
        <v>1580000</v>
      </c>
      <c r="L17" s="39">
        <f>Tabla1[[#This Row],[VALOR]]-50000</f>
        <v>1530000</v>
      </c>
      <c r="M17" s="1"/>
      <c r="N17" s="1"/>
      <c r="O17" s="1"/>
      <c r="P17" s="50" t="s">
        <v>99</v>
      </c>
      <c r="Q17" s="51">
        <f>780000+27400</f>
        <v>807400</v>
      </c>
      <c r="R17" s="39"/>
      <c r="S17" s="1"/>
      <c r="T17" s="1"/>
      <c r="U17" s="1"/>
      <c r="V17" s="1"/>
      <c r="W17" s="1"/>
      <c r="Y17" s="33" t="s">
        <v>52</v>
      </c>
      <c r="Z17" s="7" t="s">
        <v>31</v>
      </c>
      <c r="AA17" s="8" t="s">
        <v>8</v>
      </c>
      <c r="AB17" s="9">
        <v>1032461245</v>
      </c>
      <c r="AC17" s="11">
        <v>34333</v>
      </c>
    </row>
    <row r="18" spans="1:29" ht="24.75" customHeight="1" x14ac:dyDescent="0.25">
      <c r="B18" s="1">
        <v>15</v>
      </c>
      <c r="C18" t="s">
        <v>27</v>
      </c>
      <c r="D18" s="1" t="s">
        <v>8</v>
      </c>
      <c r="E18" s="2">
        <v>1026282217</v>
      </c>
      <c r="F18" s="3">
        <v>33956</v>
      </c>
      <c r="G18" s="1" t="s">
        <v>79</v>
      </c>
      <c r="H18" s="1" t="s">
        <v>26</v>
      </c>
      <c r="I18" s="15" t="s">
        <v>64</v>
      </c>
      <c r="J18" s="1"/>
      <c r="K18" s="39">
        <v>1580000</v>
      </c>
      <c r="L18" s="39">
        <f>Tabla1[[#This Row],[VALOR]]-50000</f>
        <v>1530000</v>
      </c>
      <c r="M18" s="1"/>
      <c r="N18" s="1"/>
      <c r="O18" s="1"/>
      <c r="P18" s="50"/>
      <c r="Q18" s="51"/>
      <c r="R18" s="39"/>
      <c r="S18" s="1"/>
      <c r="T18" s="1"/>
      <c r="U18" s="1"/>
      <c r="V18" s="1"/>
      <c r="W18" s="1"/>
      <c r="Y18" s="33"/>
      <c r="Z18" s="7" t="s">
        <v>48</v>
      </c>
      <c r="AA18" s="8" t="s">
        <v>8</v>
      </c>
      <c r="AB18" s="9">
        <v>20870875</v>
      </c>
      <c r="AC18" s="11">
        <v>21095</v>
      </c>
    </row>
    <row r="19" spans="1:29" ht="36" customHeight="1" x14ac:dyDescent="0.25">
      <c r="B19" s="1">
        <v>16</v>
      </c>
      <c r="C19" t="s">
        <v>28</v>
      </c>
      <c r="D19" s="1" t="s">
        <v>8</v>
      </c>
      <c r="E19" s="2">
        <v>1018458752</v>
      </c>
      <c r="F19" s="3">
        <v>34078</v>
      </c>
      <c r="G19" s="1" t="s">
        <v>79</v>
      </c>
      <c r="H19" s="1" t="s">
        <v>26</v>
      </c>
      <c r="I19" s="15" t="s">
        <v>64</v>
      </c>
      <c r="J19" s="1"/>
      <c r="K19" s="39">
        <v>1580000</v>
      </c>
      <c r="L19" s="39">
        <f>Tabla1[[#This Row],[VALOR]]-50000</f>
        <v>1530000</v>
      </c>
      <c r="M19" s="1"/>
      <c r="N19" s="1"/>
      <c r="O19" s="1"/>
      <c r="P19" s="50"/>
      <c r="Q19" s="51"/>
      <c r="R19" s="39"/>
      <c r="S19" s="1"/>
      <c r="T19" s="1"/>
      <c r="U19" s="1"/>
      <c r="V19" s="1"/>
      <c r="W19" s="1"/>
      <c r="Y19" s="33"/>
      <c r="Z19" s="7" t="s">
        <v>49</v>
      </c>
      <c r="AA19" s="8" t="s">
        <v>8</v>
      </c>
      <c r="AB19" s="9">
        <v>41549594</v>
      </c>
      <c r="AC19" s="11">
        <v>19054</v>
      </c>
    </row>
    <row r="20" spans="1:29" x14ac:dyDescent="0.25">
      <c r="B20" s="1">
        <v>17</v>
      </c>
      <c r="C20" t="s">
        <v>29</v>
      </c>
      <c r="D20" s="1" t="s">
        <v>8</v>
      </c>
      <c r="E20" s="2">
        <v>79538678</v>
      </c>
      <c r="F20" s="3">
        <v>25737</v>
      </c>
      <c r="G20" s="1" t="s">
        <v>74</v>
      </c>
      <c r="H20" s="1" t="s">
        <v>66</v>
      </c>
      <c r="I20" s="6" t="s">
        <v>63</v>
      </c>
      <c r="J20" s="1"/>
      <c r="K20" s="39">
        <v>0</v>
      </c>
      <c r="L20" s="39">
        <v>0</v>
      </c>
      <c r="M20" s="1"/>
      <c r="N20" s="1"/>
      <c r="O20" s="1"/>
      <c r="P20" s="44" t="s">
        <v>90</v>
      </c>
      <c r="Q20" s="47">
        <v>400000</v>
      </c>
      <c r="R20" s="39"/>
      <c r="S20" s="1"/>
      <c r="T20" s="1"/>
      <c r="U20" s="1"/>
      <c r="V20" s="1"/>
      <c r="W20" s="1"/>
      <c r="Y20" s="33"/>
      <c r="Z20" s="7" t="s">
        <v>33</v>
      </c>
      <c r="AA20" s="8" t="s">
        <v>8</v>
      </c>
      <c r="AB20" s="9">
        <v>20870793</v>
      </c>
      <c r="AC20" s="11">
        <v>20519</v>
      </c>
    </row>
    <row r="21" spans="1:29" ht="15.75" thickBot="1" x14ac:dyDescent="0.3">
      <c r="B21" s="1">
        <v>18</v>
      </c>
      <c r="C21" s="25" t="s">
        <v>30</v>
      </c>
      <c r="D21" s="1" t="s">
        <v>8</v>
      </c>
      <c r="E21" s="2">
        <v>79656808</v>
      </c>
      <c r="F21" s="3">
        <v>27034</v>
      </c>
      <c r="G21" s="1" t="s">
        <v>74</v>
      </c>
      <c r="H21" s="1" t="s">
        <v>66</v>
      </c>
      <c r="I21" s="15" t="s">
        <v>64</v>
      </c>
      <c r="J21" s="1"/>
      <c r="K21" s="39">
        <v>0</v>
      </c>
      <c r="L21" s="39">
        <v>0</v>
      </c>
      <c r="M21" s="1"/>
      <c r="N21" s="1"/>
      <c r="O21" s="1"/>
      <c r="P21" s="44" t="s">
        <v>91</v>
      </c>
      <c r="Q21" s="47">
        <v>3492000</v>
      </c>
      <c r="R21" s="39"/>
      <c r="S21" s="1"/>
      <c r="T21" s="1"/>
      <c r="U21" s="1"/>
      <c r="V21" s="1"/>
      <c r="W21" s="1"/>
      <c r="Y21" s="32" t="s">
        <v>37</v>
      </c>
      <c r="Z21" s="7" t="s">
        <v>41</v>
      </c>
      <c r="AA21" s="8" t="s">
        <v>8</v>
      </c>
      <c r="AB21" s="9">
        <v>20357352</v>
      </c>
      <c r="AC21" s="11">
        <v>21219</v>
      </c>
    </row>
    <row r="22" spans="1:29" ht="15.75" thickBot="1" x14ac:dyDescent="0.3">
      <c r="B22" s="1">
        <v>19</v>
      </c>
      <c r="C22" s="26" t="s">
        <v>31</v>
      </c>
      <c r="D22" s="1" t="s">
        <v>8</v>
      </c>
      <c r="E22" s="2">
        <v>1032461245</v>
      </c>
      <c r="F22" s="3">
        <v>34333</v>
      </c>
      <c r="G22" s="1" t="s">
        <v>32</v>
      </c>
      <c r="H22" s="1" t="s">
        <v>24</v>
      </c>
      <c r="I22" s="15" t="s">
        <v>64</v>
      </c>
      <c r="J22" s="1" t="s">
        <v>70</v>
      </c>
      <c r="K22" s="39">
        <v>1580000</v>
      </c>
      <c r="L22" s="39">
        <f>Tabla1[[#This Row],[VALOR]]-50000</f>
        <v>1530000</v>
      </c>
      <c r="M22" s="1"/>
      <c r="N22" s="1"/>
      <c r="O22" s="1"/>
      <c r="P22" s="55" t="s">
        <v>92</v>
      </c>
      <c r="Q22" s="53">
        <v>444000</v>
      </c>
      <c r="R22" s="39"/>
      <c r="S22" s="1"/>
      <c r="T22" s="1"/>
      <c r="U22" s="1"/>
      <c r="V22" s="1"/>
      <c r="W22" s="1"/>
      <c r="Y22" s="32"/>
      <c r="Z22" s="7" t="s">
        <v>35</v>
      </c>
      <c r="AA22" s="8" t="s">
        <v>8</v>
      </c>
      <c r="AB22" s="10">
        <v>52305912</v>
      </c>
      <c r="AC22" s="12">
        <v>28472</v>
      </c>
    </row>
    <row r="23" spans="1:29" ht="15" customHeight="1" thickBot="1" x14ac:dyDescent="0.3">
      <c r="B23" s="1">
        <v>20</v>
      </c>
      <c r="C23" t="s">
        <v>33</v>
      </c>
      <c r="D23" s="1" t="s">
        <v>8</v>
      </c>
      <c r="E23" s="2">
        <v>20870793</v>
      </c>
      <c r="F23" s="3">
        <v>20519</v>
      </c>
      <c r="G23" s="1" t="s">
        <v>34</v>
      </c>
      <c r="H23" s="1" t="s">
        <v>24</v>
      </c>
      <c r="I23" s="15" t="s">
        <v>64</v>
      </c>
      <c r="J23" s="1" t="s">
        <v>70</v>
      </c>
      <c r="K23" s="39">
        <v>1580000</v>
      </c>
      <c r="L23" s="39">
        <f>Tabla1[[#This Row],[VALOR]]-50000</f>
        <v>1530000</v>
      </c>
      <c r="M23" s="1"/>
      <c r="N23" s="1"/>
      <c r="O23" s="1"/>
      <c r="P23" s="56" t="s">
        <v>70</v>
      </c>
      <c r="Q23" s="54">
        <f>SUM(Q14:Q22)</f>
        <v>46615100</v>
      </c>
      <c r="R23" s="39"/>
      <c r="S23" s="1"/>
      <c r="T23" s="1"/>
      <c r="U23" s="1"/>
      <c r="V23" s="1"/>
      <c r="W23" s="1"/>
      <c r="Y23" s="34" t="s">
        <v>38</v>
      </c>
      <c r="Z23" s="7" t="s">
        <v>19</v>
      </c>
      <c r="AA23" s="8" t="s">
        <v>8</v>
      </c>
      <c r="AB23" s="9">
        <v>51651341</v>
      </c>
      <c r="AC23" s="11">
        <v>22405</v>
      </c>
    </row>
    <row r="24" spans="1:29" ht="15" customHeight="1" thickBot="1" x14ac:dyDescent="0.3">
      <c r="B24" s="1">
        <v>21</v>
      </c>
      <c r="C24" t="s">
        <v>40</v>
      </c>
      <c r="D24" s="1" t="s">
        <v>8</v>
      </c>
      <c r="E24" s="2">
        <v>20357352</v>
      </c>
      <c r="F24" s="3">
        <v>21219</v>
      </c>
      <c r="G24" s="1" t="s">
        <v>74</v>
      </c>
      <c r="H24" s="1" t="s">
        <v>24</v>
      </c>
      <c r="I24" s="16" t="s">
        <v>67</v>
      </c>
      <c r="J24" s="2">
        <v>500000</v>
      </c>
      <c r="K24" s="39">
        <v>1580000</v>
      </c>
      <c r="L24" s="39">
        <f>Tabla1[[#This Row],[VALOR]]-50000</f>
        <v>1530000</v>
      </c>
      <c r="M24" s="2"/>
      <c r="N24" s="2"/>
      <c r="O24" s="2"/>
      <c r="P24" s="57" t="s">
        <v>97</v>
      </c>
      <c r="Q24" s="54">
        <f>Tabla1[[#Totals],[COMISIÓN]]</f>
        <v>53550000</v>
      </c>
      <c r="R24" s="39"/>
      <c r="S24" s="2"/>
      <c r="T24" s="2"/>
      <c r="U24" s="2"/>
      <c r="V24" s="2"/>
      <c r="W24" s="2"/>
      <c r="Y24" s="34"/>
      <c r="Z24" s="7" t="s">
        <v>50</v>
      </c>
      <c r="AA24" s="8" t="s">
        <v>8</v>
      </c>
      <c r="AB24" s="9" t="s">
        <v>51</v>
      </c>
      <c r="AC24" s="11">
        <v>26892</v>
      </c>
    </row>
    <row r="25" spans="1:29" ht="15" customHeight="1" x14ac:dyDescent="0.25">
      <c r="B25" s="1">
        <v>22</v>
      </c>
      <c r="C25" t="s">
        <v>42</v>
      </c>
      <c r="D25" s="1" t="s">
        <v>8</v>
      </c>
      <c r="E25" s="2">
        <v>19450941</v>
      </c>
      <c r="F25" s="3">
        <v>22411</v>
      </c>
      <c r="G25" s="1" t="s">
        <v>80</v>
      </c>
      <c r="H25" s="1" t="s">
        <v>26</v>
      </c>
      <c r="I25" s="6" t="s">
        <v>63</v>
      </c>
      <c r="J25" s="2">
        <v>1580000</v>
      </c>
      <c r="K25" s="39">
        <v>1580000</v>
      </c>
      <c r="L25" s="39">
        <f>Tabla1[[#This Row],[VALOR]]-50000</f>
        <v>1530000</v>
      </c>
      <c r="M25" s="2"/>
      <c r="N25" s="2"/>
      <c r="O25" s="2"/>
      <c r="P25" s="58" t="s">
        <v>98</v>
      </c>
      <c r="Q25" s="52">
        <f>Q24-Q23</f>
        <v>6934900</v>
      </c>
      <c r="R25" s="39"/>
      <c r="S25" s="2"/>
      <c r="T25" s="2"/>
      <c r="U25" s="2"/>
      <c r="V25" s="2"/>
      <c r="W25" s="2"/>
      <c r="Y25" s="29" t="s">
        <v>36</v>
      </c>
      <c r="Z25" s="7" t="s">
        <v>27</v>
      </c>
      <c r="AA25" s="8" t="s">
        <v>8</v>
      </c>
      <c r="AB25" s="9">
        <v>1026282217</v>
      </c>
      <c r="AC25" s="11">
        <v>33956</v>
      </c>
    </row>
    <row r="26" spans="1:29" x14ac:dyDescent="0.25">
      <c r="B26" s="1">
        <v>23</v>
      </c>
      <c r="C26" t="s">
        <v>43</v>
      </c>
      <c r="D26" s="1" t="s">
        <v>8</v>
      </c>
      <c r="E26" s="2">
        <v>20871295</v>
      </c>
      <c r="F26" s="3">
        <v>23110</v>
      </c>
      <c r="G26" s="1" t="s">
        <v>44</v>
      </c>
      <c r="H26" s="1" t="s">
        <v>26</v>
      </c>
      <c r="I26" s="6" t="s">
        <v>63</v>
      </c>
      <c r="J26" s="1" t="s">
        <v>68</v>
      </c>
      <c r="K26" s="39">
        <v>1580000</v>
      </c>
      <c r="L26" s="39">
        <f>Tabla1[[#This Row],[VALOR]]-50000</f>
        <v>1530000</v>
      </c>
      <c r="M26" s="1"/>
      <c r="N26" s="1"/>
      <c r="O26" s="1"/>
      <c r="R26" s="39"/>
      <c r="S26" s="1"/>
      <c r="T26" s="1"/>
      <c r="U26" s="1"/>
      <c r="V26" s="1"/>
      <c r="W26" s="1"/>
      <c r="Y26" s="29"/>
      <c r="Z26" s="7" t="s">
        <v>28</v>
      </c>
      <c r="AA26" s="8" t="s">
        <v>8</v>
      </c>
      <c r="AB26" s="9">
        <v>1018458752</v>
      </c>
      <c r="AC26" s="11">
        <v>34078</v>
      </c>
    </row>
    <row r="27" spans="1:29" ht="15.75" thickBot="1" x14ac:dyDescent="0.3">
      <c r="B27" s="1">
        <v>24</v>
      </c>
      <c r="C27" s="25" t="s">
        <v>45</v>
      </c>
      <c r="D27" s="1" t="s">
        <v>8</v>
      </c>
      <c r="E27" s="2">
        <v>20358014</v>
      </c>
      <c r="F27" s="3">
        <v>24820</v>
      </c>
      <c r="G27" s="1" t="s">
        <v>79</v>
      </c>
      <c r="H27" s="1" t="s">
        <v>69</v>
      </c>
      <c r="I27" s="16" t="s">
        <v>67</v>
      </c>
      <c r="J27" s="1" t="s">
        <v>70</v>
      </c>
      <c r="K27" s="39">
        <v>1580000</v>
      </c>
      <c r="L27" s="39">
        <f>Tabla1[[#This Row],[VALOR]]-50000</f>
        <v>1530000</v>
      </c>
      <c r="M27" s="1"/>
      <c r="N27" s="1"/>
      <c r="O27" s="1"/>
      <c r="R27" s="39"/>
      <c r="S27" s="1"/>
      <c r="T27" s="1"/>
      <c r="U27" s="1"/>
      <c r="V27" s="1"/>
      <c r="W27" s="1"/>
      <c r="Y27" s="30" t="s">
        <v>36</v>
      </c>
      <c r="Z27" s="7" t="s">
        <v>42</v>
      </c>
      <c r="AA27" s="8" t="s">
        <v>8</v>
      </c>
      <c r="AB27" s="9">
        <v>19450941</v>
      </c>
      <c r="AC27" s="11">
        <v>22411</v>
      </c>
    </row>
    <row r="28" spans="1:29" ht="15.75" thickBot="1" x14ac:dyDescent="0.3">
      <c r="A28" s="22"/>
      <c r="B28" s="1">
        <v>25</v>
      </c>
      <c r="C28" s="25" t="s">
        <v>73</v>
      </c>
      <c r="D28" s="1" t="s">
        <v>8</v>
      </c>
      <c r="E28">
        <v>1072962459</v>
      </c>
      <c r="F28" s="3">
        <v>34579</v>
      </c>
      <c r="G28" s="1" t="s">
        <v>79</v>
      </c>
      <c r="H28" s="1" t="s">
        <v>69</v>
      </c>
      <c r="I28" s="16" t="s">
        <v>67</v>
      </c>
      <c r="J28" s="1" t="s">
        <v>70</v>
      </c>
      <c r="K28" s="39">
        <v>1580000</v>
      </c>
      <c r="L28" s="39">
        <f>Tabla1[[#This Row],[VALOR]]-50000</f>
        <v>1530000</v>
      </c>
      <c r="M28" s="1"/>
      <c r="N28" s="1"/>
      <c r="O28" s="1"/>
      <c r="R28" s="39"/>
      <c r="S28" s="1"/>
      <c r="T28" s="1"/>
      <c r="U28" s="1"/>
      <c r="V28" s="1"/>
      <c r="W28" s="1"/>
      <c r="Y28" s="30"/>
      <c r="Z28" s="7"/>
      <c r="AA28" s="8"/>
      <c r="AB28" s="9"/>
      <c r="AC28" s="11"/>
    </row>
    <row r="29" spans="1:29" x14ac:dyDescent="0.25">
      <c r="B29" s="1">
        <v>26</v>
      </c>
      <c r="C29" t="s">
        <v>46</v>
      </c>
      <c r="D29" s="1" t="s">
        <v>13</v>
      </c>
      <c r="E29">
        <v>1074098078</v>
      </c>
      <c r="F29" s="3">
        <v>38920</v>
      </c>
      <c r="G29" s="1" t="s">
        <v>75</v>
      </c>
      <c r="H29" s="1" t="s">
        <v>69</v>
      </c>
      <c r="I29" s="16" t="s">
        <v>67</v>
      </c>
      <c r="J29" s="1"/>
      <c r="K29" s="39">
        <v>1580000</v>
      </c>
      <c r="L29" s="39">
        <f>Tabla1[[#This Row],[VALOR]]-50000</f>
        <v>1530000</v>
      </c>
      <c r="M29" s="1"/>
      <c r="N29" s="1"/>
      <c r="O29" s="1"/>
      <c r="R29" s="39"/>
      <c r="S29" s="1"/>
      <c r="T29" s="1"/>
      <c r="U29" s="1"/>
      <c r="V29" s="1"/>
      <c r="W29" s="1"/>
      <c r="Y29" s="30"/>
      <c r="Z29" s="7" t="s">
        <v>43</v>
      </c>
      <c r="AA29" s="8" t="s">
        <v>8</v>
      </c>
      <c r="AB29" s="9">
        <v>20871295</v>
      </c>
      <c r="AC29" s="11">
        <v>23110</v>
      </c>
    </row>
    <row r="30" spans="1:29" x14ac:dyDescent="0.25">
      <c r="B30" s="1">
        <v>27</v>
      </c>
      <c r="C30" t="s">
        <v>47</v>
      </c>
      <c r="D30" s="1" t="s">
        <v>8</v>
      </c>
      <c r="E30">
        <v>20358123</v>
      </c>
      <c r="F30" s="3">
        <v>25639</v>
      </c>
      <c r="G30" s="1" t="s">
        <v>81</v>
      </c>
      <c r="H30" s="1" t="s">
        <v>69</v>
      </c>
      <c r="I30" s="16" t="s">
        <v>67</v>
      </c>
      <c r="J30" s="1"/>
      <c r="K30" s="39">
        <v>1580000</v>
      </c>
      <c r="L30" s="39">
        <f>Tabla1[[#This Row],[VALOR]]-50000</f>
        <v>1530000</v>
      </c>
      <c r="M30" s="1"/>
      <c r="N30" s="1"/>
      <c r="O30" s="1"/>
      <c r="R30" s="39"/>
      <c r="S30" s="1"/>
      <c r="T30" s="1"/>
      <c r="U30" s="1"/>
      <c r="V30" s="1"/>
      <c r="W30" s="1"/>
      <c r="Y30" s="31" t="s">
        <v>38</v>
      </c>
      <c r="Z30" s="7" t="s">
        <v>45</v>
      </c>
      <c r="AA30" s="8" t="s">
        <v>8</v>
      </c>
      <c r="AB30" s="9">
        <v>20358014</v>
      </c>
      <c r="AC30" s="11">
        <v>24820</v>
      </c>
    </row>
    <row r="31" spans="1:29" x14ac:dyDescent="0.25">
      <c r="B31" s="1">
        <v>28</v>
      </c>
      <c r="C31" t="s">
        <v>48</v>
      </c>
      <c r="D31" s="1" t="s">
        <v>8</v>
      </c>
      <c r="E31" s="2">
        <v>20870875</v>
      </c>
      <c r="F31" s="3">
        <v>21095</v>
      </c>
      <c r="G31" s="1" t="s">
        <v>82</v>
      </c>
      <c r="H31" s="1" t="s">
        <v>24</v>
      </c>
      <c r="I31" s="15" t="s">
        <v>64</v>
      </c>
      <c r="J31" s="1" t="s">
        <v>70</v>
      </c>
      <c r="K31" s="39">
        <v>1580000</v>
      </c>
      <c r="L31" s="39">
        <f>Tabla1[[#This Row],[VALOR]]-50000</f>
        <v>1530000</v>
      </c>
      <c r="M31" s="1"/>
      <c r="N31" s="1"/>
      <c r="O31" s="1"/>
      <c r="R31" s="39"/>
      <c r="S31" s="1"/>
      <c r="T31" s="1"/>
      <c r="U31" s="1"/>
      <c r="V31" s="1"/>
      <c r="W31" s="1"/>
      <c r="Y31" s="31"/>
      <c r="Z31" s="7" t="s">
        <v>46</v>
      </c>
      <c r="AA31" s="8" t="s">
        <v>13</v>
      </c>
      <c r="AB31" s="7">
        <v>1074098078</v>
      </c>
      <c r="AC31" s="13">
        <v>38920</v>
      </c>
    </row>
    <row r="32" spans="1:29" ht="15.75" thickBot="1" x14ac:dyDescent="0.3">
      <c r="B32" s="1">
        <v>29</v>
      </c>
      <c r="C32" s="25" t="s">
        <v>49</v>
      </c>
      <c r="D32" s="1" t="s">
        <v>8</v>
      </c>
      <c r="E32" s="2">
        <v>41549594</v>
      </c>
      <c r="F32" s="3">
        <v>19054</v>
      </c>
      <c r="G32" s="1" t="s">
        <v>83</v>
      </c>
      <c r="H32" s="1" t="s">
        <v>24</v>
      </c>
      <c r="I32" s="15" t="s">
        <v>64</v>
      </c>
      <c r="J32" s="1" t="s">
        <v>70</v>
      </c>
      <c r="K32" s="39">
        <v>1580000</v>
      </c>
      <c r="L32" s="39">
        <f>Tabla1[[#This Row],[VALOR]]-50000</f>
        <v>1530000</v>
      </c>
      <c r="M32" s="1"/>
      <c r="N32" s="1"/>
      <c r="O32" s="1"/>
      <c r="R32" s="39"/>
      <c r="S32" s="1"/>
      <c r="T32" s="1"/>
      <c r="U32" s="1"/>
      <c r="V32" s="1"/>
      <c r="W32" s="1"/>
      <c r="Y32" s="31"/>
      <c r="Z32" s="7" t="s">
        <v>53</v>
      </c>
      <c r="AA32" s="8" t="s">
        <v>8</v>
      </c>
      <c r="AB32" s="7">
        <v>20358123</v>
      </c>
      <c r="AC32" s="13">
        <v>25639</v>
      </c>
    </row>
    <row r="33" spans="2:23" ht="15.75" thickBot="1" x14ac:dyDescent="0.3">
      <c r="B33" s="1">
        <v>30</v>
      </c>
      <c r="C33" s="25" t="s">
        <v>50</v>
      </c>
      <c r="D33" s="23" t="s">
        <v>8</v>
      </c>
      <c r="E33" s="24" t="s">
        <v>51</v>
      </c>
      <c r="F33" s="3">
        <v>26892</v>
      </c>
      <c r="G33" s="1" t="s">
        <v>74</v>
      </c>
      <c r="H33" s="1" t="s">
        <v>26</v>
      </c>
      <c r="I33" s="6" t="s">
        <v>63</v>
      </c>
      <c r="J33" s="2">
        <v>500000</v>
      </c>
      <c r="K33" s="39">
        <v>1580000</v>
      </c>
      <c r="L33" s="39">
        <f>Tabla1[[#This Row],[VALOR]]-50000</f>
        <v>1530000</v>
      </c>
      <c r="M33" s="2"/>
      <c r="N33" s="2"/>
      <c r="O33" s="2"/>
      <c r="P33" s="43"/>
      <c r="Q33" s="2"/>
      <c r="R33" s="39"/>
      <c r="S33" s="2"/>
      <c r="T33" s="2"/>
      <c r="U33" s="2"/>
      <c r="V33" s="2"/>
      <c r="W33" s="2"/>
    </row>
    <row r="34" spans="2:23" x14ac:dyDescent="0.25">
      <c r="B34" s="1">
        <v>31</v>
      </c>
      <c r="C34" t="s">
        <v>54</v>
      </c>
      <c r="D34" s="1" t="s">
        <v>8</v>
      </c>
      <c r="E34" s="2">
        <v>1075629952</v>
      </c>
      <c r="F34" s="3">
        <v>36185</v>
      </c>
      <c r="G34" s="1" t="s">
        <v>83</v>
      </c>
      <c r="H34" s="1" t="s">
        <v>71</v>
      </c>
      <c r="I34" s="17" t="s">
        <v>65</v>
      </c>
      <c r="J34" s="1" t="s">
        <v>72</v>
      </c>
      <c r="K34" s="39">
        <v>1580000</v>
      </c>
      <c r="L34" s="39">
        <f>Tabla1[[#This Row],[VALOR]]-50000</f>
        <v>1530000</v>
      </c>
      <c r="M34" s="1"/>
      <c r="N34" s="1"/>
      <c r="O34" s="1"/>
      <c r="R34" s="39"/>
      <c r="S34" s="1"/>
      <c r="T34" s="1"/>
      <c r="U34" s="1"/>
      <c r="V34" s="1"/>
      <c r="W34" s="1"/>
    </row>
    <row r="35" spans="2:23" x14ac:dyDescent="0.25">
      <c r="B35" s="1">
        <v>32</v>
      </c>
      <c r="C35" t="s">
        <v>55</v>
      </c>
      <c r="D35" s="1" t="s">
        <v>8</v>
      </c>
      <c r="E35" s="2">
        <v>11450347</v>
      </c>
      <c r="F35" s="3">
        <v>22577</v>
      </c>
      <c r="G35" s="1" t="s">
        <v>75</v>
      </c>
      <c r="H35" s="1" t="s">
        <v>71</v>
      </c>
      <c r="I35" s="17" t="s">
        <v>65</v>
      </c>
      <c r="J35" s="1" t="s">
        <v>68</v>
      </c>
      <c r="K35" s="39">
        <v>1580000</v>
      </c>
      <c r="L35" s="39">
        <f>Tabla1[[#This Row],[VALOR]]-50000</f>
        <v>1530000</v>
      </c>
      <c r="M35" s="1" t="s">
        <v>86</v>
      </c>
      <c r="N35" s="1"/>
      <c r="O35" s="1"/>
      <c r="R35" s="39"/>
      <c r="S35" s="1"/>
      <c r="T35" s="1"/>
      <c r="U35" s="1"/>
      <c r="V35" s="1"/>
      <c r="W35" s="1"/>
    </row>
    <row r="36" spans="2:23" x14ac:dyDescent="0.25">
      <c r="B36" s="1">
        <v>33</v>
      </c>
      <c r="C36" t="s">
        <v>57</v>
      </c>
      <c r="D36" s="1" t="s">
        <v>8</v>
      </c>
      <c r="E36" s="2">
        <v>21015918</v>
      </c>
      <c r="F36" s="3">
        <v>24894</v>
      </c>
      <c r="G36" s="1" t="s">
        <v>85</v>
      </c>
      <c r="H36" s="1" t="s">
        <v>71</v>
      </c>
      <c r="I36" s="17" t="s">
        <v>65</v>
      </c>
      <c r="J36" s="1" t="s">
        <v>68</v>
      </c>
      <c r="K36" s="39">
        <v>1580000</v>
      </c>
      <c r="L36" s="39">
        <f>Tabla1[[#This Row],[VALOR]]-50000</f>
        <v>1530000</v>
      </c>
      <c r="M36" s="1"/>
      <c r="N36" s="1"/>
      <c r="O36" s="1"/>
      <c r="R36" s="39"/>
      <c r="S36" s="1"/>
      <c r="T36" s="1"/>
      <c r="U36" s="1"/>
      <c r="V36" s="1"/>
      <c r="W36" s="1"/>
    </row>
    <row r="37" spans="2:23" ht="15.75" thickBot="1" x14ac:dyDescent="0.3">
      <c r="B37" s="1">
        <v>34</v>
      </c>
      <c r="C37" s="25" t="s">
        <v>56</v>
      </c>
      <c r="D37" s="1" t="s">
        <v>8</v>
      </c>
      <c r="E37" s="2">
        <v>51821949</v>
      </c>
      <c r="F37" s="3">
        <v>24319</v>
      </c>
      <c r="G37" s="1" t="s">
        <v>75</v>
      </c>
      <c r="H37" s="1" t="s">
        <v>24</v>
      </c>
      <c r="I37" s="17" t="s">
        <v>65</v>
      </c>
      <c r="J37" s="1"/>
      <c r="K37" s="39">
        <v>1580000</v>
      </c>
      <c r="L37" s="39">
        <f>Tabla1[[#This Row],[VALOR]]-50000</f>
        <v>1530000</v>
      </c>
      <c r="M37" s="1"/>
      <c r="N37" s="1"/>
      <c r="O37" s="1"/>
      <c r="R37" s="39"/>
      <c r="S37" s="1"/>
      <c r="T37" s="1"/>
      <c r="U37" s="1"/>
      <c r="V37" s="1"/>
      <c r="W37" s="1"/>
    </row>
    <row r="38" spans="2:23" x14ac:dyDescent="0.25">
      <c r="B38" s="1">
        <v>35</v>
      </c>
      <c r="C38" s="26" t="s">
        <v>58</v>
      </c>
      <c r="D38" s="1" t="s">
        <v>13</v>
      </c>
      <c r="E38" s="2">
        <v>1028670651</v>
      </c>
      <c r="F38" s="3">
        <v>42051</v>
      </c>
      <c r="G38" s="1" t="s">
        <v>84</v>
      </c>
      <c r="H38" s="1" t="s">
        <v>69</v>
      </c>
      <c r="I38" s="16" t="s">
        <v>67</v>
      </c>
      <c r="J38" s="1"/>
      <c r="K38" s="39">
        <v>1580000</v>
      </c>
      <c r="L38" s="39">
        <f>Tabla1[[#This Row],[VALOR]]-50000</f>
        <v>1530000</v>
      </c>
      <c r="M38" s="1"/>
      <c r="N38" s="1"/>
      <c r="O38" s="1"/>
      <c r="R38" s="39"/>
      <c r="S38" s="1"/>
      <c r="T38" s="1"/>
      <c r="U38" s="1"/>
      <c r="V38" s="1"/>
      <c r="W38" s="1"/>
    </row>
    <row r="39" spans="2:23" ht="15.75" thickBot="1" x14ac:dyDescent="0.3">
      <c r="B39" s="1">
        <v>36</v>
      </c>
      <c r="C39" s="25" t="s">
        <v>59</v>
      </c>
      <c r="D39" s="1" t="s">
        <v>13</v>
      </c>
      <c r="E39" s="2">
        <v>1195465487</v>
      </c>
      <c r="F39" s="3">
        <v>42010</v>
      </c>
      <c r="G39" s="1" t="s">
        <v>83</v>
      </c>
      <c r="H39" s="1" t="s">
        <v>69</v>
      </c>
      <c r="I39" s="16" t="s">
        <v>67</v>
      </c>
      <c r="J39" s="1"/>
      <c r="K39" s="39">
        <v>1580000</v>
      </c>
      <c r="L39" s="39">
        <f>Tabla1[[#This Row],[VALOR]]-50000</f>
        <v>1530000</v>
      </c>
      <c r="M39" s="1"/>
      <c r="N39" s="1"/>
      <c r="O39" s="1"/>
      <c r="R39" s="39"/>
      <c r="S39" s="1"/>
      <c r="T39" s="1"/>
      <c r="U39" s="1"/>
      <c r="V39" s="1"/>
      <c r="W39" s="1"/>
    </row>
    <row r="40" spans="2:23" x14ac:dyDescent="0.25">
      <c r="B40" s="1">
        <v>37</v>
      </c>
      <c r="C40" t="s">
        <v>60</v>
      </c>
      <c r="D40" s="1" t="s">
        <v>8</v>
      </c>
      <c r="E40" s="2">
        <v>20617454</v>
      </c>
      <c r="F40" s="3">
        <v>19548</v>
      </c>
      <c r="G40" s="1">
        <v>3118391625</v>
      </c>
      <c r="H40" s="1" t="s">
        <v>71</v>
      </c>
      <c r="I40" s="17" t="s">
        <v>65</v>
      </c>
      <c r="J40" s="1" t="s">
        <v>70</v>
      </c>
      <c r="K40" s="39">
        <v>1580000</v>
      </c>
      <c r="L40" s="39">
        <f>Tabla1[[#This Row],[VALOR]]-50000</f>
        <v>1530000</v>
      </c>
      <c r="M40" s="1"/>
      <c r="N40" s="1"/>
      <c r="O40" s="1"/>
      <c r="R40" s="39"/>
      <c r="S40" s="1"/>
      <c r="T40" s="1"/>
      <c r="U40" s="1"/>
      <c r="V40" s="1"/>
      <c r="W40" s="1"/>
    </row>
    <row r="41" spans="2:23" x14ac:dyDescent="0.25">
      <c r="B41" s="41"/>
      <c r="C41" s="42"/>
      <c r="E41" s="2"/>
      <c r="F41" s="3"/>
      <c r="J41" s="1"/>
      <c r="K41" s="39">
        <f>SUBTOTAL(109,Tabla1[VALOR])</f>
        <v>55300000</v>
      </c>
      <c r="L41" s="39">
        <f>SUBTOTAL(109,Tabla1[COMISIÓN])</f>
        <v>53550000</v>
      </c>
    </row>
    <row r="42" spans="2:23" x14ac:dyDescent="0.25">
      <c r="L42" s="38">
        <f>Tabla1[[#Totals],[COMISIÓN]]+R8</f>
        <v>55300000</v>
      </c>
    </row>
  </sheetData>
  <mergeCells count="16">
    <mergeCell ref="P3:R3"/>
    <mergeCell ref="P15:P16"/>
    <mergeCell ref="Q15:Q16"/>
    <mergeCell ref="P17:P19"/>
    <mergeCell ref="Q17:Q19"/>
    <mergeCell ref="P13:Q13"/>
    <mergeCell ref="Y2:AC2"/>
    <mergeCell ref="Y25:Y26"/>
    <mergeCell ref="Y27:Y29"/>
    <mergeCell ref="Y30:Y32"/>
    <mergeCell ref="Y21:Y22"/>
    <mergeCell ref="Y17:Y20"/>
    <mergeCell ref="Y23:Y24"/>
    <mergeCell ref="Y14:Y16"/>
    <mergeCell ref="Y10:Y11"/>
    <mergeCell ref="Y12:Y13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BA9C8-C2FF-4C89-B6A0-72BB87BEF542}">
  <dimension ref="D5:D16"/>
  <sheetViews>
    <sheetView workbookViewId="0">
      <selection activeCell="D16" sqref="D16"/>
    </sheetView>
  </sheetViews>
  <sheetFormatPr baseColWidth="10" defaultRowHeight="15" x14ac:dyDescent="0.25"/>
  <cols>
    <col min="4" max="4" width="13" style="38" bestFit="1" customWidth="1"/>
  </cols>
  <sheetData>
    <row r="5" spans="4:4" x14ac:dyDescent="0.25">
      <c r="D5" s="38">
        <v>1545200</v>
      </c>
    </row>
    <row r="6" spans="4:4" x14ac:dyDescent="0.25">
      <c r="D6" s="38">
        <v>3476700</v>
      </c>
    </row>
    <row r="7" spans="4:4" x14ac:dyDescent="0.25">
      <c r="D7" s="38">
        <v>1731600</v>
      </c>
    </row>
    <row r="8" spans="4:4" x14ac:dyDescent="0.25">
      <c r="D8" s="38">
        <v>1632600</v>
      </c>
    </row>
    <row r="9" spans="4:4" x14ac:dyDescent="0.25">
      <c r="D9" s="38">
        <v>706300</v>
      </c>
    </row>
    <row r="10" spans="4:4" x14ac:dyDescent="0.25">
      <c r="D10" s="38">
        <v>4944100</v>
      </c>
    </row>
    <row r="11" spans="4:4" x14ac:dyDescent="0.25">
      <c r="D11" s="38">
        <v>2060800</v>
      </c>
    </row>
    <row r="12" spans="4:4" x14ac:dyDescent="0.25">
      <c r="D12" s="38">
        <v>621400</v>
      </c>
    </row>
    <row r="13" spans="4:4" x14ac:dyDescent="0.25">
      <c r="D13" s="38">
        <v>526000</v>
      </c>
    </row>
    <row r="14" spans="4:4" x14ac:dyDescent="0.25">
      <c r="D14" s="38">
        <v>371500</v>
      </c>
    </row>
    <row r="15" spans="4:4" x14ac:dyDescent="0.25">
      <c r="D15" s="38">
        <v>554500</v>
      </c>
    </row>
    <row r="16" spans="4:4" x14ac:dyDescent="0.25">
      <c r="D16" s="38">
        <f>SUM(D5:D15)</f>
        <v>18170700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HP LAPTOP</cp:lastModifiedBy>
  <dcterms:created xsi:type="dcterms:W3CDTF">2024-01-24T13:45:16Z</dcterms:created>
  <dcterms:modified xsi:type="dcterms:W3CDTF">2024-06-19T20:17:54Z</dcterms:modified>
</cp:coreProperties>
</file>