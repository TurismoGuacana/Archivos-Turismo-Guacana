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GENERALES DE LA EMPRESA\"/>
    </mc:Choice>
  </mc:AlternateContent>
  <xr:revisionPtr revIDLastSave="0" documentId="13_ncr:1_{9CF18B4B-4A55-4485-943A-1F8344ADD1C4}" xr6:coauthVersionLast="47" xr6:coauthVersionMax="47" xr10:uidLastSave="{00000000-0000-0000-0000-000000000000}"/>
  <bookViews>
    <workbookView xWindow="-120" yWindow="-120" windowWidth="20730" windowHeight="11040" xr2:uid="{D82CC685-C917-40D2-A3F0-BC0F4A2F36A3}"/>
  </bookViews>
  <sheets>
    <sheet name="SALIDAS" sheetId="1" r:id="rId1"/>
    <sheet name="CONTABILIDAD" sheetId="2" r:id="rId2"/>
  </sheets>
  <externalReferences>
    <externalReference r:id="rId3"/>
  </externalReferences>
  <definedNames>
    <definedName name="Nombre">SALIDAS!$B:$B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4" i="1" l="1"/>
  <c r="I24" i="2"/>
  <c r="J23" i="2"/>
  <c r="J22" i="2"/>
  <c r="J21" i="2"/>
  <c r="J20" i="2"/>
  <c r="E20" i="2"/>
  <c r="E26" i="2" s="1"/>
  <c r="E28" i="2" s="1"/>
  <c r="J19" i="2"/>
  <c r="J18" i="2"/>
  <c r="J24" i="2" l="1"/>
  <c r="C44" i="2"/>
  <c r="C41" i="2"/>
  <c r="H187" i="1"/>
  <c r="C45" i="2" l="1"/>
  <c r="C4" i="2"/>
  <c r="E10" i="2"/>
  <c r="E7" i="2"/>
  <c r="E5" i="2"/>
  <c r="E6" i="2"/>
  <c r="H39" i="1"/>
  <c r="E11" i="2" l="1"/>
  <c r="E13" i="2" s="1"/>
</calcChain>
</file>

<file path=xl/sharedStrings.xml><?xml version="1.0" encoding="utf-8"?>
<sst xmlns="http://schemas.openxmlformats.org/spreadsheetml/2006/main" count="666" uniqueCount="272">
  <si>
    <t xml:space="preserve">NOMBRE </t>
  </si>
  <si>
    <t xml:space="preserve">TIPO DE DOCUMENTO </t>
  </si>
  <si>
    <t>N°</t>
  </si>
  <si>
    <t>N° DE DOCUMENTO</t>
  </si>
  <si>
    <t>FECHA DE NACIMIENTO</t>
  </si>
  <si>
    <t>NÚMERO TELEFÓNICO</t>
  </si>
  <si>
    <t>ERIKA JULIANA BUITRAGO MENDOZA</t>
  </si>
  <si>
    <t>C.C</t>
  </si>
  <si>
    <t>311 488 2275</t>
  </si>
  <si>
    <t>VIVIANA PATRICIA CANO</t>
  </si>
  <si>
    <t>311 823 1254</t>
  </si>
  <si>
    <t>JEIMMY PAOLA AREVALO MARULANDA</t>
  </si>
  <si>
    <t>311 444 1656</t>
  </si>
  <si>
    <t>ANGIE CATERINE ROJAS</t>
  </si>
  <si>
    <t>314 355 8376</t>
  </si>
  <si>
    <t>EOJAR ALEXANDER MANCERA</t>
  </si>
  <si>
    <t>FERNANDO ENRIQUE BAQUERO</t>
  </si>
  <si>
    <t>320 200 8697</t>
  </si>
  <si>
    <t xml:space="preserve">ADRIANA PATRICIA ALVEAR GONZALEZ </t>
  </si>
  <si>
    <t>ANDREA CAROLINA ALVEAR GONZALEZ</t>
  </si>
  <si>
    <t>MARCELA LANCHEROS SANCHEZ</t>
  </si>
  <si>
    <t>ANDRES BUITRAGO</t>
  </si>
  <si>
    <t>FABIAN JOSE IBAÑEZ CANO</t>
  </si>
  <si>
    <t>312 547 7682</t>
  </si>
  <si>
    <t>JENNYFER CAMILA VEGA PEREZ</t>
  </si>
  <si>
    <t>NEIDER ANDRES PULIDO PULIDO</t>
  </si>
  <si>
    <t>310 258 7621</t>
  </si>
  <si>
    <t>WILMER ALEJANDRO ROJAS PULIDO</t>
  </si>
  <si>
    <t>NICOLLE PIÑEROS HERRERA</t>
  </si>
  <si>
    <t>321 334 1257</t>
  </si>
  <si>
    <t>NICOLAS ROMERO GARCIA</t>
  </si>
  <si>
    <t>OFELIA HERRERA</t>
  </si>
  <si>
    <t>THIAGO ROMERO PIÑEROS</t>
  </si>
  <si>
    <t>R.C</t>
  </si>
  <si>
    <t>PABLO ERNESTO RUEDA DALINDO</t>
  </si>
  <si>
    <t>312 378 7469</t>
  </si>
  <si>
    <t>PAULA LORENA REYES GARCIA</t>
  </si>
  <si>
    <t>322 726 1341</t>
  </si>
  <si>
    <t>MARYNELA PINZON ALONSO</t>
  </si>
  <si>
    <t>313 250 7922</t>
  </si>
  <si>
    <t>ALEJANDRA HUERTAS MOLINA</t>
  </si>
  <si>
    <t>311 875 7572</t>
  </si>
  <si>
    <t>SARA YINETH BARRERO PINZÓN</t>
  </si>
  <si>
    <t>JAVIER ALEXIS RESTREPO BARRERO</t>
  </si>
  <si>
    <t>JUAN FELIPE CORREA RAMOS</t>
  </si>
  <si>
    <t>318 322 2260-313 318 8081</t>
  </si>
  <si>
    <t>CARLOS COLORADO</t>
  </si>
  <si>
    <t xml:space="preserve">322 9494346 </t>
  </si>
  <si>
    <t>MARCELA QUIROGA</t>
  </si>
  <si>
    <t>CAMILO BARRERO</t>
  </si>
  <si>
    <t>VALERY GOMEZ</t>
  </si>
  <si>
    <t>NILSON DANIEL TORRES HERNANDEZ</t>
  </si>
  <si>
    <t>T.I</t>
  </si>
  <si>
    <t>GLORIA ESPERANZA MORENO APONTE</t>
  </si>
  <si>
    <t>NUBIA MERCEDES APONTE ALBINO</t>
  </si>
  <si>
    <t xml:space="preserve">DIANA CAROLINA RODRÍGUEZ </t>
  </si>
  <si>
    <t>ANGEL CANO</t>
  </si>
  <si>
    <t xml:space="preserve">C.C </t>
  </si>
  <si>
    <t>BRAYAN STIVEN RUIZ</t>
  </si>
  <si>
    <t xml:space="preserve">LUIS ALBERTO DUARTE MOLINA </t>
  </si>
  <si>
    <t>JAROL ESTIVEN HENAO VALENCIA</t>
  </si>
  <si>
    <t>LUIS HERNANDO ROMERO</t>
  </si>
  <si>
    <t>311 451 254</t>
  </si>
  <si>
    <t>LUISA FERNANDA ROMERO</t>
  </si>
  <si>
    <t>LAURA TATIANA PEÑA</t>
  </si>
  <si>
    <t>321 724 6526</t>
  </si>
  <si>
    <t>NICOLAS FELIPE CAMACHO</t>
  </si>
  <si>
    <t>MARTINA CAMACHO PEÑA</t>
  </si>
  <si>
    <t>PATRICIA GARZON CASTILLO</t>
  </si>
  <si>
    <t>ERNESTO MARQUEZ</t>
  </si>
  <si>
    <t>JULIA ELEONOR SARMIENTO</t>
  </si>
  <si>
    <t>TATIANA DEL PILAR CANO ROSARIO</t>
  </si>
  <si>
    <t xml:space="preserve">GRACIELA GALINDO </t>
  </si>
  <si>
    <t>JOSÉ ANTONIO ORTIZ FORERO</t>
  </si>
  <si>
    <t>ANDREA ROMERO VARGAS</t>
  </si>
  <si>
    <t>313 403 1559</t>
  </si>
  <si>
    <t>LUIS ALEJANDRO CHARRY</t>
  </si>
  <si>
    <t>320 314 9792</t>
  </si>
  <si>
    <t>LUIS ALFONSO CANO TORO</t>
  </si>
  <si>
    <t>313 787 0078</t>
  </si>
  <si>
    <t>FABIOLA ROSARIO GARCIA</t>
  </si>
  <si>
    <t xml:space="preserve">CRISTIAN FERNANDO ROBAYO SANCHEZ </t>
  </si>
  <si>
    <t>KAREN YERALDINE GARCIA RAMIREZ</t>
  </si>
  <si>
    <t>EMMA SOFIA SERRANO GARCIA</t>
  </si>
  <si>
    <t>SARA LUCIA BERNAL VILLABON</t>
  </si>
  <si>
    <t>CRISTIAN CAMILO BERNAL MARTINEZ</t>
  </si>
  <si>
    <t>ANGELA BERRIO BOLIVAR</t>
  </si>
  <si>
    <t>ANGEL IBAN PARDO BERRIO</t>
  </si>
  <si>
    <t xml:space="preserve">BURKHARD HALLMANN </t>
  </si>
  <si>
    <t>C.E</t>
  </si>
  <si>
    <t xml:space="preserve">ALEXANDRA RODRIGUEZ </t>
  </si>
  <si>
    <t>310 316 6791</t>
  </si>
  <si>
    <t xml:space="preserve">SOFIA HALLMAN </t>
  </si>
  <si>
    <t>FRANCY ROMERO SANABRIA</t>
  </si>
  <si>
    <t>JACKELINE HERRERA DIAZ</t>
  </si>
  <si>
    <t>ROCIO ELEONOR RODRIGUEZ SARMIENTO</t>
  </si>
  <si>
    <t xml:space="preserve">FERNANDO SALAS PICON </t>
  </si>
  <si>
    <t>DANIELA ALEJANDRA RUIZ</t>
  </si>
  <si>
    <t xml:space="preserve">JUAN DAVID CAMACHO FONSECA </t>
  </si>
  <si>
    <t>EMMANUEL CAMACHO RUIZ</t>
  </si>
  <si>
    <t xml:space="preserve">EMILIA CAMACHO RUIZ </t>
  </si>
  <si>
    <t>PAULA ALEJANDRA JIMENEZ RODRÍGUEZ</t>
  </si>
  <si>
    <t>VIVIAN LORENA VALENZUELA RODRÍGUEZ</t>
  </si>
  <si>
    <t>EMMANUEL PARRA JIMENEZ</t>
  </si>
  <si>
    <t>LUZ MIREYA RODRÍGUEZ LLEÓN</t>
  </si>
  <si>
    <t>NURLY AMPARO PARRA</t>
  </si>
  <si>
    <t>SALOMÉ MATA PARRA</t>
  </si>
  <si>
    <t xml:space="preserve">ELSY LOPEZ ESCOBAR </t>
  </si>
  <si>
    <t>MARÍA TERESA SARMIENTO DE LOPEZ</t>
  </si>
  <si>
    <t>JOSÉ GABRIEL CABRERA PINZÓN</t>
  </si>
  <si>
    <t>MARÍA FERNANDA BENAVIDES</t>
  </si>
  <si>
    <t>VIAJE SALENTO</t>
  </si>
  <si>
    <t>VIAJES</t>
  </si>
  <si>
    <t>MANO GIGANTE</t>
  </si>
  <si>
    <t>Columna1</t>
  </si>
  <si>
    <t>TOTAL</t>
  </si>
  <si>
    <t>TRANSPORTE</t>
  </si>
  <si>
    <t>SEGURO DE VIAJE</t>
  </si>
  <si>
    <t>ALIMENTACIÓN</t>
  </si>
  <si>
    <t>TRASLADO CAMIONETA</t>
  </si>
  <si>
    <t>BOLETA DE INGRESO</t>
  </si>
  <si>
    <t xml:space="preserve">COMISIONES </t>
  </si>
  <si>
    <t xml:space="preserve">GASTOS DE REPRESENTACIÓN </t>
  </si>
  <si>
    <t>INGRESO TERMALES</t>
  </si>
  <si>
    <t xml:space="preserve">COSTOS SALIDA MANO GIGANTE </t>
  </si>
  <si>
    <t>Solo se desconto un guía</t>
  </si>
  <si>
    <t>SUJETO</t>
  </si>
  <si>
    <t>VALOR C/U</t>
  </si>
  <si>
    <t>CANTIDAD</t>
  </si>
  <si>
    <t xml:space="preserve">OBSERVACIONES </t>
  </si>
  <si>
    <t>UTILIDAD</t>
  </si>
  <si>
    <t>INGRESO</t>
  </si>
  <si>
    <t xml:space="preserve"> </t>
  </si>
  <si>
    <t>COSTOS SALIDA SALENTO</t>
  </si>
  <si>
    <t>TRANSPORTE INTERNO SALENTO VALLE DE COCORA</t>
  </si>
  <si>
    <t>INGRESO VALLE DE COCORA</t>
  </si>
  <si>
    <t>INGRESO BIOPARQUE UKUMARI</t>
  </si>
  <si>
    <t xml:space="preserve">GABRIEL CABRERA </t>
  </si>
  <si>
    <t>CC</t>
  </si>
  <si>
    <t xml:space="preserve">CONSUELO BAQUERO </t>
  </si>
  <si>
    <t>MARTHA DORIS RAMIREZ</t>
  </si>
  <si>
    <t xml:space="preserve">MARIAN VELASQUEZ DE SANTOYA </t>
  </si>
  <si>
    <t xml:space="preserve">LUIS ALBERTO DUARTE </t>
  </si>
  <si>
    <t xml:space="preserve">DIANA CAROLINA PATIÑO JIMENEZ </t>
  </si>
  <si>
    <t xml:space="preserve">JESUS HUMBERTO PATIÑO PASELLIN </t>
  </si>
  <si>
    <t xml:space="preserve">YOLANDA JIMENEZ RODRIGUEZ </t>
  </si>
  <si>
    <t xml:space="preserve">ANDRES FELIPE SERRANO PATIÑO </t>
  </si>
  <si>
    <t>TI</t>
  </si>
  <si>
    <t xml:space="preserve">SARA VALENTINA SERRANO PATIÑO </t>
  </si>
  <si>
    <t xml:space="preserve">TI </t>
  </si>
  <si>
    <t xml:space="preserve">GRACIELA SANTA MARIA </t>
  </si>
  <si>
    <t xml:space="preserve">ISIDRO CUERVO </t>
  </si>
  <si>
    <t xml:space="preserve">LUZ MARINA CAICA </t>
  </si>
  <si>
    <t xml:space="preserve">JAIRO MORENO </t>
  </si>
  <si>
    <t xml:space="preserve">ALICIA AMAYA BERNAL </t>
  </si>
  <si>
    <t xml:space="preserve">YANETH CASTRO AMAYA </t>
  </si>
  <si>
    <t xml:space="preserve">CLAUDIA PATRICIA PENAGOS </t>
  </si>
  <si>
    <t xml:space="preserve">THOMAS GAITAN CASTRO </t>
  </si>
  <si>
    <t xml:space="preserve">SOFIA CASTRO PENAGOS </t>
  </si>
  <si>
    <t xml:space="preserve">MARIA FERNANDA BENAVIDES </t>
  </si>
  <si>
    <t xml:space="preserve">LAUREANO GARCIA ESCOBAR </t>
  </si>
  <si>
    <t xml:space="preserve">ROSALBA OSMA DE GARCIA </t>
  </si>
  <si>
    <t xml:space="preserve">MARIA ALIX LICETH GARCIA OSMA </t>
  </si>
  <si>
    <t xml:space="preserve">LUIS MARTIN LEMUS </t>
  </si>
  <si>
    <t>MARIA BLADY CASTIBLANCO</t>
  </si>
  <si>
    <t xml:space="preserve">ALEJANDRA ESPINOSA GARCIA </t>
  </si>
  <si>
    <t xml:space="preserve">HORTENCIA ORJUELA </t>
  </si>
  <si>
    <t xml:space="preserve">ALICIA ORJUELA </t>
  </si>
  <si>
    <t xml:space="preserve">MARTHA CACILIA PARRA MUNAR </t>
  </si>
  <si>
    <t xml:space="preserve">LILIA CASTRO PAEZ </t>
  </si>
  <si>
    <t xml:space="preserve">JOSUE SANTIAGO BARRIOS SANCHEZ </t>
  </si>
  <si>
    <t>NICOLE KATERIN SANCHEZ CASTRO</t>
  </si>
  <si>
    <t xml:space="preserve">BECCI CECILIA SANCHEZ RODRIGUEZ </t>
  </si>
  <si>
    <t xml:space="preserve">OSCAR EDUARDO SANCHEZ RODRIGUEZ </t>
  </si>
  <si>
    <t xml:space="preserve">KAROL ESTEFANY SANCHEZ CASTRO </t>
  </si>
  <si>
    <t xml:space="preserve">RC </t>
  </si>
  <si>
    <t xml:space="preserve">NANCY ESPERANZA CSTRO MENDEZ </t>
  </si>
  <si>
    <t xml:space="preserve">BECCY GISELL SANCHEZ RODRIGUEZ </t>
  </si>
  <si>
    <t xml:space="preserve">ALCIDA TRINIDADURREGO GONZALEZ </t>
  </si>
  <si>
    <t xml:space="preserve">LUZ AMPARO LOPEZ RODRIGUEZ </t>
  </si>
  <si>
    <t xml:space="preserve">NANCY ESPERANZA ESPINOZA </t>
  </si>
  <si>
    <t xml:space="preserve">SOFIA GARCIA </t>
  </si>
  <si>
    <t xml:space="preserve">EVANGELISTA SANABRIA </t>
  </si>
  <si>
    <t xml:space="preserve">LEONOR DUARTE </t>
  </si>
  <si>
    <t xml:space="preserve">SONIA AYALA DE LOPEZ </t>
  </si>
  <si>
    <t xml:space="preserve">CENAIDA GARCIA REYES </t>
  </si>
  <si>
    <t xml:space="preserve">AMINTA REYES </t>
  </si>
  <si>
    <t xml:space="preserve">FERNANDO BENAVIDES </t>
  </si>
  <si>
    <t xml:space="preserve">EDWIN DAVID GOMEZ MORENO </t>
  </si>
  <si>
    <t xml:space="preserve">PATRICIA MORENO </t>
  </si>
  <si>
    <t xml:space="preserve">MATILDE GUZAMAN </t>
  </si>
  <si>
    <t xml:space="preserve">ANGIE BERNAL </t>
  </si>
  <si>
    <t>ESTHER JULIA MARTINEZ</t>
  </si>
  <si>
    <t xml:space="preserve">EVA VARGAS </t>
  </si>
  <si>
    <t xml:space="preserve">MIRIAM ESPINOSA </t>
  </si>
  <si>
    <t xml:space="preserve">CARMEN ROSA MARTINEZ </t>
  </si>
  <si>
    <t xml:space="preserve">LEONOR SANCHEZ </t>
  </si>
  <si>
    <t xml:space="preserve">MARIO ESPINOSA </t>
  </si>
  <si>
    <t xml:space="preserve">JULIA AREVALO </t>
  </si>
  <si>
    <t xml:space="preserve">GLORIA ESPINOSA </t>
  </si>
  <si>
    <t xml:space="preserve">ARNULFO SANCHEZ </t>
  </si>
  <si>
    <t xml:space="preserve">SARA JUILIA MARTINEZ </t>
  </si>
  <si>
    <t xml:space="preserve">MARIA POSADA </t>
  </si>
  <si>
    <t xml:space="preserve">JAVIER GONZALEZ </t>
  </si>
  <si>
    <t xml:space="preserve">MIGUEL ANGEL GONZALEZ </t>
  </si>
  <si>
    <t xml:space="preserve">SARA INES ESPINOSA </t>
  </si>
  <si>
    <t xml:space="preserve">MIGUEL ANGEL PEÑALOZA </t>
  </si>
  <si>
    <t xml:space="preserve">GRACIELA ARDILA </t>
  </si>
  <si>
    <t xml:space="preserve">GLADIS DIAZ </t>
  </si>
  <si>
    <t xml:space="preserve">MARTHA DIAZ </t>
  </si>
  <si>
    <t xml:space="preserve">OLGA LUCIA PASTO </t>
  </si>
  <si>
    <t xml:space="preserve">ROSA MALDONADO </t>
  </si>
  <si>
    <t xml:space="preserve">ESTHER MENDEZ </t>
  </si>
  <si>
    <t xml:space="preserve">GONZALO TORO </t>
  </si>
  <si>
    <t xml:space="preserve">JENNIFER CUDRIS </t>
  </si>
  <si>
    <t xml:space="preserve">ALICIA CUDRIS </t>
  </si>
  <si>
    <t xml:space="preserve">PT </t>
  </si>
  <si>
    <t xml:space="preserve">SANDRA ANDRADE </t>
  </si>
  <si>
    <t xml:space="preserve">ISABELA GARZON </t>
  </si>
  <si>
    <t xml:space="preserve">DIANA GONZALEZ </t>
  </si>
  <si>
    <t xml:space="preserve">STHEPANY PINZON </t>
  </si>
  <si>
    <t xml:space="preserve">JULIAN ALDANA </t>
  </si>
  <si>
    <t xml:space="preserve">AIDE PASTO </t>
  </si>
  <si>
    <t xml:space="preserve">FLOR ELBA RODRIGUEZ </t>
  </si>
  <si>
    <t>OLGA LUICIA CAMPOS</t>
  </si>
  <si>
    <t xml:space="preserve">YULIANA RODRIGUEZ </t>
  </si>
  <si>
    <t xml:space="preserve">NIA JULIANA ALDANA </t>
  </si>
  <si>
    <t xml:space="preserve">RAFAELA JIMENEZ </t>
  </si>
  <si>
    <t xml:space="preserve">JACOBO MARTINEZ </t>
  </si>
  <si>
    <t>MARINA MUÑOZ</t>
  </si>
  <si>
    <t>BERTHA MUÑOZ</t>
  </si>
  <si>
    <t xml:space="preserve">CECILIA MUÑOZ </t>
  </si>
  <si>
    <t xml:space="preserve">CAROL BARBOSA </t>
  </si>
  <si>
    <t xml:space="preserve">EMMANUEL BARBOSA </t>
  </si>
  <si>
    <t xml:space="preserve">JOHAN FERNEY HERNANDEZ </t>
  </si>
  <si>
    <t xml:space="preserve">JAVIER REINA </t>
  </si>
  <si>
    <t xml:space="preserve">ELIANA VILLADA </t>
  </si>
  <si>
    <t xml:space="preserve">CHRISNEL SANCHEZ </t>
  </si>
  <si>
    <t xml:space="preserve">LUIS FELIPE RIVERA </t>
  </si>
  <si>
    <t xml:space="preserve">LINA SOFIA ESPINOSA </t>
  </si>
  <si>
    <t>HILDA CANO</t>
  </si>
  <si>
    <t>TOMAS CIPRIANO</t>
  </si>
  <si>
    <t>Erika vanesa garcia romero</t>
  </si>
  <si>
    <t xml:space="preserve">AMOR Y AMISTAD </t>
  </si>
  <si>
    <t>COSTOS Y GASTOS SALIDAD AMOR Y AMISTAD</t>
  </si>
  <si>
    <t xml:space="preserve">TRANSPORTE </t>
  </si>
  <si>
    <t>ALMUERZO+INGRESO</t>
  </si>
  <si>
    <t xml:space="preserve">EVENTO MUSICAL RECREACIONISTA </t>
  </si>
  <si>
    <t>GASTOS DE REPRESENTACIÓN</t>
  </si>
  <si>
    <t>BEBIDAS Y LICORES</t>
  </si>
  <si>
    <t>PREMIOS Y REGALOS</t>
  </si>
  <si>
    <t>INGRESOS</t>
  </si>
  <si>
    <t>ALMUERZO ADICIONAL</t>
  </si>
  <si>
    <t>TOTAL INGRESOS</t>
  </si>
  <si>
    <t>COMISIONISTA</t>
  </si>
  <si>
    <t>NOMBRE</t>
  </si>
  <si>
    <t>CANT.</t>
  </si>
  <si>
    <t>VALOR</t>
  </si>
  <si>
    <t>LAD</t>
  </si>
  <si>
    <t>TETE</t>
  </si>
  <si>
    <t>EDITH</t>
  </si>
  <si>
    <t>MAFE</t>
  </si>
  <si>
    <t>ALEJA</t>
  </si>
  <si>
    <t>DIANA</t>
  </si>
  <si>
    <t xml:space="preserve">TOTAL </t>
  </si>
  <si>
    <t>FERNANDO BENAVIDES DIÁZ</t>
  </si>
  <si>
    <t>ISABEL</t>
  </si>
  <si>
    <t>GLORIA</t>
  </si>
  <si>
    <t>COMISIONISTAS</t>
  </si>
  <si>
    <t>INGRESO + ALMUEZO</t>
  </si>
  <si>
    <t>SEGURO</t>
  </si>
  <si>
    <t>GASTOS Y COSTOS CAFAM 21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</si>
</sst>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6" xfId="0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0" fillId="2" borderId="8" xfId="0" applyFill="1" applyBorder="1"/>
    <xf numFmtId="0" fontId="0" fillId="2" borderId="8" xfId="0" applyFill="1" applyBorder="1" applyAlignment="1">
      <alignment horizontal="center"/>
    </xf>
    <xf numFmtId="3" fontId="0" fillId="2" borderId="9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3" fontId="0" fillId="4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/>
    </xf>
    <xf numFmtId="6" fontId="0" fillId="0" borderId="0" xfId="0" applyNumberFormat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6" fontId="0" fillId="5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8" fontId="0" fillId="0" borderId="0" xfId="0" applyNumberFormat="1"/>
    <xf numFmtId="0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44" fontId="0" fillId="4" borderId="0" xfId="1" applyFont="1" applyFill="1" applyAlignment="1">
      <alignment horizontal="center"/>
    </xf>
    <xf numFmtId="8" fontId="0" fillId="4" borderId="0" xfId="0" applyNumberFormat="1" applyFill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6" fontId="0" fillId="5" borderId="5" xfId="0" applyNumberFormat="1" applyFill="1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0" fillId="0" borderId="8" xfId="0" applyFill="1" applyBorder="1" applyAlignment="1">
      <alignment horizontal="left"/>
    </xf>
    <xf numFmtId="0" fontId="0" fillId="0" borderId="8" xfId="0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4" fontId="0" fillId="0" borderId="5" xfId="1" applyFont="1" applyBorder="1" applyAlignment="1">
      <alignment horizontal="center"/>
    </xf>
    <xf numFmtId="3" fontId="0" fillId="2" borderId="3" xfId="2" applyNumberFormat="1" applyFont="1" applyFill="1" applyBorder="1" applyAlignment="1">
      <alignment horizontal="center"/>
    </xf>
    <xf numFmtId="3" fontId="0" fillId="0" borderId="3" xfId="2" applyNumberFormat="1" applyFont="1" applyFill="1" applyBorder="1" applyAlignment="1">
      <alignment horizontal="center"/>
    </xf>
    <xf numFmtId="0" fontId="0" fillId="0" borderId="10" xfId="0" applyBorder="1"/>
    <xf numFmtId="44" fontId="0" fillId="0" borderId="0" xfId="1" applyFont="1" applyBorder="1" applyAlignment="1">
      <alignment horizontal="center"/>
    </xf>
    <xf numFmtId="3" fontId="0" fillId="0" borderId="7" xfId="2" applyNumberFormat="1" applyFont="1" applyFill="1" applyBorder="1" applyAlignment="1">
      <alignment horizontal="center"/>
    </xf>
    <xf numFmtId="0" fontId="0" fillId="0" borderId="12" xfId="0" applyFill="1" applyBorder="1" applyAlignment="1">
      <alignment horizontal="left"/>
    </xf>
    <xf numFmtId="0" fontId="0" fillId="0" borderId="12" xfId="0" applyFill="1" applyBorder="1" applyAlignment="1">
      <alignment horizontal="center"/>
    </xf>
    <xf numFmtId="3" fontId="0" fillId="0" borderId="13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2" xfId="0" applyFill="1" applyBorder="1" applyAlignment="1">
      <alignment horizontal="center"/>
    </xf>
    <xf numFmtId="44" fontId="0" fillId="0" borderId="12" xfId="1" applyFont="1" applyBorder="1" applyAlignment="1">
      <alignment horizontal="center"/>
    </xf>
    <xf numFmtId="3" fontId="0" fillId="0" borderId="9" xfId="2" applyNumberFormat="1" applyFont="1" applyFill="1" applyBorder="1" applyAlignment="1">
      <alignment horizontal="center"/>
    </xf>
    <xf numFmtId="0" fontId="0" fillId="6" borderId="15" xfId="0" applyFill="1" applyBorder="1"/>
    <xf numFmtId="0" fontId="0" fillId="6" borderId="16" xfId="0" applyFill="1" applyBorder="1"/>
    <xf numFmtId="0" fontId="0" fillId="0" borderId="16" xfId="0" applyBorder="1"/>
    <xf numFmtId="0" fontId="0" fillId="6" borderId="17" xfId="0" applyFill="1" applyBorder="1"/>
    <xf numFmtId="0" fontId="0" fillId="6" borderId="18" xfId="0" applyFill="1" applyBorder="1"/>
    <xf numFmtId="44" fontId="0" fillId="6" borderId="21" xfId="1" applyFont="1" applyFill="1" applyBorder="1"/>
    <xf numFmtId="44" fontId="0" fillId="6" borderId="22" xfId="1" applyFont="1" applyFill="1" applyBorder="1"/>
    <xf numFmtId="44" fontId="0" fillId="0" borderId="22" xfId="1" applyFont="1" applyFill="1" applyBorder="1"/>
    <xf numFmtId="44" fontId="0" fillId="6" borderId="23" xfId="1" applyFont="1" applyFill="1" applyBorder="1"/>
    <xf numFmtId="44" fontId="0" fillId="4" borderId="24" xfId="0" applyNumberFormat="1" applyFill="1" applyBorder="1"/>
    <xf numFmtId="44" fontId="0" fillId="7" borderId="24" xfId="0" applyNumberFormat="1" applyFill="1" applyBorder="1"/>
    <xf numFmtId="0" fontId="2" fillId="6" borderId="16" xfId="0" applyFont="1" applyFill="1" applyBorder="1"/>
    <xf numFmtId="44" fontId="0" fillId="5" borderId="22" xfId="0" applyNumberFormat="1" applyFill="1" applyBorder="1"/>
    <xf numFmtId="44" fontId="0" fillId="0" borderId="5" xfId="0" applyNumberFormat="1" applyBorder="1" applyAlignment="1">
      <alignment horizontal="center"/>
    </xf>
    <xf numFmtId="44" fontId="0" fillId="0" borderId="0" xfId="0" applyNumberFormat="1"/>
    <xf numFmtId="44" fontId="0" fillId="0" borderId="0" xfId="1" applyFont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0" xfId="0" applyBorder="1"/>
    <xf numFmtId="0" fontId="0" fillId="6" borderId="27" xfId="0" applyFill="1" applyBorder="1"/>
    <xf numFmtId="0" fontId="0" fillId="6" borderId="27" xfId="0" applyFill="1" applyBorder="1" applyAlignment="1">
      <alignment horizontal="center"/>
    </xf>
    <xf numFmtId="0" fontId="0" fillId="6" borderId="21" xfId="0" applyFill="1" applyBorder="1"/>
    <xf numFmtId="0" fontId="0" fillId="6" borderId="19" xfId="0" applyFill="1" applyBorder="1"/>
    <xf numFmtId="0" fontId="0" fillId="6" borderId="26" xfId="0" applyFill="1" applyBorder="1"/>
    <xf numFmtId="0" fontId="0" fillId="6" borderId="26" xfId="0" applyFill="1" applyBorder="1" applyAlignment="1">
      <alignment horizontal="center"/>
    </xf>
    <xf numFmtId="0" fontId="0" fillId="6" borderId="25" xfId="0" applyFill="1" applyBorder="1"/>
    <xf numFmtId="0" fontId="0" fillId="6" borderId="0" xfId="0" applyFill="1" applyBorder="1" applyAlignment="1">
      <alignment horizontal="center"/>
    </xf>
    <xf numFmtId="0" fontId="0" fillId="6" borderId="0" xfId="0" applyFill="1" applyBorder="1"/>
    <xf numFmtId="0" fontId="0" fillId="6" borderId="22" xfId="0" applyFill="1" applyBorder="1"/>
    <xf numFmtId="164" fontId="0" fillId="0" borderId="0" xfId="0" applyNumberFormat="1" applyBorder="1" applyAlignment="1">
      <alignment horizontal="center"/>
    </xf>
    <xf numFmtId="4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horizontal="center" wrapText="1"/>
    </xf>
    <xf numFmtId="44" fontId="0" fillId="0" borderId="0" xfId="0" applyNumberFormat="1" applyBorder="1" applyAlignment="1">
      <alignment horizontal="center" wrapText="1"/>
    </xf>
    <xf numFmtId="164" fontId="0" fillId="0" borderId="0" xfId="0" applyNumberFormat="1" applyBorder="1" applyAlignment="1">
      <alignment horizontal="left"/>
    </xf>
    <xf numFmtId="44" fontId="0" fillId="5" borderId="0" xfId="0" applyNumberFormat="1" applyFill="1" applyBorder="1" applyAlignment="1">
      <alignment horizontal="center"/>
    </xf>
    <xf numFmtId="6" fontId="0" fillId="0" borderId="0" xfId="0" applyNumberFormat="1" applyBorder="1" applyAlignment="1">
      <alignment horizontal="center"/>
    </xf>
    <xf numFmtId="8" fontId="0" fillId="0" borderId="0" xfId="0" applyNumberFormat="1" applyBorder="1"/>
    <xf numFmtId="44" fontId="0" fillId="4" borderId="0" xfId="0" applyNumberFormat="1" applyFill="1" applyBorder="1" applyAlignment="1">
      <alignment horizontal="center"/>
    </xf>
    <xf numFmtId="0" fontId="0" fillId="4" borderId="10" xfId="0" applyFill="1" applyBorder="1"/>
    <xf numFmtId="0" fontId="0" fillId="0" borderId="0" xfId="0" applyBorder="1" applyAlignment="1"/>
    <xf numFmtId="0" fontId="0" fillId="6" borderId="15" xfId="0" applyFill="1" applyBorder="1" applyAlignment="1"/>
    <xf numFmtId="0" fontId="0" fillId="4" borderId="10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bottom" textRotation="0" wrapText="0" indent="0" justifyLastLine="0" shrinkToFit="0" readingOrder="0"/>
    </dxf>
    <dxf>
      <numFmt numFmtId="164" formatCode="&quot;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niela/Documents/Turismo%20Guacana/CONTABILIDAD%20SALIDA%20SAL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CONTABILIDAD SALIDA SALENTO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F7926-97C6-4EA2-ABF8-6A85D5596BF8}" name="Tabla1" displayName="Tabla1" ref="B1:H187" totalsRowShown="0" headerRowDxfId="20">
  <autoFilter ref="B1:H187" xr:uid="{966F7926-97C6-4EA2-ABF8-6A85D5596BF8}"/>
  <tableColumns count="7">
    <tableColumn id="1" xr3:uid="{4C0FA20B-C420-47EB-966F-EB58B7515E9E}" name="NOMBRE " dataDxfId="19"/>
    <tableColumn id="2" xr3:uid="{4DAA876E-91EA-4FD9-994D-06F4B3EB1FA9}" name="TIPO DE DOCUMENTO " dataDxfId="18"/>
    <tableColumn id="3" xr3:uid="{12FE3C45-7A7D-407F-9D7F-7578828FF52C}" name="N° DE DOCUMENTO" dataDxfId="17"/>
    <tableColumn id="4" xr3:uid="{DD2DBED6-5E66-40DD-A032-55A3C3AEDE9B}" name="FECHA DE NACIMIENTO" dataDxfId="16"/>
    <tableColumn id="5" xr3:uid="{CE68FA8B-79D4-493E-9DAD-850243B39667}" name="NÚMERO TELEFÓNICO" dataDxfId="15"/>
    <tableColumn id="6" xr3:uid="{CDDA5E53-5AA4-4ED5-BA84-614BBD7D8AC3}" name="VIAJES" dataDxfId="14"/>
    <tableColumn id="7" xr3:uid="{1D9F7DC9-2DB4-42C1-8821-C5D3F81FAE0B}" name="Columna1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8BE68A-6D46-4370-8B27-379B0C874FF7}" name="Tabla3" displayName="Tabla3" ref="B2:F13" totalsRowShown="0" headerRowDxfId="12">
  <autoFilter ref="B2:F13" xr:uid="{498BE68A-6D46-4370-8B27-379B0C874FF7}"/>
  <tableColumns count="5">
    <tableColumn id="1" xr3:uid="{22293E20-60F1-4498-8ACC-6349CC0ACCA0}" name="SUJETO"/>
    <tableColumn id="2" xr3:uid="{DE34F616-71C6-4247-9221-5C890B462092}" name="VALOR C/U" dataDxfId="11"/>
    <tableColumn id="3" xr3:uid="{7A3705BC-E1B5-4986-9C2D-33A09EDFB094}" name="CANTIDAD" dataDxfId="10"/>
    <tableColumn id="4" xr3:uid="{26975C13-1A81-485D-8840-2507F6183E81}" name="TOTAL" dataDxfId="9"/>
    <tableColumn id="5" xr3:uid="{9030C437-7D4C-423B-AD5C-6CE6C095433A}" name="OBSERVACIONES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D01DF3-9D02-472E-BFC1-4550FFBBD766}" name="Tabla4" displayName="Tabla4" ref="B33:C45" totalsRowShown="0" tableBorderDxfId="8">
  <autoFilter ref="B33:C45" xr:uid="{00D01DF3-9D02-472E-BFC1-4550FFBBD766}"/>
  <tableColumns count="2">
    <tableColumn id="1" xr3:uid="{C0A07162-3B7E-4D03-AA9B-3CB87639C90E}" name="SUJETO"/>
    <tableColumn id="2" xr3:uid="{09AB5881-E2C7-4897-9293-624577ED978A}" name="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8123E9-06A9-4C51-BE4C-915C50178454}" name="Tabla3310" displayName="Tabla3310" ref="B17:F28" totalsRowShown="0" headerRowDxfId="7">
  <autoFilter ref="B17:F28" xr:uid="{028123E9-06A9-4C51-BE4C-915C50178454}"/>
  <tableColumns count="5">
    <tableColumn id="1" xr3:uid="{634B35E0-301C-4702-995A-FD111CF930CF}" name="SUJETO"/>
    <tableColumn id="2" xr3:uid="{D757616C-08F6-4BC3-8EE1-BBB083EDBDF7}" name="VALOR C/U" dataDxfId="6"/>
    <tableColumn id="3" xr3:uid="{1112EA20-A75A-4BA3-835F-F7750EE48943}" name="CANTIDAD" dataDxfId="5">
      <calculatedColumnFormula>[1]!Tabla1[[#Totals],[VALOR]]</calculatedColumnFormula>
    </tableColumn>
    <tableColumn id="4" xr3:uid="{F855C5AC-8E3D-45FB-B535-A784C6AD6D33}" name="TOTAL" dataDxfId="4"/>
    <tableColumn id="5" xr3:uid="{5307F228-1958-422F-81F1-3150B81D8E89}" name="OBSERVACIONES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144687-C985-4E4A-A25F-106EAFF1E559}" name="Tabla411" displayName="Tabla411" ref="H17:J24" totalsRowShown="0" headerRowDxfId="3">
  <autoFilter ref="H17:J24" xr:uid="{D4144687-C985-4E4A-A25F-106EAFF1E559}"/>
  <tableColumns count="3">
    <tableColumn id="1" xr3:uid="{70ED38F0-A430-4CF5-9DDB-0523286C21A8}" name="NOMBRE" dataDxfId="2"/>
    <tableColumn id="2" xr3:uid="{C302AC49-A1DC-4395-98A7-098A0B767317}" name="CANT." dataDxfId="1"/>
    <tableColumn id="3" xr3:uid="{B944AE81-9EBD-4F8E-9412-2F46FDC30D97}" name="VALOR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38B1-6F3F-436C-B0AF-EAED2C306D31}">
  <dimension ref="A1:I187"/>
  <sheetViews>
    <sheetView tabSelected="1" workbookViewId="0">
      <selection activeCell="B6" sqref="B6"/>
    </sheetView>
  </sheetViews>
  <sheetFormatPr baseColWidth="10" defaultRowHeight="15" x14ac:dyDescent="0.25"/>
  <cols>
    <col min="1" max="1" width="3.140625" bestFit="1" customWidth="1"/>
    <col min="2" max="2" width="35.85546875" bestFit="1" customWidth="1"/>
    <col min="3" max="3" width="22.85546875" style="1" customWidth="1"/>
    <col min="4" max="4" width="20.42578125" style="1" customWidth="1"/>
    <col min="5" max="5" width="23.7109375" style="1" customWidth="1"/>
    <col min="6" max="6" width="23.7109375" style="1" bestFit="1" customWidth="1"/>
    <col min="7" max="7" width="22.5703125" style="1" bestFit="1" customWidth="1"/>
    <col min="8" max="8" width="15.5703125" bestFit="1" customWidth="1"/>
  </cols>
  <sheetData>
    <row r="1" spans="1:8" s="1" customFormat="1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112</v>
      </c>
      <c r="H1" s="1" t="s">
        <v>114</v>
      </c>
    </row>
    <row r="2" spans="1:8" x14ac:dyDescent="0.25">
      <c r="A2">
        <v>1</v>
      </c>
      <c r="B2" t="s">
        <v>6</v>
      </c>
      <c r="C2" s="1" t="s">
        <v>7</v>
      </c>
      <c r="D2" s="3">
        <v>1007159466</v>
      </c>
      <c r="E2" s="2">
        <v>36594</v>
      </c>
      <c r="F2" s="1" t="s">
        <v>8</v>
      </c>
      <c r="G2" s="1" t="s">
        <v>113</v>
      </c>
      <c r="H2" s="34">
        <v>175000</v>
      </c>
    </row>
    <row r="3" spans="1:8" x14ac:dyDescent="0.25">
      <c r="A3">
        <v>2</v>
      </c>
      <c r="B3" t="s">
        <v>9</v>
      </c>
      <c r="C3" s="1" t="s">
        <v>7</v>
      </c>
      <c r="D3" s="3">
        <v>20358907</v>
      </c>
      <c r="E3" s="2">
        <v>31009</v>
      </c>
      <c r="F3" s="1" t="s">
        <v>10</v>
      </c>
      <c r="G3" s="1" t="s">
        <v>113</v>
      </c>
      <c r="H3" s="34">
        <v>175000</v>
      </c>
    </row>
    <row r="4" spans="1:8" x14ac:dyDescent="0.25">
      <c r="A4">
        <v>3</v>
      </c>
      <c r="B4" t="s">
        <v>11</v>
      </c>
      <c r="C4" s="1" t="s">
        <v>7</v>
      </c>
      <c r="D4" s="3">
        <v>1003564856</v>
      </c>
      <c r="E4" s="2">
        <v>32986</v>
      </c>
      <c r="F4" s="1" t="s">
        <v>12</v>
      </c>
      <c r="G4" s="1" t="s">
        <v>113</v>
      </c>
      <c r="H4" s="34">
        <v>175000</v>
      </c>
    </row>
    <row r="5" spans="1:8" x14ac:dyDescent="0.25">
      <c r="A5">
        <v>4</v>
      </c>
      <c r="B5" t="s">
        <v>13</v>
      </c>
      <c r="C5" s="1" t="s">
        <v>7</v>
      </c>
      <c r="D5" s="3">
        <v>1003759607</v>
      </c>
      <c r="E5" s="2">
        <v>34274</v>
      </c>
      <c r="F5" s="1" t="s">
        <v>14</v>
      </c>
      <c r="G5" s="1" t="s">
        <v>113</v>
      </c>
      <c r="H5" s="34">
        <v>175000</v>
      </c>
    </row>
    <row r="6" spans="1:8" x14ac:dyDescent="0.25">
      <c r="A6">
        <v>5</v>
      </c>
      <c r="B6" s="4" t="s">
        <v>15</v>
      </c>
      <c r="C6" s="1" t="s">
        <v>7</v>
      </c>
      <c r="D6" s="3">
        <v>1072960659</v>
      </c>
      <c r="E6" s="2">
        <v>32296</v>
      </c>
      <c r="F6" s="1" t="s">
        <v>17</v>
      </c>
      <c r="G6" s="1" t="s">
        <v>113</v>
      </c>
      <c r="H6" s="34">
        <v>175000</v>
      </c>
    </row>
    <row r="7" spans="1:8" x14ac:dyDescent="0.25">
      <c r="A7">
        <v>6</v>
      </c>
      <c r="B7" t="s">
        <v>16</v>
      </c>
      <c r="C7" s="1" t="s">
        <v>7</v>
      </c>
      <c r="D7" s="3">
        <v>2951284</v>
      </c>
      <c r="E7" s="2">
        <v>30625</v>
      </c>
      <c r="F7" s="1" t="s">
        <v>17</v>
      </c>
      <c r="G7" s="1" t="s">
        <v>113</v>
      </c>
      <c r="H7" s="34">
        <v>175000</v>
      </c>
    </row>
    <row r="8" spans="1:8" x14ac:dyDescent="0.25">
      <c r="A8">
        <v>7</v>
      </c>
      <c r="B8" s="4" t="s">
        <v>18</v>
      </c>
      <c r="C8" s="1" t="s">
        <v>7</v>
      </c>
      <c r="D8" s="3">
        <v>1072963347</v>
      </c>
      <c r="E8" s="2">
        <v>35801</v>
      </c>
      <c r="F8" s="1" t="s">
        <v>17</v>
      </c>
      <c r="G8" s="1" t="s">
        <v>113</v>
      </c>
      <c r="H8" s="34">
        <v>175000</v>
      </c>
    </row>
    <row r="9" spans="1:8" x14ac:dyDescent="0.25">
      <c r="A9">
        <v>8</v>
      </c>
      <c r="B9" t="s">
        <v>19</v>
      </c>
      <c r="C9" s="5" t="s">
        <v>52</v>
      </c>
      <c r="D9" s="3">
        <v>1074088068</v>
      </c>
      <c r="E9" s="2">
        <v>38649</v>
      </c>
      <c r="F9" s="1" t="s">
        <v>17</v>
      </c>
      <c r="G9" s="1" t="s">
        <v>113</v>
      </c>
      <c r="H9" s="34">
        <v>175000</v>
      </c>
    </row>
    <row r="10" spans="1:8" x14ac:dyDescent="0.25">
      <c r="A10">
        <v>9</v>
      </c>
      <c r="B10" s="4" t="s">
        <v>20</v>
      </c>
      <c r="C10" s="1" t="s">
        <v>7</v>
      </c>
      <c r="D10" s="3">
        <v>20358454</v>
      </c>
      <c r="E10" s="2">
        <v>28705</v>
      </c>
      <c r="F10" s="1" t="s">
        <v>17</v>
      </c>
      <c r="G10" s="1" t="s">
        <v>113</v>
      </c>
      <c r="H10" s="34">
        <v>175000</v>
      </c>
    </row>
    <row r="11" spans="1:8" x14ac:dyDescent="0.25">
      <c r="A11">
        <v>10</v>
      </c>
      <c r="B11" s="4" t="s">
        <v>21</v>
      </c>
      <c r="C11" s="1" t="s">
        <v>7</v>
      </c>
      <c r="D11" s="3">
        <v>1072961919</v>
      </c>
      <c r="E11" s="2">
        <v>33873</v>
      </c>
      <c r="F11" s="1" t="s">
        <v>17</v>
      </c>
      <c r="G11" s="1" t="s">
        <v>113</v>
      </c>
      <c r="H11" s="34">
        <v>175000</v>
      </c>
    </row>
    <row r="12" spans="1:8" x14ac:dyDescent="0.25">
      <c r="A12">
        <v>11</v>
      </c>
      <c r="B12" s="4" t="s">
        <v>22</v>
      </c>
      <c r="C12" s="1" t="s">
        <v>7</v>
      </c>
      <c r="D12" s="3">
        <v>1072962536</v>
      </c>
      <c r="E12" s="2">
        <v>34738</v>
      </c>
      <c r="F12" s="1" t="s">
        <v>23</v>
      </c>
      <c r="G12" s="1" t="s">
        <v>113</v>
      </c>
      <c r="H12" s="34">
        <v>175000</v>
      </c>
    </row>
    <row r="13" spans="1:8" x14ac:dyDescent="0.25">
      <c r="A13">
        <v>12</v>
      </c>
      <c r="B13" s="4" t="s">
        <v>24</v>
      </c>
      <c r="C13" s="1" t="s">
        <v>7</v>
      </c>
      <c r="D13" s="3">
        <v>1003908499</v>
      </c>
      <c r="E13" s="6">
        <v>36510</v>
      </c>
      <c r="F13" s="1" t="s">
        <v>23</v>
      </c>
      <c r="G13" s="1" t="s">
        <v>113</v>
      </c>
      <c r="H13" s="34">
        <v>175000</v>
      </c>
    </row>
    <row r="14" spans="1:8" x14ac:dyDescent="0.25">
      <c r="A14">
        <v>13</v>
      </c>
      <c r="B14" s="4" t="s">
        <v>25</v>
      </c>
      <c r="C14" s="5" t="s">
        <v>52</v>
      </c>
      <c r="D14" s="3">
        <v>1073628332</v>
      </c>
      <c r="E14" s="2">
        <v>38686</v>
      </c>
      <c r="F14" s="1" t="s">
        <v>26</v>
      </c>
      <c r="G14" s="1" t="s">
        <v>113</v>
      </c>
      <c r="H14" s="34">
        <v>175000</v>
      </c>
    </row>
    <row r="15" spans="1:8" x14ac:dyDescent="0.25">
      <c r="A15">
        <v>14</v>
      </c>
      <c r="B15" s="4" t="s">
        <v>27</v>
      </c>
      <c r="C15" s="5" t="s">
        <v>52</v>
      </c>
      <c r="D15" s="3">
        <v>1073628315</v>
      </c>
      <c r="E15" s="2">
        <v>38650</v>
      </c>
      <c r="F15" s="1" t="s">
        <v>26</v>
      </c>
      <c r="G15" s="1" t="s">
        <v>113</v>
      </c>
      <c r="H15" s="34">
        <v>175000</v>
      </c>
    </row>
    <row r="16" spans="1:8" x14ac:dyDescent="0.25">
      <c r="A16">
        <v>15</v>
      </c>
      <c r="B16" s="4" t="s">
        <v>28</v>
      </c>
      <c r="C16" s="1" t="s">
        <v>7</v>
      </c>
      <c r="D16" s="3">
        <v>1072963388</v>
      </c>
      <c r="E16" s="2">
        <v>35481</v>
      </c>
      <c r="F16" s="1" t="s">
        <v>29</v>
      </c>
      <c r="G16" s="1" t="s">
        <v>113</v>
      </c>
      <c r="H16" s="34">
        <v>175000</v>
      </c>
    </row>
    <row r="17" spans="1:8" x14ac:dyDescent="0.25">
      <c r="A17">
        <v>16</v>
      </c>
      <c r="B17" s="4" t="s">
        <v>30</v>
      </c>
      <c r="C17" s="1" t="s">
        <v>7</v>
      </c>
      <c r="D17" s="3">
        <v>1072963388</v>
      </c>
      <c r="E17" s="2">
        <v>35882</v>
      </c>
      <c r="F17" s="1" t="s">
        <v>29</v>
      </c>
      <c r="G17" s="1" t="s">
        <v>113</v>
      </c>
      <c r="H17" s="34">
        <v>175000</v>
      </c>
    </row>
    <row r="18" spans="1:8" x14ac:dyDescent="0.25">
      <c r="A18">
        <v>17</v>
      </c>
      <c r="B18" s="4" t="s">
        <v>31</v>
      </c>
      <c r="C18" s="1" t="s">
        <v>7</v>
      </c>
      <c r="D18" s="3">
        <v>52623727</v>
      </c>
      <c r="E18" s="2">
        <v>27665</v>
      </c>
      <c r="F18" s="1" t="s">
        <v>29</v>
      </c>
      <c r="G18" s="1" t="s">
        <v>113</v>
      </c>
      <c r="H18" s="34">
        <v>175000</v>
      </c>
    </row>
    <row r="19" spans="1:8" s="4" customFormat="1" x14ac:dyDescent="0.25">
      <c r="A19" s="4">
        <v>18</v>
      </c>
      <c r="B19" s="31" t="s">
        <v>32</v>
      </c>
      <c r="C19" s="30" t="s">
        <v>33</v>
      </c>
      <c r="D19" s="32">
        <v>1072964144</v>
      </c>
      <c r="E19" s="33">
        <v>44206</v>
      </c>
      <c r="F19" s="30"/>
      <c r="G19" s="30" t="s">
        <v>113</v>
      </c>
      <c r="H19" s="42">
        <v>10000</v>
      </c>
    </row>
    <row r="20" spans="1:8" x14ac:dyDescent="0.25">
      <c r="A20">
        <v>19</v>
      </c>
      <c r="B20" s="4" t="s">
        <v>34</v>
      </c>
      <c r="C20" s="1" t="s">
        <v>7</v>
      </c>
      <c r="D20" s="3">
        <v>2951281</v>
      </c>
      <c r="E20" s="2">
        <v>31418</v>
      </c>
      <c r="F20" s="1" t="s">
        <v>35</v>
      </c>
      <c r="G20" s="1" t="s">
        <v>113</v>
      </c>
      <c r="H20" s="34">
        <v>175000</v>
      </c>
    </row>
    <row r="21" spans="1:8" x14ac:dyDescent="0.25">
      <c r="A21">
        <v>20</v>
      </c>
      <c r="B21" s="4" t="s">
        <v>36</v>
      </c>
      <c r="C21" s="1" t="s">
        <v>7</v>
      </c>
      <c r="D21" s="3">
        <v>1073630536</v>
      </c>
      <c r="E21" s="2">
        <v>36224</v>
      </c>
      <c r="F21" s="1" t="s">
        <v>37</v>
      </c>
      <c r="G21" s="1" t="s">
        <v>113</v>
      </c>
      <c r="H21" s="34">
        <v>175000</v>
      </c>
    </row>
    <row r="22" spans="1:8" x14ac:dyDescent="0.25">
      <c r="A22">
        <v>21</v>
      </c>
      <c r="B22" s="4" t="s">
        <v>38</v>
      </c>
      <c r="C22" s="1" t="s">
        <v>7</v>
      </c>
      <c r="D22" s="3">
        <v>20872217</v>
      </c>
      <c r="E22" s="2">
        <v>29408</v>
      </c>
      <c r="F22" s="1" t="s">
        <v>39</v>
      </c>
      <c r="G22" s="1" t="s">
        <v>113</v>
      </c>
      <c r="H22" s="34">
        <v>175000</v>
      </c>
    </row>
    <row r="23" spans="1:8" x14ac:dyDescent="0.25">
      <c r="A23">
        <v>22</v>
      </c>
      <c r="B23" s="31" t="s">
        <v>40</v>
      </c>
      <c r="C23" s="30" t="s">
        <v>7</v>
      </c>
      <c r="D23" s="32">
        <v>1003685450</v>
      </c>
      <c r="E23" s="33">
        <v>37092</v>
      </c>
      <c r="F23" s="30" t="s">
        <v>41</v>
      </c>
      <c r="G23" s="30" t="s">
        <v>113</v>
      </c>
      <c r="H23" s="30">
        <v>0</v>
      </c>
    </row>
    <row r="24" spans="1:8" x14ac:dyDescent="0.25">
      <c r="A24">
        <v>23</v>
      </c>
      <c r="B24" t="s">
        <v>42</v>
      </c>
      <c r="C24" s="1" t="s">
        <v>7</v>
      </c>
      <c r="D24" s="3">
        <v>1073628263</v>
      </c>
      <c r="E24" s="2">
        <v>38546</v>
      </c>
      <c r="G24" s="1" t="s">
        <v>113</v>
      </c>
      <c r="H24" s="34">
        <v>175000</v>
      </c>
    </row>
    <row r="25" spans="1:8" x14ac:dyDescent="0.25">
      <c r="A25">
        <v>24</v>
      </c>
      <c r="B25" t="s">
        <v>43</v>
      </c>
      <c r="C25" s="1" t="s">
        <v>7</v>
      </c>
      <c r="D25" s="3">
        <v>1072430572</v>
      </c>
      <c r="F25" s="1">
        <v>3107517127</v>
      </c>
      <c r="G25" s="1" t="s">
        <v>113</v>
      </c>
      <c r="H25" s="34">
        <v>175000</v>
      </c>
    </row>
    <row r="26" spans="1:8" x14ac:dyDescent="0.25">
      <c r="A26">
        <v>25</v>
      </c>
      <c r="B26" t="s">
        <v>44</v>
      </c>
      <c r="C26" s="1" t="s">
        <v>7</v>
      </c>
      <c r="D26" s="3">
        <v>1007155459</v>
      </c>
      <c r="E26" s="2">
        <v>37693</v>
      </c>
      <c r="F26" s="1" t="s">
        <v>45</v>
      </c>
      <c r="G26" s="1" t="s">
        <v>113</v>
      </c>
      <c r="H26" s="34">
        <v>175000</v>
      </c>
    </row>
    <row r="27" spans="1:8" x14ac:dyDescent="0.25">
      <c r="A27">
        <v>26</v>
      </c>
      <c r="B27" t="s">
        <v>46</v>
      </c>
      <c r="C27" s="1" t="s">
        <v>7</v>
      </c>
      <c r="D27" s="3">
        <v>80067677</v>
      </c>
      <c r="F27" s="1" t="s">
        <v>47</v>
      </c>
      <c r="G27" s="1" t="s">
        <v>113</v>
      </c>
      <c r="H27" s="34">
        <v>175000</v>
      </c>
    </row>
    <row r="28" spans="1:8" x14ac:dyDescent="0.25">
      <c r="A28">
        <v>27</v>
      </c>
      <c r="B28" t="s">
        <v>48</v>
      </c>
      <c r="C28" s="1" t="s">
        <v>7</v>
      </c>
      <c r="D28" s="3">
        <v>28438575</v>
      </c>
      <c r="F28" s="1">
        <v>3042418327</v>
      </c>
      <c r="G28" s="1" t="s">
        <v>113</v>
      </c>
      <c r="H28" s="34">
        <v>175000</v>
      </c>
    </row>
    <row r="29" spans="1:8" x14ac:dyDescent="0.25">
      <c r="A29">
        <v>28</v>
      </c>
      <c r="B29" t="s">
        <v>49</v>
      </c>
      <c r="C29" s="1" t="s">
        <v>7</v>
      </c>
      <c r="D29" s="3">
        <v>1073630405</v>
      </c>
      <c r="F29" s="1">
        <v>3132507922</v>
      </c>
      <c r="G29" s="1" t="s">
        <v>113</v>
      </c>
      <c r="H29" s="34">
        <v>175000</v>
      </c>
    </row>
    <row r="30" spans="1:8" x14ac:dyDescent="0.25">
      <c r="A30">
        <v>29</v>
      </c>
      <c r="B30" t="s">
        <v>50</v>
      </c>
      <c r="C30" s="1" t="s">
        <v>7</v>
      </c>
      <c r="D30" s="3">
        <v>1070942143</v>
      </c>
      <c r="F30" s="1">
        <v>3204108425</v>
      </c>
      <c r="G30" s="1" t="s">
        <v>113</v>
      </c>
      <c r="H30" s="34">
        <v>175000</v>
      </c>
    </row>
    <row r="31" spans="1:8" x14ac:dyDescent="0.25">
      <c r="A31">
        <v>30</v>
      </c>
      <c r="B31" t="s">
        <v>51</v>
      </c>
      <c r="C31" s="1" t="s">
        <v>7</v>
      </c>
      <c r="D31" s="3">
        <v>1127622626</v>
      </c>
      <c r="E31" s="2">
        <v>32450</v>
      </c>
      <c r="F31" s="1">
        <v>3137031049</v>
      </c>
      <c r="G31" s="1" t="s">
        <v>113</v>
      </c>
      <c r="H31" s="34">
        <v>175000</v>
      </c>
    </row>
    <row r="32" spans="1:8" x14ac:dyDescent="0.25">
      <c r="A32">
        <v>31</v>
      </c>
      <c r="B32" t="s">
        <v>53</v>
      </c>
      <c r="C32" s="1" t="s">
        <v>7</v>
      </c>
      <c r="D32" s="3">
        <v>20358832</v>
      </c>
      <c r="E32" s="2">
        <v>30722</v>
      </c>
      <c r="F32" s="1">
        <v>3134715625</v>
      </c>
      <c r="G32" s="1" t="s">
        <v>113</v>
      </c>
      <c r="H32" s="34">
        <v>175000</v>
      </c>
    </row>
    <row r="33" spans="1:9" x14ac:dyDescent="0.25">
      <c r="A33">
        <v>32</v>
      </c>
      <c r="B33" t="s">
        <v>54</v>
      </c>
      <c r="C33" s="1" t="s">
        <v>7</v>
      </c>
      <c r="D33" s="3">
        <v>20357816</v>
      </c>
      <c r="E33" s="2">
        <v>23853</v>
      </c>
      <c r="F33" s="1">
        <v>3142208062</v>
      </c>
      <c r="G33" s="1" t="s">
        <v>113</v>
      </c>
      <c r="H33" s="34">
        <v>175000</v>
      </c>
    </row>
    <row r="34" spans="1:9" x14ac:dyDescent="0.25">
      <c r="A34" s="7">
        <v>33</v>
      </c>
      <c r="B34" s="8" t="s">
        <v>55</v>
      </c>
      <c r="C34" s="9" t="s">
        <v>7</v>
      </c>
      <c r="D34" s="10">
        <v>1111335535</v>
      </c>
      <c r="G34" s="1" t="s">
        <v>113</v>
      </c>
      <c r="H34" s="34">
        <v>175000</v>
      </c>
    </row>
    <row r="35" spans="1:9" x14ac:dyDescent="0.25">
      <c r="A35" s="11">
        <v>34</v>
      </c>
      <c r="B35" s="12" t="s">
        <v>56</v>
      </c>
      <c r="C35" s="13" t="s">
        <v>57</v>
      </c>
      <c r="D35" s="14">
        <v>2950716</v>
      </c>
      <c r="G35" s="1" t="s">
        <v>113</v>
      </c>
      <c r="H35" s="34">
        <v>175000</v>
      </c>
    </row>
    <row r="36" spans="1:9" s="4" customFormat="1" x14ac:dyDescent="0.25">
      <c r="A36" s="36">
        <v>35</v>
      </c>
      <c r="B36" s="27" t="s">
        <v>58</v>
      </c>
      <c r="C36" s="28" t="s">
        <v>52</v>
      </c>
      <c r="D36" s="29">
        <v>1109415564</v>
      </c>
      <c r="E36" s="30"/>
      <c r="F36" s="30"/>
      <c r="G36" s="30" t="s">
        <v>113</v>
      </c>
      <c r="H36" s="42">
        <v>10000</v>
      </c>
    </row>
    <row r="37" spans="1:9" x14ac:dyDescent="0.25">
      <c r="A37" s="11">
        <v>36</v>
      </c>
      <c r="B37" s="27" t="s">
        <v>59</v>
      </c>
      <c r="C37" s="28" t="s">
        <v>7</v>
      </c>
      <c r="D37" s="29">
        <v>79538678</v>
      </c>
      <c r="E37" s="30"/>
      <c r="F37" s="30"/>
      <c r="G37" s="30" t="s">
        <v>113</v>
      </c>
      <c r="H37" s="30">
        <v>0</v>
      </c>
    </row>
    <row r="38" spans="1:9" ht="15.75" thickBot="1" x14ac:dyDescent="0.3">
      <c r="A38" s="7">
        <v>37</v>
      </c>
      <c r="B38" s="23" t="s">
        <v>60</v>
      </c>
      <c r="C38" s="24" t="s">
        <v>7</v>
      </c>
      <c r="D38" s="25">
        <v>1001274424</v>
      </c>
      <c r="E38" s="26"/>
      <c r="F38" s="26"/>
      <c r="G38" s="26" t="s">
        <v>113</v>
      </c>
      <c r="H38" s="34">
        <v>175000</v>
      </c>
    </row>
    <row r="39" spans="1:9" ht="15.75" thickBot="1" x14ac:dyDescent="0.3">
      <c r="A39" s="35"/>
      <c r="B39" s="46" t="s">
        <v>115</v>
      </c>
      <c r="C39" s="47"/>
      <c r="D39" s="48"/>
      <c r="E39" s="26"/>
      <c r="F39" s="26"/>
      <c r="G39" s="26"/>
      <c r="H39" s="49">
        <f>SUM(H2:H38)</f>
        <v>5795000</v>
      </c>
      <c r="I39" s="50"/>
    </row>
    <row r="40" spans="1:9" x14ac:dyDescent="0.25">
      <c r="B40" s="20" t="s">
        <v>61</v>
      </c>
      <c r="C40" s="21" t="s">
        <v>7</v>
      </c>
      <c r="D40" s="22">
        <v>11459254</v>
      </c>
      <c r="F40" s="1" t="s">
        <v>62</v>
      </c>
      <c r="G40" s="19" t="s">
        <v>111</v>
      </c>
      <c r="H40" s="41">
        <v>173000</v>
      </c>
    </row>
    <row r="41" spans="1:9" x14ac:dyDescent="0.25">
      <c r="B41" s="16" t="s">
        <v>63</v>
      </c>
      <c r="C41" s="17" t="s">
        <v>52</v>
      </c>
      <c r="D41" s="18">
        <v>1031655167</v>
      </c>
      <c r="G41" s="19" t="s">
        <v>111</v>
      </c>
      <c r="H41" s="41">
        <v>173000</v>
      </c>
    </row>
    <row r="42" spans="1:9" x14ac:dyDescent="0.25">
      <c r="B42" s="16" t="s">
        <v>64</v>
      </c>
      <c r="C42" s="17" t="s">
        <v>7</v>
      </c>
      <c r="D42" s="18">
        <v>1073630408</v>
      </c>
      <c r="E42" s="2">
        <v>35918</v>
      </c>
      <c r="F42" s="1" t="s">
        <v>65</v>
      </c>
      <c r="G42" s="19" t="s">
        <v>111</v>
      </c>
      <c r="H42" s="41">
        <v>173000</v>
      </c>
    </row>
    <row r="43" spans="1:9" x14ac:dyDescent="0.25">
      <c r="B43" s="16" t="s">
        <v>66</v>
      </c>
      <c r="C43" s="17" t="s">
        <v>7</v>
      </c>
      <c r="D43" s="18">
        <v>1003706350</v>
      </c>
      <c r="E43" s="2">
        <v>36210</v>
      </c>
      <c r="G43" s="19" t="s">
        <v>111</v>
      </c>
      <c r="H43" s="41">
        <v>173000</v>
      </c>
    </row>
    <row r="44" spans="1:9" x14ac:dyDescent="0.25">
      <c r="B44" s="16" t="s">
        <v>67</v>
      </c>
      <c r="C44" s="17" t="s">
        <v>33</v>
      </c>
      <c r="D44" s="18">
        <v>1073630450</v>
      </c>
      <c r="E44" s="2">
        <v>42587</v>
      </c>
      <c r="G44" s="19" t="s">
        <v>111</v>
      </c>
      <c r="H44" s="41">
        <v>173000</v>
      </c>
    </row>
    <row r="45" spans="1:9" x14ac:dyDescent="0.25">
      <c r="B45" s="16" t="s">
        <v>68</v>
      </c>
      <c r="C45" s="17" t="s">
        <v>7</v>
      </c>
      <c r="D45" s="18">
        <v>41770474</v>
      </c>
      <c r="E45" s="2">
        <v>20608</v>
      </c>
      <c r="G45" s="19" t="s">
        <v>111</v>
      </c>
      <c r="H45" s="41">
        <v>173000</v>
      </c>
    </row>
    <row r="46" spans="1:9" x14ac:dyDescent="0.25">
      <c r="B46" s="16" t="s">
        <v>69</v>
      </c>
      <c r="C46" s="17" t="s">
        <v>7</v>
      </c>
      <c r="D46" s="18">
        <v>17192569</v>
      </c>
      <c r="E46" s="2">
        <v>17500</v>
      </c>
      <c r="G46" s="19" t="s">
        <v>111</v>
      </c>
      <c r="H46" s="41">
        <v>173000</v>
      </c>
    </row>
    <row r="47" spans="1:9" x14ac:dyDescent="0.25">
      <c r="B47" s="16" t="s">
        <v>70</v>
      </c>
      <c r="C47" s="17" t="s">
        <v>7</v>
      </c>
      <c r="D47" s="18">
        <v>2087170717</v>
      </c>
      <c r="E47" s="2">
        <v>19593</v>
      </c>
      <c r="G47" s="19" t="s">
        <v>111</v>
      </c>
      <c r="H47" s="41">
        <v>173000</v>
      </c>
    </row>
    <row r="48" spans="1:9" x14ac:dyDescent="0.25">
      <c r="B48" s="16" t="s">
        <v>71</v>
      </c>
      <c r="C48" s="17" t="s">
        <v>7</v>
      </c>
      <c r="D48" s="18">
        <v>1003672963</v>
      </c>
      <c r="G48" s="19" t="s">
        <v>111</v>
      </c>
      <c r="H48" s="41">
        <v>173000</v>
      </c>
    </row>
    <row r="49" spans="2:8" x14ac:dyDescent="0.25">
      <c r="B49" s="16" t="s">
        <v>72</v>
      </c>
      <c r="C49" s="17" t="s">
        <v>7</v>
      </c>
      <c r="D49" s="18">
        <v>20871139</v>
      </c>
      <c r="G49" s="19" t="s">
        <v>111</v>
      </c>
      <c r="H49" s="41">
        <v>173000</v>
      </c>
    </row>
    <row r="50" spans="2:8" x14ac:dyDescent="0.25">
      <c r="B50" s="16" t="s">
        <v>73</v>
      </c>
      <c r="C50" s="17" t="s">
        <v>7</v>
      </c>
      <c r="D50" s="18">
        <v>3149177</v>
      </c>
      <c r="G50" s="19" t="s">
        <v>111</v>
      </c>
      <c r="H50" s="41">
        <v>173000</v>
      </c>
    </row>
    <row r="51" spans="2:8" x14ac:dyDescent="0.25">
      <c r="B51" s="16" t="s">
        <v>74</v>
      </c>
      <c r="C51" s="17" t="s">
        <v>7</v>
      </c>
      <c r="D51" s="18">
        <v>1072962866</v>
      </c>
      <c r="F51" s="1" t="s">
        <v>75</v>
      </c>
      <c r="G51" s="19" t="s">
        <v>111</v>
      </c>
      <c r="H51" s="41">
        <v>173000</v>
      </c>
    </row>
    <row r="52" spans="2:8" x14ac:dyDescent="0.25">
      <c r="B52" s="16" t="s">
        <v>76</v>
      </c>
      <c r="C52" s="17" t="s">
        <v>7</v>
      </c>
      <c r="D52" s="18">
        <v>1075627733</v>
      </c>
      <c r="F52" s="1" t="s">
        <v>77</v>
      </c>
      <c r="G52" s="19" t="s">
        <v>111</v>
      </c>
      <c r="H52" s="41">
        <v>173000</v>
      </c>
    </row>
    <row r="53" spans="2:8" x14ac:dyDescent="0.25">
      <c r="B53" s="16" t="s">
        <v>78</v>
      </c>
      <c r="C53" s="17" t="s">
        <v>7</v>
      </c>
      <c r="D53" s="18">
        <v>179539</v>
      </c>
      <c r="E53" s="2">
        <v>25662</v>
      </c>
      <c r="F53" s="1" t="s">
        <v>79</v>
      </c>
      <c r="G53" s="19" t="s">
        <v>111</v>
      </c>
      <c r="H53" s="41">
        <v>173000</v>
      </c>
    </row>
    <row r="54" spans="2:8" x14ac:dyDescent="0.25">
      <c r="B54" s="16" t="s">
        <v>80</v>
      </c>
      <c r="C54" s="17" t="s">
        <v>7</v>
      </c>
      <c r="D54" s="18">
        <v>20871476</v>
      </c>
      <c r="E54" s="2">
        <v>28345</v>
      </c>
      <c r="G54" s="19" t="s">
        <v>111</v>
      </c>
      <c r="H54" s="41">
        <v>173000</v>
      </c>
    </row>
    <row r="55" spans="2:8" x14ac:dyDescent="0.25">
      <c r="B55" s="16" t="s">
        <v>81</v>
      </c>
      <c r="C55" s="17" t="s">
        <v>7</v>
      </c>
      <c r="D55" s="18">
        <v>1070956337</v>
      </c>
      <c r="E55" s="2">
        <v>36164</v>
      </c>
      <c r="G55" s="19" t="s">
        <v>111</v>
      </c>
      <c r="H55" s="41">
        <v>173000</v>
      </c>
    </row>
    <row r="56" spans="2:8" x14ac:dyDescent="0.25">
      <c r="B56" s="16" t="s">
        <v>82</v>
      </c>
      <c r="C56" s="17" t="s">
        <v>7</v>
      </c>
      <c r="D56" s="18">
        <v>1073630485</v>
      </c>
      <c r="E56" s="2">
        <v>36100</v>
      </c>
      <c r="G56" s="19" t="s">
        <v>111</v>
      </c>
      <c r="H56" s="41">
        <v>173000</v>
      </c>
    </row>
    <row r="57" spans="2:8" x14ac:dyDescent="0.25">
      <c r="B57" s="16" t="s">
        <v>83</v>
      </c>
      <c r="C57" s="17" t="s">
        <v>52</v>
      </c>
      <c r="D57" s="18">
        <v>1073630732</v>
      </c>
      <c r="E57" s="2">
        <v>43570</v>
      </c>
      <c r="G57" s="19" t="s">
        <v>111</v>
      </c>
      <c r="H57" s="41">
        <v>80000</v>
      </c>
    </row>
    <row r="58" spans="2:8" x14ac:dyDescent="0.25">
      <c r="B58" s="16" t="s">
        <v>84</v>
      </c>
      <c r="C58" s="17" t="s">
        <v>33</v>
      </c>
      <c r="D58" s="18">
        <v>1073630555</v>
      </c>
      <c r="E58" s="2">
        <v>42844</v>
      </c>
      <c r="G58" s="19" t="s">
        <v>111</v>
      </c>
      <c r="H58" s="41">
        <v>65000</v>
      </c>
    </row>
    <row r="59" spans="2:8" x14ac:dyDescent="0.25">
      <c r="B59" s="16" t="s">
        <v>85</v>
      </c>
      <c r="C59" s="17" t="s">
        <v>7</v>
      </c>
      <c r="D59" s="18">
        <v>1073629922</v>
      </c>
      <c r="E59" s="2">
        <v>34937</v>
      </c>
      <c r="G59" s="19" t="s">
        <v>111</v>
      </c>
      <c r="H59" s="41">
        <v>173000</v>
      </c>
    </row>
    <row r="60" spans="2:8" x14ac:dyDescent="0.25">
      <c r="B60" s="16" t="s">
        <v>86</v>
      </c>
      <c r="C60" s="17" t="s">
        <v>7</v>
      </c>
      <c r="D60" s="18">
        <v>20358836</v>
      </c>
      <c r="E60" s="2">
        <v>30491</v>
      </c>
      <c r="G60" s="19" t="s">
        <v>111</v>
      </c>
      <c r="H60" s="41">
        <v>173000</v>
      </c>
    </row>
    <row r="61" spans="2:8" x14ac:dyDescent="0.25">
      <c r="B61" s="16" t="s">
        <v>87</v>
      </c>
      <c r="C61" s="17" t="s">
        <v>52</v>
      </c>
      <c r="D61" s="18">
        <v>1072961183</v>
      </c>
      <c r="E61" s="2">
        <v>39438</v>
      </c>
      <c r="G61" s="19" t="s">
        <v>111</v>
      </c>
      <c r="H61" s="41">
        <v>173000</v>
      </c>
    </row>
    <row r="62" spans="2:8" x14ac:dyDescent="0.25">
      <c r="B62" s="16" t="s">
        <v>88</v>
      </c>
      <c r="C62" s="17" t="s">
        <v>89</v>
      </c>
      <c r="D62" s="18">
        <v>422419</v>
      </c>
      <c r="E62" s="2">
        <v>22097</v>
      </c>
      <c r="G62" s="19" t="s">
        <v>111</v>
      </c>
      <c r="H62" s="41">
        <v>173000</v>
      </c>
    </row>
    <row r="63" spans="2:8" x14ac:dyDescent="0.25">
      <c r="B63" s="16" t="s">
        <v>90</v>
      </c>
      <c r="C63" s="17" t="s">
        <v>7</v>
      </c>
      <c r="D63" s="18">
        <v>52323538</v>
      </c>
      <c r="E63" s="2">
        <v>25595</v>
      </c>
      <c r="F63" s="1" t="s">
        <v>91</v>
      </c>
      <c r="G63" s="19" t="s">
        <v>111</v>
      </c>
      <c r="H63" s="41">
        <v>173000</v>
      </c>
    </row>
    <row r="64" spans="2:8" x14ac:dyDescent="0.25">
      <c r="B64" s="16" t="s">
        <v>92</v>
      </c>
      <c r="C64" s="17" t="s">
        <v>52</v>
      </c>
      <c r="D64" s="18">
        <v>1032800380</v>
      </c>
      <c r="G64" s="19" t="s">
        <v>111</v>
      </c>
      <c r="H64" s="41">
        <v>173000</v>
      </c>
    </row>
    <row r="65" spans="2:8" x14ac:dyDescent="0.25">
      <c r="B65" s="16" t="s">
        <v>93</v>
      </c>
      <c r="C65" s="17" t="s">
        <v>7</v>
      </c>
      <c r="D65" s="18">
        <v>20871590</v>
      </c>
      <c r="G65" s="19" t="s">
        <v>111</v>
      </c>
      <c r="H65" s="41">
        <v>173000</v>
      </c>
    </row>
    <row r="66" spans="2:8" x14ac:dyDescent="0.25">
      <c r="B66" s="16" t="s">
        <v>94</v>
      </c>
      <c r="C66" s="17" t="s">
        <v>7</v>
      </c>
      <c r="D66" s="18">
        <v>20872307</v>
      </c>
      <c r="E66" s="2">
        <v>30835</v>
      </c>
      <c r="G66" s="19" t="s">
        <v>111</v>
      </c>
      <c r="H66" s="41">
        <v>173000</v>
      </c>
    </row>
    <row r="67" spans="2:8" x14ac:dyDescent="0.25">
      <c r="B67" s="16" t="s">
        <v>95</v>
      </c>
      <c r="C67" s="17" t="s">
        <v>7</v>
      </c>
      <c r="D67" s="18">
        <v>52158314</v>
      </c>
      <c r="E67" s="2">
        <v>27622</v>
      </c>
      <c r="G67" s="19" t="s">
        <v>111</v>
      </c>
      <c r="H67" s="41">
        <v>173000</v>
      </c>
    </row>
    <row r="68" spans="2:8" x14ac:dyDescent="0.25">
      <c r="B68" s="16" t="s">
        <v>96</v>
      </c>
      <c r="C68" s="17" t="s">
        <v>7</v>
      </c>
      <c r="D68" s="18">
        <v>88245986</v>
      </c>
      <c r="E68" s="2">
        <v>29492</v>
      </c>
      <c r="G68" s="19" t="s">
        <v>111</v>
      </c>
      <c r="H68" s="41">
        <v>173000</v>
      </c>
    </row>
    <row r="69" spans="2:8" x14ac:dyDescent="0.25">
      <c r="B69" s="16" t="s">
        <v>97</v>
      </c>
      <c r="C69" s="17" t="s">
        <v>7</v>
      </c>
      <c r="D69" s="18">
        <v>1110553068</v>
      </c>
      <c r="E69" s="2">
        <v>34603</v>
      </c>
      <c r="G69" s="19" t="s">
        <v>111</v>
      </c>
      <c r="H69" s="41">
        <v>173000</v>
      </c>
    </row>
    <row r="70" spans="2:8" x14ac:dyDescent="0.25">
      <c r="B70" s="16" t="s">
        <v>98</v>
      </c>
      <c r="C70" s="17" t="s">
        <v>7</v>
      </c>
      <c r="D70" s="18">
        <v>1022410331</v>
      </c>
      <c r="E70" s="2">
        <v>35033</v>
      </c>
      <c r="G70" s="19" t="s">
        <v>111</v>
      </c>
      <c r="H70" s="41">
        <v>173000</v>
      </c>
    </row>
    <row r="71" spans="2:8" x14ac:dyDescent="0.25">
      <c r="B71" s="16" t="s">
        <v>99</v>
      </c>
      <c r="C71" s="17" t="s">
        <v>52</v>
      </c>
      <c r="D71" s="18">
        <v>1010845495</v>
      </c>
      <c r="E71" s="2">
        <v>42110</v>
      </c>
      <c r="G71" s="19" t="s">
        <v>111</v>
      </c>
      <c r="H71" s="41">
        <v>173000</v>
      </c>
    </row>
    <row r="72" spans="2:8" x14ac:dyDescent="0.25">
      <c r="B72" s="16" t="s">
        <v>100</v>
      </c>
      <c r="C72" s="17" t="s">
        <v>33</v>
      </c>
      <c r="D72" s="18">
        <v>1073630718</v>
      </c>
      <c r="E72" s="2">
        <v>43470</v>
      </c>
      <c r="G72" s="19" t="s">
        <v>111</v>
      </c>
      <c r="H72" s="41">
        <v>15000</v>
      </c>
    </row>
    <row r="73" spans="2:8" x14ac:dyDescent="0.25">
      <c r="B73" s="16" t="s">
        <v>101</v>
      </c>
      <c r="C73" s="17" t="s">
        <v>7</v>
      </c>
      <c r="D73" s="18">
        <v>1007705375</v>
      </c>
      <c r="E73" s="2">
        <v>36967</v>
      </c>
      <c r="G73" s="19" t="s">
        <v>111</v>
      </c>
      <c r="H73" s="41">
        <v>173000</v>
      </c>
    </row>
    <row r="74" spans="2:8" x14ac:dyDescent="0.25">
      <c r="B74" s="16" t="s">
        <v>102</v>
      </c>
      <c r="C74" s="17" t="s">
        <v>7</v>
      </c>
      <c r="D74" s="18">
        <v>1011099839</v>
      </c>
      <c r="G74" s="19" t="s">
        <v>111</v>
      </c>
      <c r="H74" s="41">
        <v>173000</v>
      </c>
    </row>
    <row r="75" spans="2:8" x14ac:dyDescent="0.25">
      <c r="B75" s="16" t="s">
        <v>103</v>
      </c>
      <c r="C75" s="17" t="s">
        <v>33</v>
      </c>
      <c r="D75" s="18">
        <v>1073630901</v>
      </c>
      <c r="E75" s="2">
        <v>44777</v>
      </c>
      <c r="G75" s="19" t="s">
        <v>111</v>
      </c>
      <c r="H75" s="41">
        <v>43000</v>
      </c>
    </row>
    <row r="76" spans="2:8" x14ac:dyDescent="0.25">
      <c r="B76" s="16" t="s">
        <v>104</v>
      </c>
      <c r="C76" s="17" t="s">
        <v>7</v>
      </c>
      <c r="D76" s="18">
        <v>41792549</v>
      </c>
      <c r="G76" s="19" t="s">
        <v>111</v>
      </c>
      <c r="H76" s="41">
        <v>173000</v>
      </c>
    </row>
    <row r="77" spans="2:8" x14ac:dyDescent="0.25">
      <c r="B77" s="16" t="s">
        <v>105</v>
      </c>
      <c r="C77" s="17" t="s">
        <v>7</v>
      </c>
      <c r="D77" s="18">
        <v>20872071</v>
      </c>
      <c r="E77" s="2">
        <v>28549</v>
      </c>
      <c r="G77" s="19" t="s">
        <v>111</v>
      </c>
      <c r="H77" s="41">
        <v>173000</v>
      </c>
    </row>
    <row r="78" spans="2:8" x14ac:dyDescent="0.25">
      <c r="B78" s="16" t="s">
        <v>106</v>
      </c>
      <c r="C78" s="17" t="s">
        <v>52</v>
      </c>
      <c r="D78" s="18">
        <v>1073629747</v>
      </c>
      <c r="E78" s="2">
        <v>41200</v>
      </c>
      <c r="G78" s="19" t="s">
        <v>111</v>
      </c>
      <c r="H78" s="41">
        <v>173000</v>
      </c>
    </row>
    <row r="79" spans="2:8" x14ac:dyDescent="0.25">
      <c r="B79" s="16" t="s">
        <v>107</v>
      </c>
      <c r="C79" s="17" t="s">
        <v>7</v>
      </c>
      <c r="D79" s="18">
        <v>52231833</v>
      </c>
      <c r="E79" s="2">
        <v>28286</v>
      </c>
      <c r="G79" s="19" t="s">
        <v>111</v>
      </c>
      <c r="H79" s="41">
        <v>173000</v>
      </c>
    </row>
    <row r="80" spans="2:8" x14ac:dyDescent="0.25">
      <c r="B80" s="16" t="s">
        <v>108</v>
      </c>
      <c r="C80" s="17" t="s">
        <v>7</v>
      </c>
      <c r="D80" s="18">
        <v>20870854</v>
      </c>
      <c r="E80" s="2">
        <v>20854</v>
      </c>
      <c r="G80" s="19" t="s">
        <v>111</v>
      </c>
      <c r="H80" s="41">
        <v>173000</v>
      </c>
    </row>
    <row r="81" spans="2:8" x14ac:dyDescent="0.25">
      <c r="B81" s="16" t="s">
        <v>109</v>
      </c>
      <c r="C81" s="17" t="s">
        <v>7</v>
      </c>
      <c r="D81" s="18">
        <v>79656808</v>
      </c>
      <c r="G81" s="19" t="s">
        <v>111</v>
      </c>
      <c r="H81" s="41"/>
    </row>
    <row r="82" spans="2:8" ht="15.75" thickBot="1" x14ac:dyDescent="0.3">
      <c r="B82" s="52" t="s">
        <v>110</v>
      </c>
      <c r="C82" s="53" t="s">
        <v>7</v>
      </c>
      <c r="D82" s="54">
        <v>1075628177</v>
      </c>
      <c r="E82" s="26"/>
      <c r="F82" s="26"/>
      <c r="G82" s="55" t="s">
        <v>111</v>
      </c>
      <c r="H82" s="51"/>
    </row>
    <row r="83" spans="2:8" ht="15.75" thickBot="1" x14ac:dyDescent="0.3">
      <c r="B83" s="85" t="s">
        <v>265</v>
      </c>
      <c r="C83" s="86" t="s">
        <v>7</v>
      </c>
      <c r="D83" s="87">
        <v>19379613</v>
      </c>
      <c r="E83" s="84"/>
      <c r="F83" s="83"/>
      <c r="G83" s="55"/>
      <c r="H83" s="56">
        <v>173000</v>
      </c>
    </row>
    <row r="84" spans="2:8" ht="15.75" thickBot="1" x14ac:dyDescent="0.3">
      <c r="B84" s="62" t="s">
        <v>115</v>
      </c>
      <c r="C84" s="63"/>
      <c r="D84" s="64"/>
      <c r="E84" s="65"/>
      <c r="F84" s="65"/>
      <c r="G84" s="66"/>
      <c r="H84" s="67">
        <f>SUBTOTAL(109,H40:H83)</f>
        <v>6777000</v>
      </c>
    </row>
    <row r="85" spans="2:8" x14ac:dyDescent="0.25">
      <c r="B85" s="21" t="s">
        <v>137</v>
      </c>
      <c r="C85" s="21" t="s">
        <v>138</v>
      </c>
      <c r="D85" s="61">
        <v>79656808</v>
      </c>
      <c r="E85" s="51"/>
      <c r="F85" s="51"/>
      <c r="G85" s="51" t="s">
        <v>243</v>
      </c>
      <c r="H85" s="41"/>
    </row>
    <row r="86" spans="2:8" x14ac:dyDescent="0.25">
      <c r="B86" s="9" t="s">
        <v>139</v>
      </c>
      <c r="C86" s="9" t="s">
        <v>138</v>
      </c>
      <c r="D86" s="57">
        <v>20617454</v>
      </c>
      <c r="E86" s="51"/>
      <c r="F86" s="51"/>
      <c r="G86" s="51" t="s">
        <v>243</v>
      </c>
      <c r="H86" s="41">
        <v>0</v>
      </c>
    </row>
    <row r="87" spans="2:8" x14ac:dyDescent="0.25">
      <c r="B87" s="17" t="s">
        <v>140</v>
      </c>
      <c r="C87" s="17" t="s">
        <v>138</v>
      </c>
      <c r="D87" s="58">
        <v>21013189</v>
      </c>
      <c r="E87" s="51"/>
      <c r="F87" s="51"/>
      <c r="G87" s="51" t="s">
        <v>243</v>
      </c>
      <c r="H87" s="41">
        <v>112500</v>
      </c>
    </row>
    <row r="88" spans="2:8" x14ac:dyDescent="0.25">
      <c r="B88" s="9" t="s">
        <v>141</v>
      </c>
      <c r="C88" s="9" t="s">
        <v>138</v>
      </c>
      <c r="D88" s="57">
        <v>20872057</v>
      </c>
      <c r="E88" s="51"/>
      <c r="F88" s="51"/>
      <c r="G88" s="51" t="s">
        <v>243</v>
      </c>
      <c r="H88" s="41">
        <v>112500</v>
      </c>
    </row>
    <row r="89" spans="2:8" x14ac:dyDescent="0.25">
      <c r="B89" s="17" t="s">
        <v>142</v>
      </c>
      <c r="C89" s="17" t="s">
        <v>138</v>
      </c>
      <c r="D89" s="58">
        <v>79538678</v>
      </c>
      <c r="E89" s="51"/>
      <c r="F89" s="51"/>
      <c r="G89" s="51" t="s">
        <v>243</v>
      </c>
      <c r="H89" s="41">
        <v>0</v>
      </c>
    </row>
    <row r="90" spans="2:8" x14ac:dyDescent="0.25">
      <c r="B90" s="9" t="s">
        <v>143</v>
      </c>
      <c r="C90" s="9" t="s">
        <v>138</v>
      </c>
      <c r="D90" s="57">
        <v>20872220</v>
      </c>
      <c r="E90" s="51"/>
      <c r="F90" s="51"/>
      <c r="G90" s="51" t="s">
        <v>243</v>
      </c>
      <c r="H90" s="41">
        <v>112500</v>
      </c>
    </row>
    <row r="91" spans="2:8" x14ac:dyDescent="0.25">
      <c r="B91" s="17" t="s">
        <v>144</v>
      </c>
      <c r="C91" s="17" t="s">
        <v>138</v>
      </c>
      <c r="D91" s="58">
        <v>19450941</v>
      </c>
      <c r="E91" s="51"/>
      <c r="F91" s="51"/>
      <c r="G91" s="51" t="s">
        <v>243</v>
      </c>
      <c r="H91" s="41">
        <v>112500</v>
      </c>
    </row>
    <row r="92" spans="2:8" x14ac:dyDescent="0.25">
      <c r="B92" s="9" t="s">
        <v>145</v>
      </c>
      <c r="C92" s="9" t="s">
        <v>138</v>
      </c>
      <c r="D92" s="57">
        <v>20871295</v>
      </c>
      <c r="E92" s="51"/>
      <c r="F92" s="51"/>
      <c r="G92" s="51" t="s">
        <v>243</v>
      </c>
      <c r="H92" s="41">
        <v>112500</v>
      </c>
    </row>
    <row r="93" spans="2:8" x14ac:dyDescent="0.25">
      <c r="B93" s="17" t="s">
        <v>146</v>
      </c>
      <c r="C93" s="17" t="s">
        <v>147</v>
      </c>
      <c r="D93" s="58">
        <v>107362887</v>
      </c>
      <c r="E93" s="51"/>
      <c r="F93" s="51"/>
      <c r="G93" s="51" t="s">
        <v>243</v>
      </c>
      <c r="H93" s="41">
        <v>112500</v>
      </c>
    </row>
    <row r="94" spans="2:8" x14ac:dyDescent="0.25">
      <c r="B94" s="9" t="s">
        <v>148</v>
      </c>
      <c r="C94" s="9" t="s">
        <v>149</v>
      </c>
      <c r="D94" s="57">
        <v>1073629748</v>
      </c>
      <c r="E94" s="51"/>
      <c r="F94" s="51"/>
      <c r="G94" s="51" t="s">
        <v>243</v>
      </c>
      <c r="H94" s="41">
        <v>112500</v>
      </c>
    </row>
    <row r="95" spans="2:8" x14ac:dyDescent="0.25">
      <c r="B95" s="17" t="s">
        <v>150</v>
      </c>
      <c r="C95" s="17" t="s">
        <v>138</v>
      </c>
      <c r="D95" s="58">
        <v>41689426</v>
      </c>
      <c r="E95" s="51"/>
      <c r="F95" s="51"/>
      <c r="G95" s="51" t="s">
        <v>243</v>
      </c>
      <c r="H95" s="41">
        <v>112500</v>
      </c>
    </row>
    <row r="96" spans="2:8" x14ac:dyDescent="0.25">
      <c r="B96" s="9" t="s">
        <v>151</v>
      </c>
      <c r="C96" s="9" t="s">
        <v>138</v>
      </c>
      <c r="D96" s="57">
        <v>4211176</v>
      </c>
      <c r="E96" s="51"/>
      <c r="F96" s="51"/>
      <c r="G96" s="51" t="s">
        <v>243</v>
      </c>
      <c r="H96" s="41">
        <v>112500</v>
      </c>
    </row>
    <row r="97" spans="2:8" x14ac:dyDescent="0.25">
      <c r="B97" s="17" t="s">
        <v>152</v>
      </c>
      <c r="C97" s="17" t="s">
        <v>138</v>
      </c>
      <c r="D97" s="58">
        <v>35464710</v>
      </c>
      <c r="E97" s="51"/>
      <c r="F97" s="51"/>
      <c r="G97" s="51" t="s">
        <v>243</v>
      </c>
      <c r="H97" s="41">
        <v>112500</v>
      </c>
    </row>
    <row r="98" spans="2:8" x14ac:dyDescent="0.25">
      <c r="B98" s="9" t="s">
        <v>153</v>
      </c>
      <c r="C98" s="9" t="s">
        <v>138</v>
      </c>
      <c r="D98" s="57">
        <v>19309312</v>
      </c>
      <c r="E98" s="51"/>
      <c r="F98" s="51"/>
      <c r="G98" s="51" t="s">
        <v>243</v>
      </c>
      <c r="H98" s="41">
        <v>112500</v>
      </c>
    </row>
    <row r="99" spans="2:8" x14ac:dyDescent="0.25">
      <c r="B99" s="17" t="s">
        <v>154</v>
      </c>
      <c r="C99" s="17" t="s">
        <v>138</v>
      </c>
      <c r="D99" s="58">
        <v>21116936</v>
      </c>
      <c r="E99" s="51"/>
      <c r="F99" s="51"/>
      <c r="G99" s="51" t="s">
        <v>243</v>
      </c>
      <c r="H99" s="41">
        <v>112500</v>
      </c>
    </row>
    <row r="100" spans="2:8" x14ac:dyDescent="0.25">
      <c r="B100" s="17" t="s">
        <v>155</v>
      </c>
      <c r="C100" s="17" t="s">
        <v>138</v>
      </c>
      <c r="D100" s="58">
        <v>21017364</v>
      </c>
      <c r="E100" s="51"/>
      <c r="F100" s="51"/>
      <c r="G100" s="51" t="s">
        <v>243</v>
      </c>
      <c r="H100" s="41">
        <v>112500</v>
      </c>
    </row>
    <row r="101" spans="2:8" x14ac:dyDescent="0.25">
      <c r="B101" s="17" t="s">
        <v>156</v>
      </c>
      <c r="C101" s="17" t="s">
        <v>138</v>
      </c>
      <c r="D101" s="58">
        <v>51934570</v>
      </c>
      <c r="E101" s="51"/>
      <c r="F101" s="51"/>
      <c r="G101" s="51" t="s">
        <v>243</v>
      </c>
      <c r="H101" s="41">
        <v>112500</v>
      </c>
    </row>
    <row r="102" spans="2:8" x14ac:dyDescent="0.25">
      <c r="B102" s="9" t="s">
        <v>157</v>
      </c>
      <c r="C102" s="9" t="s">
        <v>147</v>
      </c>
      <c r="D102" s="57">
        <v>1018477785</v>
      </c>
      <c r="E102" s="51"/>
      <c r="F102" s="51"/>
      <c r="G102" s="51" t="s">
        <v>243</v>
      </c>
      <c r="H102" s="41">
        <v>112500</v>
      </c>
    </row>
    <row r="103" spans="2:8" x14ac:dyDescent="0.25">
      <c r="B103" s="17" t="s">
        <v>158</v>
      </c>
      <c r="C103" s="17" t="s">
        <v>138</v>
      </c>
      <c r="D103" s="58">
        <v>1073630631</v>
      </c>
      <c r="E103" s="51"/>
      <c r="F103" s="51"/>
      <c r="G103" s="51" t="s">
        <v>243</v>
      </c>
      <c r="H103" s="41">
        <v>112500</v>
      </c>
    </row>
    <row r="104" spans="2:8" x14ac:dyDescent="0.25">
      <c r="B104" s="9" t="s">
        <v>159</v>
      </c>
      <c r="C104" s="9" t="s">
        <v>138</v>
      </c>
      <c r="D104" s="57">
        <v>1075628177</v>
      </c>
      <c r="E104" s="51"/>
      <c r="F104" s="51"/>
      <c r="G104" s="51" t="s">
        <v>243</v>
      </c>
      <c r="H104" s="41">
        <v>0</v>
      </c>
    </row>
    <row r="105" spans="2:8" x14ac:dyDescent="0.25">
      <c r="B105" s="17" t="s">
        <v>160</v>
      </c>
      <c r="C105" s="17" t="s">
        <v>138</v>
      </c>
      <c r="D105" s="58">
        <v>3149053</v>
      </c>
      <c r="E105" s="51"/>
      <c r="F105" s="51"/>
      <c r="G105" s="51" t="s">
        <v>243</v>
      </c>
      <c r="H105" s="41">
        <v>112500</v>
      </c>
    </row>
    <row r="106" spans="2:8" x14ac:dyDescent="0.25">
      <c r="B106" s="9" t="s">
        <v>161</v>
      </c>
      <c r="C106" s="9" t="s">
        <v>138</v>
      </c>
      <c r="D106" s="57">
        <v>20870887</v>
      </c>
      <c r="E106" s="51"/>
      <c r="F106" s="51"/>
      <c r="G106" s="51" t="s">
        <v>243</v>
      </c>
      <c r="H106" s="41">
        <v>112500</v>
      </c>
    </row>
    <row r="107" spans="2:8" x14ac:dyDescent="0.25">
      <c r="B107" s="17" t="s">
        <v>162</v>
      </c>
      <c r="C107" s="17" t="s">
        <v>138</v>
      </c>
      <c r="D107" s="58">
        <v>52121214</v>
      </c>
      <c r="E107" s="51"/>
      <c r="F107" s="51"/>
      <c r="G107" s="51" t="s">
        <v>243</v>
      </c>
      <c r="H107" s="41">
        <v>112500</v>
      </c>
    </row>
    <row r="108" spans="2:8" x14ac:dyDescent="0.25">
      <c r="B108" s="9" t="s">
        <v>163</v>
      </c>
      <c r="C108" s="9" t="s">
        <v>138</v>
      </c>
      <c r="D108" s="57">
        <v>3023991</v>
      </c>
      <c r="E108" s="51"/>
      <c r="F108" s="51"/>
      <c r="G108" s="51" t="s">
        <v>243</v>
      </c>
      <c r="H108" s="41">
        <v>112500</v>
      </c>
    </row>
    <row r="109" spans="2:8" x14ac:dyDescent="0.25">
      <c r="B109" s="17" t="s">
        <v>164</v>
      </c>
      <c r="C109" s="17" t="s">
        <v>138</v>
      </c>
      <c r="D109" s="58">
        <v>20951914</v>
      </c>
      <c r="E109" s="51"/>
      <c r="F109" s="51"/>
      <c r="G109" s="51" t="s">
        <v>243</v>
      </c>
      <c r="H109" s="41">
        <v>112500</v>
      </c>
    </row>
    <row r="110" spans="2:8" x14ac:dyDescent="0.25">
      <c r="B110" s="9" t="s">
        <v>165</v>
      </c>
      <c r="C110" s="9" t="s">
        <v>138</v>
      </c>
      <c r="D110" s="57">
        <v>1073775</v>
      </c>
      <c r="E110" s="51"/>
      <c r="F110" s="51"/>
      <c r="G110" s="51" t="s">
        <v>243</v>
      </c>
      <c r="H110" s="41">
        <v>112500</v>
      </c>
    </row>
    <row r="111" spans="2:8" x14ac:dyDescent="0.25">
      <c r="B111" s="17" t="s">
        <v>166</v>
      </c>
      <c r="C111" s="17" t="s">
        <v>138</v>
      </c>
      <c r="D111" s="58"/>
      <c r="E111" s="51"/>
      <c r="F111" s="51"/>
      <c r="G111" s="51" t="s">
        <v>243</v>
      </c>
      <c r="H111" s="41">
        <v>112500</v>
      </c>
    </row>
    <row r="112" spans="2:8" x14ac:dyDescent="0.25">
      <c r="B112" s="9" t="s">
        <v>167</v>
      </c>
      <c r="C112" s="9" t="s">
        <v>138</v>
      </c>
      <c r="D112" s="57">
        <v>21012204</v>
      </c>
      <c r="E112" s="51"/>
      <c r="F112" s="51"/>
      <c r="G112" s="51" t="s">
        <v>243</v>
      </c>
      <c r="H112" s="41">
        <v>112500</v>
      </c>
    </row>
    <row r="113" spans="2:8" x14ac:dyDescent="0.25">
      <c r="B113" s="17" t="s">
        <v>168</v>
      </c>
      <c r="C113" s="17" t="s">
        <v>138</v>
      </c>
      <c r="D113" s="58">
        <v>20871552</v>
      </c>
      <c r="E113" s="51"/>
      <c r="F113" s="51"/>
      <c r="G113" s="51" t="s">
        <v>243</v>
      </c>
      <c r="H113" s="41">
        <v>112500</v>
      </c>
    </row>
    <row r="114" spans="2:8" x14ac:dyDescent="0.25">
      <c r="B114" s="9" t="s">
        <v>169</v>
      </c>
      <c r="C114" s="9" t="s">
        <v>138</v>
      </c>
      <c r="D114" s="57">
        <v>20617525</v>
      </c>
      <c r="E114" s="51"/>
      <c r="F114" s="51"/>
      <c r="G114" s="51" t="s">
        <v>243</v>
      </c>
      <c r="H114" s="41">
        <v>112500</v>
      </c>
    </row>
    <row r="115" spans="2:8" x14ac:dyDescent="0.25">
      <c r="B115" s="17" t="s">
        <v>170</v>
      </c>
      <c r="C115" s="17" t="s">
        <v>149</v>
      </c>
      <c r="D115" s="58">
        <v>1072762324</v>
      </c>
      <c r="E115" s="51"/>
      <c r="F115" s="51"/>
      <c r="G115" s="51" t="s">
        <v>243</v>
      </c>
      <c r="H115" s="41">
        <v>112500</v>
      </c>
    </row>
    <row r="116" spans="2:8" x14ac:dyDescent="0.25">
      <c r="B116" s="9" t="s">
        <v>171</v>
      </c>
      <c r="C116" s="9" t="s">
        <v>149</v>
      </c>
      <c r="D116" s="57">
        <v>1072962324</v>
      </c>
      <c r="E116" s="51"/>
      <c r="F116" s="51"/>
      <c r="G116" s="51" t="s">
        <v>243</v>
      </c>
      <c r="H116" s="41">
        <v>112500</v>
      </c>
    </row>
    <row r="117" spans="2:8" x14ac:dyDescent="0.25">
      <c r="B117" s="17" t="s">
        <v>172</v>
      </c>
      <c r="C117" s="17" t="s">
        <v>138</v>
      </c>
      <c r="D117" s="58">
        <v>39556168</v>
      </c>
      <c r="E117" s="51"/>
      <c r="F117" s="51"/>
      <c r="G117" s="51" t="s">
        <v>243</v>
      </c>
      <c r="H117" s="41">
        <v>112500</v>
      </c>
    </row>
    <row r="118" spans="2:8" x14ac:dyDescent="0.25">
      <c r="B118" s="9" t="s">
        <v>173</v>
      </c>
      <c r="C118" s="9" t="s">
        <v>138</v>
      </c>
      <c r="D118" s="57">
        <v>79095224</v>
      </c>
      <c r="E118" s="51"/>
      <c r="F118" s="51"/>
      <c r="G118" s="51" t="s">
        <v>243</v>
      </c>
      <c r="H118" s="41">
        <v>112500</v>
      </c>
    </row>
    <row r="119" spans="2:8" x14ac:dyDescent="0.25">
      <c r="B119" s="17" t="s">
        <v>174</v>
      </c>
      <c r="C119" s="17" t="s">
        <v>175</v>
      </c>
      <c r="D119" s="58">
        <v>1072964287</v>
      </c>
      <c r="E119" s="51"/>
      <c r="F119" s="51"/>
      <c r="G119" s="51" t="s">
        <v>243</v>
      </c>
      <c r="H119" s="41">
        <v>10000</v>
      </c>
    </row>
    <row r="120" spans="2:8" x14ac:dyDescent="0.25">
      <c r="B120" s="9" t="s">
        <v>176</v>
      </c>
      <c r="C120" s="9" t="s">
        <v>138</v>
      </c>
      <c r="D120" s="57">
        <v>1069282255</v>
      </c>
      <c r="E120" s="51"/>
      <c r="F120" s="51"/>
      <c r="G120" s="51" t="s">
        <v>243</v>
      </c>
      <c r="H120" s="41">
        <v>112500</v>
      </c>
    </row>
    <row r="121" spans="2:8" x14ac:dyDescent="0.25">
      <c r="B121" s="17" t="s">
        <v>177</v>
      </c>
      <c r="C121" s="17" t="s">
        <v>138</v>
      </c>
      <c r="D121" s="58">
        <v>20358967</v>
      </c>
      <c r="E121" s="51"/>
      <c r="F121" s="51"/>
      <c r="G121" s="51" t="s">
        <v>243</v>
      </c>
      <c r="H121" s="41">
        <v>112500</v>
      </c>
    </row>
    <row r="122" spans="2:8" x14ac:dyDescent="0.25">
      <c r="B122" s="17" t="s">
        <v>178</v>
      </c>
      <c r="C122" s="17" t="s">
        <v>138</v>
      </c>
      <c r="D122" s="58">
        <v>54660953</v>
      </c>
      <c r="E122" s="51"/>
      <c r="F122" s="51"/>
      <c r="G122" s="51" t="s">
        <v>243</v>
      </c>
      <c r="H122" s="41">
        <v>112500</v>
      </c>
    </row>
    <row r="123" spans="2:8" x14ac:dyDescent="0.25">
      <c r="B123" s="17" t="s">
        <v>179</v>
      </c>
      <c r="C123" s="17" t="s">
        <v>138</v>
      </c>
      <c r="D123" s="58">
        <v>30372665</v>
      </c>
      <c r="E123" s="51"/>
      <c r="F123" s="51"/>
      <c r="G123" s="51" t="s">
        <v>243</v>
      </c>
      <c r="H123" s="41">
        <v>112500</v>
      </c>
    </row>
    <row r="124" spans="2:8" x14ac:dyDescent="0.25">
      <c r="B124" s="17" t="s">
        <v>180</v>
      </c>
      <c r="C124" s="17" t="s">
        <v>138</v>
      </c>
      <c r="D124" s="58">
        <v>20357610</v>
      </c>
      <c r="E124" s="51"/>
      <c r="F124" s="51"/>
      <c r="G124" s="51" t="s">
        <v>243</v>
      </c>
      <c r="H124" s="41">
        <v>112500</v>
      </c>
    </row>
    <row r="125" spans="2:8" x14ac:dyDescent="0.25">
      <c r="B125" s="17" t="s">
        <v>181</v>
      </c>
      <c r="C125" s="17" t="s">
        <v>138</v>
      </c>
      <c r="D125" s="58">
        <v>41553537</v>
      </c>
      <c r="E125" s="51"/>
      <c r="F125" s="51"/>
      <c r="G125" s="51" t="s">
        <v>243</v>
      </c>
      <c r="H125" s="41">
        <v>112500</v>
      </c>
    </row>
    <row r="126" spans="2:8" x14ac:dyDescent="0.25">
      <c r="B126" s="17" t="s">
        <v>182</v>
      </c>
      <c r="C126" s="17" t="s">
        <v>138</v>
      </c>
      <c r="D126" s="58">
        <v>11450104</v>
      </c>
      <c r="E126" s="51"/>
      <c r="F126" s="51"/>
      <c r="G126" s="51" t="s">
        <v>243</v>
      </c>
      <c r="H126" s="41">
        <v>112500</v>
      </c>
    </row>
    <row r="127" spans="2:8" x14ac:dyDescent="0.25">
      <c r="B127" s="17" t="s">
        <v>183</v>
      </c>
      <c r="C127" s="17" t="s">
        <v>138</v>
      </c>
      <c r="D127" s="58">
        <v>20870289</v>
      </c>
      <c r="E127" s="51"/>
      <c r="F127" s="51"/>
      <c r="G127" s="51" t="s">
        <v>243</v>
      </c>
      <c r="H127" s="41">
        <v>112500</v>
      </c>
    </row>
    <row r="128" spans="2:8" x14ac:dyDescent="0.25">
      <c r="B128" s="17" t="s">
        <v>184</v>
      </c>
      <c r="C128" s="17" t="s">
        <v>138</v>
      </c>
      <c r="D128" s="58">
        <v>20870935</v>
      </c>
      <c r="E128" s="51"/>
      <c r="F128" s="51"/>
      <c r="G128" s="51" t="s">
        <v>243</v>
      </c>
      <c r="H128" s="41">
        <v>112500</v>
      </c>
    </row>
    <row r="129" spans="2:8" x14ac:dyDescent="0.25">
      <c r="B129" s="17" t="s">
        <v>185</v>
      </c>
      <c r="C129" s="17" t="s">
        <v>138</v>
      </c>
      <c r="D129" s="58">
        <v>20871360</v>
      </c>
      <c r="E129" s="51"/>
      <c r="F129" s="51"/>
      <c r="G129" s="51" t="s">
        <v>243</v>
      </c>
      <c r="H129" s="41">
        <v>112500</v>
      </c>
    </row>
    <row r="130" spans="2:8" x14ac:dyDescent="0.25">
      <c r="B130" s="17" t="s">
        <v>186</v>
      </c>
      <c r="C130" s="17" t="s">
        <v>138</v>
      </c>
      <c r="D130" s="58">
        <v>20278409</v>
      </c>
      <c r="E130" s="51"/>
      <c r="F130" s="51"/>
      <c r="G130" s="51" t="s">
        <v>243</v>
      </c>
      <c r="H130" s="41">
        <v>112500</v>
      </c>
    </row>
    <row r="131" spans="2:8" x14ac:dyDescent="0.25">
      <c r="B131" s="17" t="s">
        <v>187</v>
      </c>
      <c r="C131" s="17" t="s">
        <v>138</v>
      </c>
      <c r="D131" s="58">
        <v>19379613</v>
      </c>
      <c r="E131" s="51"/>
      <c r="F131" s="51"/>
      <c r="G131" s="51" t="s">
        <v>243</v>
      </c>
      <c r="H131" s="41">
        <v>112500</v>
      </c>
    </row>
    <row r="132" spans="2:8" x14ac:dyDescent="0.25">
      <c r="B132" s="17" t="s">
        <v>188</v>
      </c>
      <c r="C132" s="17" t="s">
        <v>138</v>
      </c>
      <c r="D132" s="58">
        <v>1193518169</v>
      </c>
      <c r="E132" s="51"/>
      <c r="F132" s="51"/>
      <c r="G132" s="51" t="s">
        <v>243</v>
      </c>
      <c r="H132" s="41">
        <v>112500</v>
      </c>
    </row>
    <row r="133" spans="2:8" x14ac:dyDescent="0.25">
      <c r="B133" s="17" t="s">
        <v>189</v>
      </c>
      <c r="C133" s="17" t="s">
        <v>138</v>
      </c>
      <c r="D133" s="58">
        <v>21017230</v>
      </c>
      <c r="E133" s="51"/>
      <c r="F133" s="51"/>
      <c r="G133" s="51" t="s">
        <v>243</v>
      </c>
      <c r="H133" s="41">
        <v>112500</v>
      </c>
    </row>
    <row r="134" spans="2:8" x14ac:dyDescent="0.25">
      <c r="B134" s="17" t="s">
        <v>190</v>
      </c>
      <c r="C134" s="17" t="s">
        <v>138</v>
      </c>
      <c r="D134" s="58">
        <v>39789816</v>
      </c>
      <c r="E134" s="51"/>
      <c r="F134" s="51"/>
      <c r="G134" s="51" t="s">
        <v>243</v>
      </c>
      <c r="H134" s="41">
        <v>112500</v>
      </c>
    </row>
    <row r="135" spans="2:8" x14ac:dyDescent="0.25">
      <c r="B135" s="17" t="s">
        <v>191</v>
      </c>
      <c r="C135" s="17" t="s">
        <v>138</v>
      </c>
      <c r="D135" s="58">
        <v>1072963370</v>
      </c>
      <c r="E135" s="51"/>
      <c r="F135" s="51"/>
      <c r="G135" s="51" t="s">
        <v>243</v>
      </c>
      <c r="H135" s="41">
        <v>112500</v>
      </c>
    </row>
    <row r="136" spans="2:8" x14ac:dyDescent="0.25">
      <c r="B136" s="17" t="s">
        <v>192</v>
      </c>
      <c r="C136" s="17" t="s">
        <v>138</v>
      </c>
      <c r="D136" s="58">
        <v>20357306</v>
      </c>
      <c r="E136" s="51"/>
      <c r="F136" s="51"/>
      <c r="G136" s="51" t="s">
        <v>243</v>
      </c>
      <c r="H136" s="41">
        <v>112500</v>
      </c>
    </row>
    <row r="137" spans="2:8" x14ac:dyDescent="0.25">
      <c r="B137" s="17" t="s">
        <v>193</v>
      </c>
      <c r="C137" s="17" t="s">
        <v>138</v>
      </c>
      <c r="D137" s="58">
        <v>41591370</v>
      </c>
      <c r="E137" s="51"/>
      <c r="F137" s="51"/>
      <c r="G137" s="51" t="s">
        <v>243</v>
      </c>
      <c r="H137" s="41">
        <v>112500</v>
      </c>
    </row>
    <row r="138" spans="2:8" x14ac:dyDescent="0.25">
      <c r="B138" s="17" t="s">
        <v>194</v>
      </c>
      <c r="C138" s="17" t="s">
        <v>138</v>
      </c>
      <c r="D138" s="58">
        <v>20357324</v>
      </c>
      <c r="E138" s="51"/>
      <c r="F138" s="51"/>
      <c r="G138" s="51" t="s">
        <v>243</v>
      </c>
      <c r="H138" s="41">
        <v>0</v>
      </c>
    </row>
    <row r="139" spans="2:8" x14ac:dyDescent="0.25">
      <c r="B139" s="17" t="s">
        <v>195</v>
      </c>
      <c r="C139" s="17" t="s">
        <v>138</v>
      </c>
      <c r="D139" s="58">
        <v>20357324</v>
      </c>
      <c r="E139" s="51"/>
      <c r="F139" s="51"/>
      <c r="G139" s="51" t="s">
        <v>243</v>
      </c>
      <c r="H139" s="41">
        <v>112500</v>
      </c>
    </row>
    <row r="140" spans="2:8" x14ac:dyDescent="0.25">
      <c r="B140" s="17" t="s">
        <v>196</v>
      </c>
      <c r="C140" s="17" t="s">
        <v>138</v>
      </c>
      <c r="D140" s="58">
        <v>39560098</v>
      </c>
      <c r="E140" s="51"/>
      <c r="F140" s="51"/>
      <c r="G140" s="51" t="s">
        <v>243</v>
      </c>
      <c r="H140" s="41">
        <v>112500</v>
      </c>
    </row>
    <row r="141" spans="2:8" x14ac:dyDescent="0.25">
      <c r="B141" s="17" t="s">
        <v>197</v>
      </c>
      <c r="C141" s="17" t="s">
        <v>138</v>
      </c>
      <c r="D141" s="58">
        <v>178668</v>
      </c>
      <c r="E141" s="51"/>
      <c r="F141" s="51"/>
      <c r="G141" s="51" t="s">
        <v>243</v>
      </c>
      <c r="H141" s="41">
        <v>112500</v>
      </c>
    </row>
    <row r="142" spans="2:8" x14ac:dyDescent="0.25">
      <c r="B142" s="17" t="s">
        <v>198</v>
      </c>
      <c r="C142" s="17" t="s">
        <v>138</v>
      </c>
      <c r="D142" s="58">
        <v>20357264</v>
      </c>
      <c r="E142" s="51"/>
      <c r="F142" s="51"/>
      <c r="G142" s="51" t="s">
        <v>243</v>
      </c>
      <c r="H142" s="41">
        <v>112500</v>
      </c>
    </row>
    <row r="143" spans="2:8" x14ac:dyDescent="0.25">
      <c r="B143" s="17" t="s">
        <v>199</v>
      </c>
      <c r="C143" s="17" t="s">
        <v>138</v>
      </c>
      <c r="D143" s="58">
        <v>20357995</v>
      </c>
      <c r="E143" s="51"/>
      <c r="F143" s="51"/>
      <c r="G143" s="51" t="s">
        <v>243</v>
      </c>
      <c r="H143" s="41">
        <v>112500</v>
      </c>
    </row>
    <row r="144" spans="2:8" x14ac:dyDescent="0.25">
      <c r="B144" s="17" t="s">
        <v>200</v>
      </c>
      <c r="C144" s="17" t="s">
        <v>138</v>
      </c>
      <c r="D144" s="58">
        <v>179040</v>
      </c>
      <c r="E144" s="51"/>
      <c r="F144" s="51"/>
      <c r="G144" s="51" t="s">
        <v>243</v>
      </c>
      <c r="H144" s="41">
        <v>112500</v>
      </c>
    </row>
    <row r="145" spans="2:8" x14ac:dyDescent="0.25">
      <c r="B145" s="17" t="s">
        <v>201</v>
      </c>
      <c r="C145" s="17" t="s">
        <v>147</v>
      </c>
      <c r="D145" s="58">
        <v>1072961920</v>
      </c>
      <c r="E145" s="51"/>
      <c r="F145" s="51"/>
      <c r="G145" s="51" t="s">
        <v>243</v>
      </c>
      <c r="H145" s="41">
        <v>112500</v>
      </c>
    </row>
    <row r="146" spans="2:8" x14ac:dyDescent="0.25">
      <c r="B146" s="17" t="s">
        <v>202</v>
      </c>
      <c r="C146" s="17" t="s">
        <v>138</v>
      </c>
      <c r="D146" s="58">
        <v>51939196</v>
      </c>
      <c r="E146" s="51"/>
      <c r="F146" s="51"/>
      <c r="G146" s="51" t="s">
        <v>243</v>
      </c>
      <c r="H146" s="41">
        <v>112500</v>
      </c>
    </row>
    <row r="147" spans="2:8" x14ac:dyDescent="0.25">
      <c r="B147" s="17" t="s">
        <v>203</v>
      </c>
      <c r="C147" s="17" t="s">
        <v>138</v>
      </c>
      <c r="D147" s="58">
        <v>2955330</v>
      </c>
      <c r="E147" s="51"/>
      <c r="F147" s="51"/>
      <c r="G147" s="51" t="s">
        <v>243</v>
      </c>
      <c r="H147" s="41">
        <v>112500</v>
      </c>
    </row>
    <row r="148" spans="2:8" x14ac:dyDescent="0.25">
      <c r="B148" s="17" t="s">
        <v>204</v>
      </c>
      <c r="C148" s="17" t="s">
        <v>138</v>
      </c>
      <c r="D148" s="58">
        <v>1000157395</v>
      </c>
      <c r="E148" s="51"/>
      <c r="F148" s="51"/>
      <c r="G148" s="51" t="s">
        <v>243</v>
      </c>
      <c r="H148" s="41">
        <v>112500</v>
      </c>
    </row>
    <row r="149" spans="2:8" x14ac:dyDescent="0.25">
      <c r="B149" s="17" t="s">
        <v>205</v>
      </c>
      <c r="C149" s="17" t="s">
        <v>138</v>
      </c>
      <c r="D149" s="58">
        <v>20357574</v>
      </c>
      <c r="E149" s="51"/>
      <c r="F149" s="51"/>
      <c r="G149" s="51" t="s">
        <v>243</v>
      </c>
      <c r="H149" s="41">
        <v>112500</v>
      </c>
    </row>
    <row r="150" spans="2:8" x14ac:dyDescent="0.25">
      <c r="B150" s="17" t="s">
        <v>206</v>
      </c>
      <c r="C150" s="17" t="s">
        <v>138</v>
      </c>
      <c r="D150" s="58">
        <v>1074088015</v>
      </c>
      <c r="E150" s="51"/>
      <c r="F150" s="51"/>
      <c r="G150" s="51" t="s">
        <v>243</v>
      </c>
      <c r="H150" s="41">
        <v>112500</v>
      </c>
    </row>
    <row r="151" spans="2:8" x14ac:dyDescent="0.25">
      <c r="B151" s="17" t="s">
        <v>207</v>
      </c>
      <c r="C151" s="17" t="s">
        <v>138</v>
      </c>
      <c r="D151" s="58">
        <v>35373856</v>
      </c>
      <c r="E151" s="51"/>
      <c r="F151" s="51"/>
      <c r="G151" s="51" t="s">
        <v>243</v>
      </c>
      <c r="H151" s="41">
        <v>112500</v>
      </c>
    </row>
    <row r="152" spans="2:8" x14ac:dyDescent="0.25">
      <c r="B152" s="17" t="s">
        <v>208</v>
      </c>
      <c r="C152" s="17" t="s">
        <v>138</v>
      </c>
      <c r="D152" s="58">
        <v>32001100</v>
      </c>
      <c r="E152" s="51"/>
      <c r="F152" s="51"/>
      <c r="G152" s="51" t="s">
        <v>243</v>
      </c>
      <c r="H152" s="41">
        <v>112500</v>
      </c>
    </row>
    <row r="153" spans="2:8" x14ac:dyDescent="0.25">
      <c r="B153" s="17" t="s">
        <v>209</v>
      </c>
      <c r="C153" s="17" t="s">
        <v>138</v>
      </c>
      <c r="D153" s="58">
        <v>52061687</v>
      </c>
      <c r="E153" s="51"/>
      <c r="F153" s="51"/>
      <c r="G153" s="51" t="s">
        <v>243</v>
      </c>
      <c r="H153" s="41">
        <v>112500</v>
      </c>
    </row>
    <row r="154" spans="2:8" x14ac:dyDescent="0.25">
      <c r="B154" s="17" t="s">
        <v>210</v>
      </c>
      <c r="C154" s="17" t="s">
        <v>138</v>
      </c>
      <c r="D154" s="58">
        <v>20358252</v>
      </c>
      <c r="E154" s="51"/>
      <c r="F154" s="51"/>
      <c r="G154" s="51" t="s">
        <v>243</v>
      </c>
      <c r="H154" s="41">
        <v>112500</v>
      </c>
    </row>
    <row r="155" spans="2:8" x14ac:dyDescent="0.25">
      <c r="B155" s="17" t="s">
        <v>211</v>
      </c>
      <c r="C155" s="17" t="s">
        <v>138</v>
      </c>
      <c r="D155" s="58">
        <v>35323007</v>
      </c>
      <c r="E155" s="51"/>
      <c r="F155" s="51"/>
      <c r="G155" s="51" t="s">
        <v>243</v>
      </c>
      <c r="H155" s="41">
        <v>112500</v>
      </c>
    </row>
    <row r="156" spans="2:8" x14ac:dyDescent="0.25">
      <c r="B156" s="17" t="s">
        <v>212</v>
      </c>
      <c r="C156" s="17" t="s">
        <v>138</v>
      </c>
      <c r="D156" s="58">
        <v>31301919</v>
      </c>
      <c r="E156" s="51"/>
      <c r="F156" s="51"/>
      <c r="G156" s="51" t="s">
        <v>243</v>
      </c>
      <c r="H156" s="41">
        <v>112500</v>
      </c>
    </row>
    <row r="157" spans="2:8" x14ac:dyDescent="0.25">
      <c r="B157" s="17" t="s">
        <v>213</v>
      </c>
      <c r="C157" s="17" t="s">
        <v>138</v>
      </c>
      <c r="D157" s="58">
        <v>14974866</v>
      </c>
      <c r="E157" s="51"/>
      <c r="F157" s="51"/>
      <c r="G157" s="51" t="s">
        <v>243</v>
      </c>
      <c r="H157" s="41">
        <v>112500</v>
      </c>
    </row>
    <row r="158" spans="2:8" x14ac:dyDescent="0.25">
      <c r="B158" s="17" t="s">
        <v>214</v>
      </c>
      <c r="C158" s="17" t="s">
        <v>138</v>
      </c>
      <c r="D158" s="58">
        <v>52707607</v>
      </c>
      <c r="E158" s="51"/>
      <c r="F158" s="51"/>
      <c r="G158" s="51" t="s">
        <v>243</v>
      </c>
      <c r="H158" s="41">
        <v>112500</v>
      </c>
    </row>
    <row r="159" spans="2:8" x14ac:dyDescent="0.25">
      <c r="B159" s="17" t="s">
        <v>215</v>
      </c>
      <c r="C159" s="17" t="s">
        <v>216</v>
      </c>
      <c r="D159" s="58">
        <v>654489448</v>
      </c>
      <c r="E159" s="51"/>
      <c r="F159" s="51"/>
      <c r="G159" s="51" t="s">
        <v>243</v>
      </c>
      <c r="H159" s="41">
        <v>112500</v>
      </c>
    </row>
    <row r="160" spans="2:8" x14ac:dyDescent="0.25">
      <c r="B160" s="17" t="s">
        <v>217</v>
      </c>
      <c r="C160" s="17" t="s">
        <v>138</v>
      </c>
      <c r="D160" s="58">
        <v>20357942</v>
      </c>
      <c r="E160" s="51"/>
      <c r="F160" s="51"/>
      <c r="G160" s="51" t="s">
        <v>243</v>
      </c>
      <c r="H160" s="41">
        <v>112500</v>
      </c>
    </row>
    <row r="161" spans="2:8" x14ac:dyDescent="0.25">
      <c r="B161" s="17" t="s">
        <v>218</v>
      </c>
      <c r="C161" s="17" t="s">
        <v>147</v>
      </c>
      <c r="D161" s="58">
        <v>1195466310</v>
      </c>
      <c r="E161" s="51"/>
      <c r="F161" s="51"/>
      <c r="G161" s="51" t="s">
        <v>243</v>
      </c>
      <c r="H161" s="41">
        <v>10000</v>
      </c>
    </row>
    <row r="162" spans="2:8" x14ac:dyDescent="0.25">
      <c r="B162" s="17" t="s">
        <v>219</v>
      </c>
      <c r="C162" s="17" t="s">
        <v>138</v>
      </c>
      <c r="D162" s="58">
        <v>1032358150</v>
      </c>
      <c r="E162" s="51"/>
      <c r="F162" s="51"/>
      <c r="G162" s="51" t="s">
        <v>243</v>
      </c>
      <c r="H162" s="41">
        <v>112500</v>
      </c>
    </row>
    <row r="163" spans="2:8" x14ac:dyDescent="0.25">
      <c r="B163" s="17" t="s">
        <v>220</v>
      </c>
      <c r="C163" s="17" t="s">
        <v>138</v>
      </c>
      <c r="D163" s="58">
        <v>1072962110</v>
      </c>
      <c r="E163" s="51"/>
      <c r="F163" s="51"/>
      <c r="G163" s="51" t="s">
        <v>243</v>
      </c>
      <c r="H163" s="41">
        <v>112500</v>
      </c>
    </row>
    <row r="164" spans="2:8" x14ac:dyDescent="0.25">
      <c r="B164" s="17" t="s">
        <v>221</v>
      </c>
      <c r="C164" s="17" t="s">
        <v>138</v>
      </c>
      <c r="D164" s="58">
        <v>1070329107</v>
      </c>
      <c r="E164" s="51"/>
      <c r="F164" s="51"/>
      <c r="G164" s="51" t="s">
        <v>243</v>
      </c>
      <c r="H164" s="41">
        <v>112500</v>
      </c>
    </row>
    <row r="165" spans="2:8" x14ac:dyDescent="0.25">
      <c r="B165" s="17" t="s">
        <v>222</v>
      </c>
      <c r="C165" s="17" t="s">
        <v>138</v>
      </c>
      <c r="D165" s="58">
        <v>20357440</v>
      </c>
      <c r="E165" s="51"/>
      <c r="F165" s="51"/>
      <c r="G165" s="51" t="s">
        <v>243</v>
      </c>
      <c r="H165" s="41">
        <v>112500</v>
      </c>
    </row>
    <row r="166" spans="2:8" x14ac:dyDescent="0.25">
      <c r="B166" s="17" t="s">
        <v>223</v>
      </c>
      <c r="C166" s="17" t="s">
        <v>138</v>
      </c>
      <c r="D166" s="58">
        <v>20684167</v>
      </c>
      <c r="E166" s="51"/>
      <c r="F166" s="51"/>
      <c r="G166" s="51" t="s">
        <v>243</v>
      </c>
      <c r="H166" s="41">
        <v>112500</v>
      </c>
    </row>
    <row r="167" spans="2:8" x14ac:dyDescent="0.25">
      <c r="B167" s="17" t="s">
        <v>224</v>
      </c>
      <c r="C167" s="17" t="s">
        <v>138</v>
      </c>
      <c r="D167" s="58">
        <v>20871777</v>
      </c>
      <c r="E167" s="51"/>
      <c r="F167" s="51"/>
      <c r="G167" s="51" t="s">
        <v>243</v>
      </c>
      <c r="H167" s="41">
        <v>112500</v>
      </c>
    </row>
    <row r="168" spans="2:8" x14ac:dyDescent="0.25">
      <c r="B168" s="17" t="s">
        <v>225</v>
      </c>
      <c r="C168" s="17" t="s">
        <v>138</v>
      </c>
      <c r="D168" s="58">
        <v>1072962556</v>
      </c>
      <c r="E168" s="51"/>
      <c r="F168" s="51"/>
      <c r="G168" s="51" t="s">
        <v>243</v>
      </c>
      <c r="H168" s="41">
        <v>0</v>
      </c>
    </row>
    <row r="169" spans="2:8" x14ac:dyDescent="0.25">
      <c r="B169" s="17" t="s">
        <v>226</v>
      </c>
      <c r="C169" s="17" t="s">
        <v>175</v>
      </c>
      <c r="D169" s="58">
        <v>1072963861</v>
      </c>
      <c r="E169" s="51"/>
      <c r="F169" s="51"/>
      <c r="G169" s="51" t="s">
        <v>243</v>
      </c>
      <c r="H169" s="41">
        <v>10000</v>
      </c>
    </row>
    <row r="170" spans="2:8" x14ac:dyDescent="0.25">
      <c r="B170" s="17" t="s">
        <v>227</v>
      </c>
      <c r="C170" s="17" t="s">
        <v>175</v>
      </c>
      <c r="D170" s="58">
        <v>1072964386</v>
      </c>
      <c r="E170" s="51"/>
      <c r="F170" s="51"/>
      <c r="G170" s="51" t="s">
        <v>243</v>
      </c>
      <c r="H170" s="41">
        <v>10000</v>
      </c>
    </row>
    <row r="171" spans="2:8" x14ac:dyDescent="0.25">
      <c r="B171" s="17" t="s">
        <v>228</v>
      </c>
      <c r="C171" s="17" t="s">
        <v>175</v>
      </c>
      <c r="D171" s="58">
        <v>1072963853</v>
      </c>
      <c r="E171" s="51"/>
      <c r="F171" s="51"/>
      <c r="G171" s="51" t="s">
        <v>243</v>
      </c>
      <c r="H171" s="41">
        <v>10000</v>
      </c>
    </row>
    <row r="172" spans="2:8" x14ac:dyDescent="0.25">
      <c r="B172" s="17" t="s">
        <v>229</v>
      </c>
      <c r="C172" s="17" t="s">
        <v>138</v>
      </c>
      <c r="D172" s="58">
        <v>20357461</v>
      </c>
      <c r="E172" s="51"/>
      <c r="F172" s="51"/>
      <c r="G172" s="51" t="s">
        <v>243</v>
      </c>
      <c r="H172" s="41">
        <v>112500</v>
      </c>
    </row>
    <row r="173" spans="2:8" x14ac:dyDescent="0.25">
      <c r="B173" s="17" t="s">
        <v>230</v>
      </c>
      <c r="C173" s="17" t="s">
        <v>138</v>
      </c>
      <c r="D173" s="58">
        <v>20357457</v>
      </c>
      <c r="E173" s="51"/>
      <c r="F173" s="51"/>
      <c r="G173" s="51" t="s">
        <v>243</v>
      </c>
      <c r="H173" s="41">
        <v>112500</v>
      </c>
    </row>
    <row r="174" spans="2:8" x14ac:dyDescent="0.25">
      <c r="B174" s="17" t="s">
        <v>231</v>
      </c>
      <c r="C174" s="17" t="s">
        <v>138</v>
      </c>
      <c r="D174" s="58">
        <v>51582879</v>
      </c>
      <c r="E174" s="51"/>
      <c r="F174" s="51"/>
      <c r="G174" s="51" t="s">
        <v>243</v>
      </c>
      <c r="H174" s="41">
        <v>112500</v>
      </c>
    </row>
    <row r="175" spans="2:8" x14ac:dyDescent="0.25">
      <c r="B175" s="17" t="s">
        <v>232</v>
      </c>
      <c r="C175" s="17" t="s">
        <v>138</v>
      </c>
      <c r="D175" s="58">
        <v>1193532985</v>
      </c>
      <c r="E175" s="51"/>
      <c r="F175" s="51"/>
      <c r="G175" s="51" t="s">
        <v>243</v>
      </c>
      <c r="H175" s="41">
        <v>112500</v>
      </c>
    </row>
    <row r="176" spans="2:8" x14ac:dyDescent="0.25">
      <c r="B176" s="17" t="s">
        <v>233</v>
      </c>
      <c r="C176" s="17" t="s">
        <v>175</v>
      </c>
      <c r="D176" s="58">
        <v>1195466998</v>
      </c>
      <c r="E176" s="51"/>
      <c r="F176" s="51"/>
      <c r="G176" s="51" t="s">
        <v>243</v>
      </c>
      <c r="H176" s="41">
        <v>10000</v>
      </c>
    </row>
    <row r="177" spans="2:8" x14ac:dyDescent="0.25">
      <c r="B177" s="17" t="s">
        <v>234</v>
      </c>
      <c r="C177" s="17" t="s">
        <v>138</v>
      </c>
      <c r="D177" s="58">
        <v>1005290427</v>
      </c>
      <c r="E177" s="51"/>
      <c r="F177" s="51"/>
      <c r="G177" s="51" t="s">
        <v>243</v>
      </c>
      <c r="H177" s="41">
        <v>112500</v>
      </c>
    </row>
    <row r="178" spans="2:8" x14ac:dyDescent="0.25">
      <c r="B178" s="17" t="s">
        <v>235</v>
      </c>
      <c r="C178" s="17" t="s">
        <v>138</v>
      </c>
      <c r="D178" s="58">
        <v>79671111</v>
      </c>
      <c r="E178" s="51"/>
      <c r="F178" s="51"/>
      <c r="G178" s="51" t="s">
        <v>243</v>
      </c>
      <c r="H178" s="41">
        <v>112500</v>
      </c>
    </row>
    <row r="179" spans="2:8" x14ac:dyDescent="0.25">
      <c r="B179" s="17" t="s">
        <v>236</v>
      </c>
      <c r="C179" s="17" t="s">
        <v>138</v>
      </c>
      <c r="D179" s="58">
        <v>52851043</v>
      </c>
      <c r="E179" s="51"/>
      <c r="F179" s="51"/>
      <c r="G179" s="51" t="s">
        <v>243</v>
      </c>
      <c r="H179" s="41">
        <v>112500</v>
      </c>
    </row>
    <row r="180" spans="2:8" x14ac:dyDescent="0.25">
      <c r="B180" s="17" t="s">
        <v>237</v>
      </c>
      <c r="C180" s="17" t="s">
        <v>138</v>
      </c>
      <c r="D180" s="58">
        <v>52763282</v>
      </c>
      <c r="E180" s="51"/>
      <c r="F180" s="51"/>
      <c r="G180" s="51" t="s">
        <v>243</v>
      </c>
      <c r="H180" s="41">
        <v>112500</v>
      </c>
    </row>
    <row r="181" spans="2:8" x14ac:dyDescent="0.25">
      <c r="B181" s="17" t="s">
        <v>238</v>
      </c>
      <c r="C181" s="17" t="s">
        <v>147</v>
      </c>
      <c r="D181" s="58">
        <v>1013276236</v>
      </c>
      <c r="E181" s="51"/>
      <c r="F181" s="51"/>
      <c r="G181" s="51" t="s">
        <v>243</v>
      </c>
      <c r="H181" s="41">
        <v>112500</v>
      </c>
    </row>
    <row r="182" spans="2:8" x14ac:dyDescent="0.25">
      <c r="B182" s="17" t="s">
        <v>239</v>
      </c>
      <c r="C182" s="17" t="s">
        <v>147</v>
      </c>
      <c r="D182" s="58">
        <v>1072962209</v>
      </c>
      <c r="E182" s="51"/>
      <c r="F182" s="51"/>
      <c r="G182" s="51" t="s">
        <v>243</v>
      </c>
      <c r="H182" s="41">
        <v>112500</v>
      </c>
    </row>
    <row r="183" spans="2:8" x14ac:dyDescent="0.25">
      <c r="B183" s="17" t="s">
        <v>240</v>
      </c>
      <c r="C183" s="17" t="s">
        <v>138</v>
      </c>
      <c r="D183" s="58">
        <v>20357482</v>
      </c>
      <c r="E183" s="51"/>
      <c r="F183" s="51"/>
      <c r="G183" s="51" t="s">
        <v>243</v>
      </c>
      <c r="H183" s="41">
        <v>112500</v>
      </c>
    </row>
    <row r="184" spans="2:8" x14ac:dyDescent="0.25">
      <c r="B184" s="17" t="s">
        <v>233</v>
      </c>
      <c r="C184" s="17" t="s">
        <v>175</v>
      </c>
      <c r="D184" s="58">
        <v>1072962658</v>
      </c>
      <c r="E184" s="51"/>
      <c r="F184" s="51"/>
      <c r="G184" s="51" t="s">
        <v>243</v>
      </c>
      <c r="H184" s="41">
        <v>10000</v>
      </c>
    </row>
    <row r="185" spans="2:8" x14ac:dyDescent="0.25">
      <c r="B185" s="17" t="s">
        <v>241</v>
      </c>
      <c r="C185" s="17" t="s">
        <v>52</v>
      </c>
      <c r="D185" s="58">
        <v>1072873098</v>
      </c>
      <c r="E185" s="51"/>
      <c r="F185" s="51"/>
      <c r="G185" s="51" t="s">
        <v>243</v>
      </c>
      <c r="H185" s="41">
        <v>112500</v>
      </c>
    </row>
    <row r="186" spans="2:8" ht="15.75" thickBot="1" x14ac:dyDescent="0.3">
      <c r="B186" s="53" t="s">
        <v>242</v>
      </c>
      <c r="C186" s="53" t="s">
        <v>138</v>
      </c>
      <c r="D186" s="68">
        <v>1073630653</v>
      </c>
      <c r="E186" s="26"/>
      <c r="F186" s="26"/>
      <c r="G186" s="26" t="s">
        <v>243</v>
      </c>
      <c r="H186" s="56">
        <v>112500</v>
      </c>
    </row>
    <row r="187" spans="2:8" ht="15.75" thickBot="1" x14ac:dyDescent="0.3">
      <c r="B187" s="46" t="s">
        <v>115</v>
      </c>
      <c r="C187" s="47"/>
      <c r="D187" s="48"/>
      <c r="E187" s="26"/>
      <c r="F187" s="26"/>
      <c r="G187" s="26"/>
      <c r="H187" s="56">
        <f>SUBTOTAL(109,H85:H186)</f>
        <v>10082500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4717-885E-4FBD-825C-2D08E549230A}">
  <dimension ref="A1:M46"/>
  <sheetViews>
    <sheetView topLeftCell="A27" zoomScale="85" zoomScaleNormal="70" workbookViewId="0">
      <selection activeCell="H2" sqref="H2"/>
    </sheetView>
  </sheetViews>
  <sheetFormatPr baseColWidth="10" defaultRowHeight="15" x14ac:dyDescent="0.25"/>
  <cols>
    <col min="2" max="2" width="29" bestFit="1" customWidth="1"/>
    <col min="3" max="3" width="16.42578125" style="1" bestFit="1" customWidth="1"/>
    <col min="4" max="4" width="20.28515625" style="1" bestFit="1" customWidth="1"/>
    <col min="5" max="5" width="13.85546875" style="1" bestFit="1" customWidth="1"/>
    <col min="6" max="6" width="35.85546875" bestFit="1" customWidth="1"/>
    <col min="8" max="8" width="33" bestFit="1" customWidth="1"/>
    <col min="9" max="9" width="15.5703125" bestFit="1" customWidth="1"/>
    <col min="10" max="10" width="13.85546875" bestFit="1" customWidth="1"/>
    <col min="11" max="11" width="23.42578125" bestFit="1" customWidth="1"/>
    <col min="12" max="12" width="14.5703125" customWidth="1"/>
  </cols>
  <sheetData>
    <row r="1" spans="1:11" x14ac:dyDescent="0.25">
      <c r="B1" s="119" t="s">
        <v>124</v>
      </c>
      <c r="C1" s="119"/>
      <c r="D1" s="119"/>
      <c r="E1" s="119"/>
      <c r="F1" s="119"/>
    </row>
    <row r="2" spans="1:11" x14ac:dyDescent="0.25">
      <c r="B2" s="1" t="s">
        <v>126</v>
      </c>
      <c r="C2" s="1" t="s">
        <v>127</v>
      </c>
      <c r="D2" s="1" t="s">
        <v>128</v>
      </c>
      <c r="E2" s="1" t="s">
        <v>115</v>
      </c>
      <c r="F2" s="1" t="s">
        <v>129</v>
      </c>
    </row>
    <row r="3" spans="1:11" x14ac:dyDescent="0.25">
      <c r="B3" t="s">
        <v>116</v>
      </c>
      <c r="C3" s="38"/>
      <c r="D3" s="40"/>
      <c r="E3" s="38">
        <v>1900000</v>
      </c>
    </row>
    <row r="4" spans="1:11" x14ac:dyDescent="0.25">
      <c r="B4" t="s">
        <v>117</v>
      </c>
      <c r="C4" s="38">
        <f>E4/D4</f>
        <v>3026.3157894736842</v>
      </c>
      <c r="D4" s="40">
        <v>38</v>
      </c>
      <c r="E4" s="38">
        <v>115000</v>
      </c>
    </row>
    <row r="5" spans="1:11" x14ac:dyDescent="0.25">
      <c r="B5" t="s">
        <v>118</v>
      </c>
      <c r="C5" s="38">
        <v>17000</v>
      </c>
      <c r="D5" s="40">
        <v>34</v>
      </c>
      <c r="E5" s="38">
        <f>C5*34</f>
        <v>578000</v>
      </c>
    </row>
    <row r="6" spans="1:11" x14ac:dyDescent="0.25">
      <c r="B6" t="s">
        <v>119</v>
      </c>
      <c r="C6" s="38">
        <v>15000</v>
      </c>
      <c r="D6" s="40">
        <v>34</v>
      </c>
      <c r="E6" s="38">
        <f>C6*34</f>
        <v>510000</v>
      </c>
    </row>
    <row r="7" spans="1:11" x14ac:dyDescent="0.25">
      <c r="B7" t="s">
        <v>120</v>
      </c>
      <c r="C7" s="38">
        <v>10000</v>
      </c>
      <c r="D7" s="40">
        <v>34</v>
      </c>
      <c r="E7" s="38">
        <f>C7*34</f>
        <v>340000</v>
      </c>
    </row>
    <row r="8" spans="1:11" x14ac:dyDescent="0.25">
      <c r="B8" t="s">
        <v>121</v>
      </c>
      <c r="C8" s="38">
        <v>10000</v>
      </c>
      <c r="D8" s="40">
        <v>34</v>
      </c>
      <c r="E8" s="41">
        <v>340000</v>
      </c>
    </row>
    <row r="9" spans="1:11" x14ac:dyDescent="0.25">
      <c r="B9" t="s">
        <v>122</v>
      </c>
      <c r="C9" s="38">
        <v>100000</v>
      </c>
      <c r="D9" s="40">
        <v>0</v>
      </c>
      <c r="E9" s="41">
        <v>100000</v>
      </c>
    </row>
    <row r="10" spans="1:11" x14ac:dyDescent="0.25">
      <c r="B10" t="s">
        <v>123</v>
      </c>
      <c r="C10" s="38">
        <v>21000</v>
      </c>
      <c r="D10" s="40">
        <v>35</v>
      </c>
      <c r="E10" s="38">
        <f>C10*35</f>
        <v>735000</v>
      </c>
      <c r="F10" t="s">
        <v>125</v>
      </c>
    </row>
    <row r="11" spans="1:11" ht="15.75" thickBot="1" x14ac:dyDescent="0.3">
      <c r="B11" s="26" t="s">
        <v>115</v>
      </c>
      <c r="C11" s="26"/>
      <c r="D11" s="26"/>
      <c r="E11" s="44">
        <f>SUM(E3:E10)</f>
        <v>4618000</v>
      </c>
    </row>
    <row r="12" spans="1:11" x14ac:dyDescent="0.25">
      <c r="C12" s="1" t="s">
        <v>131</v>
      </c>
      <c r="D12" s="37">
        <v>5795000</v>
      </c>
      <c r="E12" s="34"/>
    </row>
    <row r="13" spans="1:11" x14ac:dyDescent="0.25">
      <c r="B13" s="39" t="s">
        <v>130</v>
      </c>
      <c r="C13" s="38"/>
      <c r="D13" s="40"/>
      <c r="E13" s="43">
        <f>D12-E11</f>
        <v>1177000</v>
      </c>
      <c r="F13" t="s">
        <v>132</v>
      </c>
    </row>
    <row r="15" spans="1:11" x14ac:dyDescent="0.25">
      <c r="A15" s="69"/>
      <c r="B15" s="89"/>
      <c r="C15" s="89"/>
      <c r="D15" s="89"/>
      <c r="E15" s="89"/>
      <c r="F15" s="89"/>
      <c r="G15" s="89"/>
      <c r="H15" s="89"/>
      <c r="I15" s="89"/>
      <c r="J15" s="89"/>
      <c r="K15" s="91"/>
    </row>
    <row r="16" spans="1:11" x14ac:dyDescent="0.25">
      <c r="A16" s="70"/>
      <c r="B16" s="116" t="s">
        <v>133</v>
      </c>
      <c r="C16" s="117"/>
      <c r="D16" s="117"/>
      <c r="E16" s="117"/>
      <c r="F16" s="118"/>
      <c r="G16" s="97"/>
      <c r="H16" s="116" t="s">
        <v>254</v>
      </c>
      <c r="I16" s="117"/>
      <c r="J16" s="118"/>
      <c r="K16" s="98"/>
    </row>
    <row r="17" spans="1:13" x14ac:dyDescent="0.25">
      <c r="A17" s="70"/>
      <c r="B17" s="15" t="s">
        <v>126</v>
      </c>
      <c r="C17" s="15" t="s">
        <v>127</v>
      </c>
      <c r="D17" s="15" t="s">
        <v>128</v>
      </c>
      <c r="E17" s="15" t="s">
        <v>115</v>
      </c>
      <c r="F17" s="15" t="s">
        <v>129</v>
      </c>
      <c r="G17" s="97"/>
      <c r="H17" s="15" t="s">
        <v>255</v>
      </c>
      <c r="I17" s="15" t="s">
        <v>256</v>
      </c>
      <c r="J17" s="15" t="s">
        <v>257</v>
      </c>
      <c r="K17" s="98"/>
    </row>
    <row r="18" spans="1:13" x14ac:dyDescent="0.25">
      <c r="A18" s="70"/>
      <c r="B18" s="88" t="s">
        <v>116</v>
      </c>
      <c r="C18" s="99"/>
      <c r="D18" s="100"/>
      <c r="E18" s="99">
        <v>2400000</v>
      </c>
      <c r="F18" s="88"/>
      <c r="G18" s="97"/>
      <c r="H18" s="101" t="s">
        <v>258</v>
      </c>
      <c r="I18" s="15">
        <v>11</v>
      </c>
      <c r="J18" s="60">
        <f>I18*15000</f>
        <v>165000</v>
      </c>
      <c r="K18" s="98"/>
    </row>
    <row r="19" spans="1:13" x14ac:dyDescent="0.25">
      <c r="A19" s="70"/>
      <c r="B19" s="88" t="s">
        <v>117</v>
      </c>
      <c r="C19" s="99"/>
      <c r="D19" s="100"/>
      <c r="E19" s="99">
        <v>90000</v>
      </c>
      <c r="F19" s="88"/>
      <c r="G19" s="97"/>
      <c r="H19" s="101" t="s">
        <v>259</v>
      </c>
      <c r="I19" s="15">
        <v>10</v>
      </c>
      <c r="J19" s="60">
        <f t="shared" ref="J19:J23" si="0">I19*15000</f>
        <v>150000</v>
      </c>
      <c r="K19" s="98"/>
    </row>
    <row r="20" spans="1:13" x14ac:dyDescent="0.25">
      <c r="A20" s="70"/>
      <c r="B20" s="88" t="s">
        <v>118</v>
      </c>
      <c r="C20" s="99"/>
      <c r="D20" s="100"/>
      <c r="E20" s="99">
        <f>896000-63000</f>
        <v>833000</v>
      </c>
      <c r="F20" s="88"/>
      <c r="G20" s="97"/>
      <c r="H20" s="101" t="s">
        <v>260</v>
      </c>
      <c r="I20" s="15">
        <v>13</v>
      </c>
      <c r="J20" s="60">
        <f t="shared" si="0"/>
        <v>195000</v>
      </c>
      <c r="K20" s="98"/>
    </row>
    <row r="21" spans="1:13" ht="30" x14ac:dyDescent="0.25">
      <c r="A21" s="70"/>
      <c r="B21" s="102" t="s">
        <v>134</v>
      </c>
      <c r="C21" s="103"/>
      <c r="D21" s="104"/>
      <c r="E21" s="103">
        <v>850000</v>
      </c>
      <c r="F21" s="102"/>
      <c r="G21" s="97"/>
      <c r="H21" s="101" t="s">
        <v>261</v>
      </c>
      <c r="I21" s="15">
        <v>1</v>
      </c>
      <c r="J21" s="60">
        <f t="shared" si="0"/>
        <v>15000</v>
      </c>
      <c r="K21" s="98"/>
    </row>
    <row r="22" spans="1:13" x14ac:dyDescent="0.25">
      <c r="A22" s="70"/>
      <c r="B22" s="88" t="s">
        <v>136</v>
      </c>
      <c r="C22" s="99"/>
      <c r="D22" s="100"/>
      <c r="E22" s="99">
        <v>1394600</v>
      </c>
      <c r="F22" s="88"/>
      <c r="G22" s="97"/>
      <c r="H22" s="101" t="s">
        <v>262</v>
      </c>
      <c r="I22" s="15">
        <v>2</v>
      </c>
      <c r="J22" s="60">
        <f t="shared" si="0"/>
        <v>30000</v>
      </c>
      <c r="K22" s="98"/>
    </row>
    <row r="23" spans="1:13" x14ac:dyDescent="0.25">
      <c r="A23" s="70"/>
      <c r="B23" s="88" t="s">
        <v>121</v>
      </c>
      <c r="C23" s="99"/>
      <c r="D23" s="100"/>
      <c r="E23" s="60"/>
      <c r="F23" s="88"/>
      <c r="G23" s="97"/>
      <c r="H23" s="105" t="s">
        <v>263</v>
      </c>
      <c r="I23" s="15">
        <v>1</v>
      </c>
      <c r="J23" s="60">
        <f t="shared" si="0"/>
        <v>15000</v>
      </c>
      <c r="K23" s="98"/>
    </row>
    <row r="24" spans="1:13" x14ac:dyDescent="0.25">
      <c r="A24" s="70"/>
      <c r="B24" s="88" t="s">
        <v>122</v>
      </c>
      <c r="C24" s="99"/>
      <c r="D24" s="100"/>
      <c r="E24" s="60"/>
      <c r="F24" s="88"/>
      <c r="G24" s="97"/>
      <c r="H24" s="15" t="s">
        <v>264</v>
      </c>
      <c r="I24" s="15">
        <f>SUM(I18:I23)</f>
        <v>38</v>
      </c>
      <c r="J24" s="100">
        <f>SUM(J18:J23)</f>
        <v>570000</v>
      </c>
      <c r="K24" s="98"/>
    </row>
    <row r="25" spans="1:13" x14ac:dyDescent="0.25">
      <c r="A25" s="70"/>
      <c r="B25" s="88" t="s">
        <v>135</v>
      </c>
      <c r="C25" s="99"/>
      <c r="D25" s="100"/>
      <c r="E25" s="99">
        <v>510000</v>
      </c>
      <c r="F25" s="88"/>
      <c r="G25" s="97"/>
      <c r="H25" s="96"/>
      <c r="I25" s="96"/>
      <c r="J25" s="96"/>
      <c r="K25" s="98"/>
    </row>
    <row r="26" spans="1:13" ht="15.75" thickBot="1" x14ac:dyDescent="0.3">
      <c r="A26" s="70"/>
      <c r="B26" s="26" t="s">
        <v>115</v>
      </c>
      <c r="C26" s="26"/>
      <c r="D26" s="82"/>
      <c r="E26" s="44">
        <f>SUBTOTAL(109,E18:E25)</f>
        <v>6077600</v>
      </c>
      <c r="F26" s="88"/>
      <c r="G26" s="97"/>
      <c r="H26" s="96"/>
      <c r="I26" s="96"/>
      <c r="J26" s="96"/>
      <c r="K26" s="98"/>
    </row>
    <row r="27" spans="1:13" x14ac:dyDescent="0.25">
      <c r="A27" s="70"/>
      <c r="B27" s="88"/>
      <c r="C27" s="15" t="s">
        <v>131</v>
      </c>
      <c r="D27" s="106">
        <v>6777000</v>
      </c>
      <c r="E27" s="107"/>
      <c r="F27" s="88" t="s">
        <v>132</v>
      </c>
      <c r="G27" s="97"/>
      <c r="H27" s="96"/>
      <c r="I27" s="96"/>
      <c r="J27" s="96"/>
      <c r="K27" s="98"/>
    </row>
    <row r="28" spans="1:13" x14ac:dyDescent="0.25">
      <c r="A28" s="70"/>
      <c r="B28" s="108" t="s">
        <v>130</v>
      </c>
      <c r="C28" s="99"/>
      <c r="D28" s="100"/>
      <c r="E28" s="109">
        <f>D27-E26</f>
        <v>699400</v>
      </c>
      <c r="F28" s="88" t="s">
        <v>132</v>
      </c>
      <c r="G28" s="97"/>
      <c r="H28" s="96"/>
      <c r="I28" s="96"/>
      <c r="J28" s="96"/>
      <c r="K28" s="98"/>
    </row>
    <row r="29" spans="1:13" x14ac:dyDescent="0.25">
      <c r="A29" s="92"/>
      <c r="B29" s="93"/>
      <c r="C29" s="94"/>
      <c r="D29" s="94"/>
      <c r="E29" s="94"/>
      <c r="F29" s="93"/>
      <c r="G29" s="93"/>
      <c r="H29" s="93"/>
      <c r="I29" s="93"/>
      <c r="J29" s="93"/>
      <c r="K29" s="95"/>
    </row>
    <row r="31" spans="1:13" x14ac:dyDescent="0.25">
      <c r="A31" s="69"/>
      <c r="B31" s="89"/>
      <c r="C31" s="90"/>
      <c r="D31" s="90"/>
      <c r="E31" s="90"/>
      <c r="F31" s="89"/>
      <c r="G31" s="91"/>
    </row>
    <row r="32" spans="1:13" x14ac:dyDescent="0.25">
      <c r="A32" s="70"/>
      <c r="B32" s="114" t="s">
        <v>244</v>
      </c>
      <c r="C32" s="115"/>
      <c r="D32" s="96"/>
      <c r="E32" s="116" t="s">
        <v>268</v>
      </c>
      <c r="F32" s="118"/>
      <c r="G32" s="98"/>
      <c r="I32" s="111"/>
      <c r="J32" s="112"/>
      <c r="K32" s="89"/>
      <c r="L32" s="89"/>
      <c r="M32" s="91"/>
    </row>
    <row r="33" spans="1:13" x14ac:dyDescent="0.25">
      <c r="A33" s="70"/>
      <c r="B33" s="15" t="s">
        <v>126</v>
      </c>
      <c r="C33" s="15" t="s">
        <v>115</v>
      </c>
      <c r="D33" s="96"/>
      <c r="E33" s="45" t="s">
        <v>261</v>
      </c>
      <c r="F33" s="59">
        <v>3</v>
      </c>
      <c r="G33" s="98"/>
      <c r="I33" s="88"/>
      <c r="J33" s="70"/>
      <c r="K33" s="113" t="s">
        <v>271</v>
      </c>
      <c r="L33" s="113"/>
      <c r="M33" s="98"/>
    </row>
    <row r="34" spans="1:13" x14ac:dyDescent="0.25">
      <c r="A34" s="70"/>
      <c r="B34" s="69" t="s">
        <v>245</v>
      </c>
      <c r="C34" s="74">
        <v>3900000</v>
      </c>
      <c r="D34" s="96"/>
      <c r="E34" s="45" t="s">
        <v>260</v>
      </c>
      <c r="F34" s="59">
        <v>16</v>
      </c>
      <c r="G34" s="98"/>
      <c r="J34" s="70"/>
      <c r="K34" s="59" t="s">
        <v>116</v>
      </c>
      <c r="L34" s="59">
        <v>650000</v>
      </c>
      <c r="M34" s="98"/>
    </row>
    <row r="35" spans="1:13" x14ac:dyDescent="0.25">
      <c r="A35" s="70"/>
      <c r="B35" s="70" t="s">
        <v>246</v>
      </c>
      <c r="C35" s="75">
        <v>3651000</v>
      </c>
      <c r="D35" s="96"/>
      <c r="E35" s="45" t="s">
        <v>258</v>
      </c>
      <c r="F35" s="59">
        <v>26</v>
      </c>
      <c r="G35" s="98"/>
      <c r="J35" s="70"/>
      <c r="K35" s="59" t="s">
        <v>269</v>
      </c>
      <c r="L35" s="59">
        <v>1492000</v>
      </c>
      <c r="M35" s="98"/>
    </row>
    <row r="36" spans="1:13" x14ac:dyDescent="0.25">
      <c r="A36" s="70"/>
      <c r="B36" s="70" t="s">
        <v>117</v>
      </c>
      <c r="C36" s="75">
        <v>105000</v>
      </c>
      <c r="D36" s="96"/>
      <c r="E36" s="45" t="s">
        <v>266</v>
      </c>
      <c r="F36" s="59">
        <v>43</v>
      </c>
      <c r="G36" s="98"/>
      <c r="J36" s="70"/>
      <c r="K36" s="59" t="s">
        <v>270</v>
      </c>
      <c r="L36" s="59">
        <v>23000</v>
      </c>
      <c r="M36" s="98"/>
    </row>
    <row r="37" spans="1:13" x14ac:dyDescent="0.25">
      <c r="A37" s="70"/>
      <c r="B37" s="71" t="s">
        <v>247</v>
      </c>
      <c r="C37" s="76">
        <v>480000</v>
      </c>
      <c r="D37" s="96"/>
      <c r="E37" s="45" t="s">
        <v>267</v>
      </c>
      <c r="F37" s="59">
        <v>3</v>
      </c>
      <c r="G37" s="98"/>
      <c r="J37" s="70"/>
      <c r="K37" s="59" t="s">
        <v>115</v>
      </c>
      <c r="L37" s="59">
        <v>2165000</v>
      </c>
      <c r="M37" s="98"/>
    </row>
    <row r="38" spans="1:13" x14ac:dyDescent="0.25">
      <c r="A38" s="70"/>
      <c r="B38" s="70" t="s">
        <v>248</v>
      </c>
      <c r="C38" s="75">
        <v>50000</v>
      </c>
      <c r="D38" s="96"/>
      <c r="E38" s="45" t="s">
        <v>115</v>
      </c>
      <c r="F38" s="59">
        <v>91</v>
      </c>
      <c r="G38" s="98"/>
      <c r="J38" s="70"/>
      <c r="K38" s="59" t="s">
        <v>251</v>
      </c>
      <c r="L38" s="59">
        <v>2240000</v>
      </c>
      <c r="M38" s="98"/>
    </row>
    <row r="39" spans="1:13" x14ac:dyDescent="0.25">
      <c r="A39" s="70"/>
      <c r="B39" s="70" t="s">
        <v>249</v>
      </c>
      <c r="C39" s="75">
        <v>192900</v>
      </c>
      <c r="D39" s="96"/>
      <c r="E39" s="96"/>
      <c r="F39" s="97"/>
      <c r="G39" s="98"/>
      <c r="J39" s="70"/>
      <c r="K39" s="59" t="s">
        <v>130</v>
      </c>
      <c r="L39" s="110">
        <v>75000</v>
      </c>
      <c r="M39" s="98"/>
    </row>
    <row r="40" spans="1:13" ht="15.75" thickBot="1" x14ac:dyDescent="0.3">
      <c r="A40" s="70"/>
      <c r="B40" s="72" t="s">
        <v>250</v>
      </c>
      <c r="C40" s="77">
        <v>150000</v>
      </c>
      <c r="D40" s="96"/>
      <c r="E40" s="96"/>
      <c r="F40" s="97"/>
      <c r="G40" s="98"/>
      <c r="J40" s="92"/>
      <c r="K40" s="93"/>
      <c r="L40" s="93"/>
      <c r="M40" s="95"/>
    </row>
    <row r="41" spans="1:13" ht="15.75" thickBot="1" x14ac:dyDescent="0.3">
      <c r="A41" s="70"/>
      <c r="B41" s="73" t="s">
        <v>115</v>
      </c>
      <c r="C41" s="78">
        <f>SUM(C34:C40)</f>
        <v>8528900</v>
      </c>
      <c r="D41" s="96"/>
      <c r="E41" s="96"/>
      <c r="F41" s="97"/>
      <c r="G41" s="98"/>
    </row>
    <row r="42" spans="1:13" x14ac:dyDescent="0.25">
      <c r="A42" s="70"/>
      <c r="B42" s="70" t="s">
        <v>251</v>
      </c>
      <c r="C42" s="75">
        <v>10082500</v>
      </c>
      <c r="D42" s="96"/>
      <c r="E42" s="96"/>
      <c r="F42" s="97"/>
      <c r="G42" s="98"/>
    </row>
    <row r="43" spans="1:13" ht="15.75" thickBot="1" x14ac:dyDescent="0.3">
      <c r="A43" s="70"/>
      <c r="B43" s="72" t="s">
        <v>252</v>
      </c>
      <c r="C43" s="77">
        <v>50000</v>
      </c>
      <c r="D43" s="96"/>
      <c r="E43" s="96"/>
      <c r="F43" s="97"/>
      <c r="G43" s="98"/>
    </row>
    <row r="44" spans="1:13" ht="15.75" thickBot="1" x14ac:dyDescent="0.3">
      <c r="A44" s="70"/>
      <c r="B44" s="73" t="s">
        <v>253</v>
      </c>
      <c r="C44" s="79">
        <f>C42+C43</f>
        <v>10132500</v>
      </c>
      <c r="D44" s="96"/>
      <c r="E44" s="96"/>
      <c r="F44" s="97"/>
      <c r="G44" s="98"/>
    </row>
    <row r="45" spans="1:13" x14ac:dyDescent="0.25">
      <c r="A45" s="70"/>
      <c r="B45" s="80" t="s">
        <v>130</v>
      </c>
      <c r="C45" s="81">
        <f>C44-C41</f>
        <v>1603600</v>
      </c>
      <c r="D45" s="15"/>
      <c r="E45" s="96"/>
      <c r="F45" s="97"/>
      <c r="G45" s="98"/>
    </row>
    <row r="46" spans="1:13" x14ac:dyDescent="0.25">
      <c r="A46" s="92"/>
      <c r="B46" s="93"/>
      <c r="C46" s="94"/>
      <c r="D46" s="94"/>
      <c r="E46" s="94"/>
      <c r="F46" s="93"/>
      <c r="G46" s="95"/>
    </row>
  </sheetData>
  <mergeCells count="6">
    <mergeCell ref="B1:F1"/>
    <mergeCell ref="K33:L33"/>
    <mergeCell ref="B32:C32"/>
    <mergeCell ref="B16:F16"/>
    <mergeCell ref="H16:J16"/>
    <mergeCell ref="E32:F3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SALIDAS</vt:lpstr>
      <vt:lpstr>CONTABILIDAD</vt:lpstr>
      <vt:lpstr>Nombre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 STEFANI  CRUZ MORENO</cp:lastModifiedBy>
  <dcterms:created xsi:type="dcterms:W3CDTF">2023-09-30T14:17:01Z</dcterms:created>
  <dcterms:modified xsi:type="dcterms:W3CDTF">2023-12-26T17:23:54Z</dcterms:modified>
</cp:coreProperties>
</file>