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AILARINAS\"/>
    </mc:Choice>
  </mc:AlternateContent>
  <xr:revisionPtr revIDLastSave="0" documentId="13_ncr:1_{F774A1BC-2188-45AD-A831-9B99974D18E3}" xr6:coauthVersionLast="47" xr6:coauthVersionMax="47" xr10:uidLastSave="{00000000-0000-0000-0000-000000000000}"/>
  <bookViews>
    <workbookView xWindow="-120" yWindow="-120" windowWidth="20730" windowHeight="11040" xr2:uid="{2FF322FC-C5C3-4E76-BD43-FF7FED43604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O14" i="1"/>
  <c r="O15" i="1"/>
  <c r="O16" i="1"/>
  <c r="O17" i="1"/>
  <c r="O12" i="1"/>
  <c r="I38" i="1"/>
  <c r="N6" i="1" s="1"/>
  <c r="N7" i="1" s="1"/>
  <c r="O18" i="1"/>
  <c r="N18" i="1"/>
  <c r="H38" i="1"/>
  <c r="I2" i="1"/>
  <c r="I3" i="1"/>
  <c r="I4" i="1"/>
  <c r="I5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0" i="1"/>
  <c r="I32" i="1"/>
  <c r="I33" i="1"/>
  <c r="I35" i="1"/>
  <c r="I36" i="1"/>
  <c r="I37" i="1"/>
  <c r="N5" i="1"/>
</calcChain>
</file>

<file path=xl/sharedStrings.xml><?xml version="1.0" encoding="utf-8"?>
<sst xmlns="http://schemas.openxmlformats.org/spreadsheetml/2006/main" count="222" uniqueCount="83">
  <si>
    <t>N°</t>
  </si>
  <si>
    <t>NOMBRE</t>
  </si>
  <si>
    <t>TIPO DE DOCUMENTO</t>
  </si>
  <si>
    <t>N° DE DOCUMENTO</t>
  </si>
  <si>
    <t>FECHA DE NACIMIENTO</t>
  </si>
  <si>
    <t>TELÉFONO</t>
  </si>
  <si>
    <t>COMISIONISTA</t>
  </si>
  <si>
    <t>ANA MOLINA DIAZ</t>
  </si>
  <si>
    <t xml:space="preserve">ISRAEL HUERTAS HERNANDEZ </t>
  </si>
  <si>
    <t>C.C</t>
  </si>
  <si>
    <t>ALEJA</t>
  </si>
  <si>
    <t>CARLOS ALBERTO PEREZ CASTRO</t>
  </si>
  <si>
    <t xml:space="preserve">AMPARO OBANDO GARCIA </t>
  </si>
  <si>
    <t>TETE</t>
  </si>
  <si>
    <t xml:space="preserve">LUIS ALBERTO DUARTE </t>
  </si>
  <si>
    <t>GLORIA</t>
  </si>
  <si>
    <t>Lina Alejandra Serrano Ortiz</t>
  </si>
  <si>
    <t>Brayan Elías Manrique Bernal</t>
  </si>
  <si>
    <t xml:space="preserve">Alisson Romero Torres </t>
  </si>
  <si>
    <t>T.I</t>
  </si>
  <si>
    <t>Marliz Moreno Bernal</t>
  </si>
  <si>
    <t>Luisa Fernanda Moreno Bernal</t>
  </si>
  <si>
    <t>Yury Fenella Poveda Torres</t>
  </si>
  <si>
    <t>Marie Anne López Poveda</t>
  </si>
  <si>
    <t>Jimmy Bernal Casallas</t>
  </si>
  <si>
    <t>Javier Garcia</t>
  </si>
  <si>
    <t>Jessica Garzón</t>
  </si>
  <si>
    <t>Matilde serrano de Abbate</t>
  </si>
  <si>
    <t>Gloria Inés Abbate Serrano</t>
  </si>
  <si>
    <t>María Fernanda Benavides</t>
  </si>
  <si>
    <t>Gabriel Cabrera</t>
  </si>
  <si>
    <t>Valery Natalia Duarte</t>
  </si>
  <si>
    <t>LAD</t>
  </si>
  <si>
    <t>Lina Maria Perez Obando</t>
  </si>
  <si>
    <t>Lian Santiago Perez Obando</t>
  </si>
  <si>
    <t>R.C</t>
  </si>
  <si>
    <t xml:space="preserve">Luz Marina Pachon </t>
  </si>
  <si>
    <t xml:space="preserve">Gabriela Pastrana </t>
  </si>
  <si>
    <t>Hanna Castellanos</t>
  </si>
  <si>
    <t>JULIA SANCHEZ MONTAÑO</t>
  </si>
  <si>
    <t>PABLO EMILIO ABATTE</t>
  </si>
  <si>
    <t>310 699 1115</t>
  </si>
  <si>
    <t>310 864 1232</t>
  </si>
  <si>
    <t>Yeimy Marcela Bernal Moreno</t>
  </si>
  <si>
    <t>MAFE</t>
  </si>
  <si>
    <t>EDITH</t>
  </si>
  <si>
    <t>Yohana Patricia Torres Mancipe</t>
  </si>
  <si>
    <t xml:space="preserve">Isaías Cortes </t>
  </si>
  <si>
    <t>Lucy Torres Sanchez</t>
  </si>
  <si>
    <t>Paula Lorena Reyes Garcia</t>
  </si>
  <si>
    <t>Yadira Alejandra Garzon Sanchez</t>
  </si>
  <si>
    <t>Columna1</t>
  </si>
  <si>
    <t>4 AÑOS</t>
  </si>
  <si>
    <t>11 AÑOS</t>
  </si>
  <si>
    <t>3 AÑOS</t>
  </si>
  <si>
    <t>Paga ingreso sin almuerzo</t>
  </si>
  <si>
    <t>Pasadia con almuerzo</t>
  </si>
  <si>
    <t>Pasadia sin almuerzo</t>
  </si>
  <si>
    <t xml:space="preserve">Monica alejandra romero garcia </t>
  </si>
  <si>
    <t>Jacson Ferney Guerrero Serrano</t>
  </si>
  <si>
    <t>312 5154542</t>
  </si>
  <si>
    <t>17 AÑOS</t>
  </si>
  <si>
    <t>6 AÑOS</t>
  </si>
  <si>
    <t>Silvia gonzalez moreno</t>
  </si>
  <si>
    <t>Ana Molina Diaz</t>
  </si>
  <si>
    <t>Israel Huertas Hernandez</t>
  </si>
  <si>
    <t>Julia Sanchez Montaño</t>
  </si>
  <si>
    <t>Carlos Alberto Perez Castro</t>
  </si>
  <si>
    <t xml:space="preserve">Amparo Obando Garcia </t>
  </si>
  <si>
    <t>Pablo Emilio Abatte</t>
  </si>
  <si>
    <t>Luis Alberto Duarte</t>
  </si>
  <si>
    <t>TRANSPORTE</t>
  </si>
  <si>
    <t>SEGURO DE VIAJE</t>
  </si>
  <si>
    <t>INGRESO AL PARQUE+ALMUERZO</t>
  </si>
  <si>
    <t xml:space="preserve">COSTOS Y GASTOS </t>
  </si>
  <si>
    <t>Columna2</t>
  </si>
  <si>
    <t>PRECIO</t>
  </si>
  <si>
    <t>TOTAL</t>
  </si>
  <si>
    <t>INGRESO</t>
  </si>
  <si>
    <t>UTILIDAD</t>
  </si>
  <si>
    <t>COMISIONISTAS</t>
  </si>
  <si>
    <t>PAX</t>
  </si>
  <si>
    <t>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</si>
</sst>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rgb="FF0070C0"/>
      </bottom>
      <diagonal/>
    </border>
    <border>
      <left/>
      <right/>
      <top style="thin">
        <color theme="4" tint="0.39997558519241921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theme="4" tint="0.39997558519241921"/>
      </top>
      <bottom style="thin">
        <color rgb="FF0070C0"/>
      </bottom>
      <diagonal/>
    </border>
    <border>
      <left/>
      <right style="thin">
        <color rgb="FF0070C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70C0"/>
      </right>
      <top style="thin">
        <color theme="4" tint="0.39997558519241921"/>
      </top>
      <bottom/>
      <diagonal/>
    </border>
    <border>
      <left/>
      <right style="thin">
        <color rgb="FF0070C0"/>
      </right>
      <top/>
      <bottom style="thin">
        <color theme="4" tint="0.39997558519241921"/>
      </bottom>
      <diagonal/>
    </border>
    <border>
      <left style="thin">
        <color rgb="FF0070C0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/>
      <right/>
      <top style="thin">
        <color rgb="FF0070C0"/>
      </top>
      <bottom style="thin">
        <color theme="4" tint="0.39997558519241921"/>
      </bottom>
      <diagonal/>
    </border>
    <border>
      <left/>
      <right style="thin">
        <color rgb="FF0070C0"/>
      </right>
      <top style="thin">
        <color rgb="FF0070C0"/>
      </top>
      <bottom style="thin">
        <color theme="4" tint="0.39997558519241921"/>
      </bottom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4" fontId="0" fillId="0" borderId="0" xfId="1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3" fontId="0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1" fillId="0" borderId="0" xfId="0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1" fillId="5" borderId="5" xfId="0" applyFont="1" applyFill="1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center"/>
    </xf>
    <xf numFmtId="3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Font="1" applyFill="1" applyBorder="1"/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44" fontId="1" fillId="2" borderId="2" xfId="1" applyFont="1" applyFill="1" applyBorder="1" applyAlignment="1">
      <alignment horizontal="center" vertical="center"/>
    </xf>
    <xf numFmtId="44" fontId="0" fillId="0" borderId="0" xfId="1" applyFont="1"/>
    <xf numFmtId="44" fontId="0" fillId="0" borderId="0" xfId="1" applyNumberFormat="1" applyFont="1" applyAlignment="1">
      <alignment horizontal="center"/>
    </xf>
    <xf numFmtId="0" fontId="0" fillId="0" borderId="24" xfId="0" applyBorder="1"/>
    <xf numFmtId="44" fontId="0" fillId="0" borderId="24" xfId="1" applyFont="1" applyBorder="1"/>
    <xf numFmtId="44" fontId="0" fillId="0" borderId="24" xfId="0" applyNumberFormat="1" applyBorder="1"/>
    <xf numFmtId="0" fontId="0" fillId="0" borderId="24" xfId="0" applyBorder="1" applyAlignment="1">
      <alignment horizontal="center"/>
    </xf>
    <xf numFmtId="44" fontId="0" fillId="0" borderId="24" xfId="1" applyFont="1" applyBorder="1" applyAlignment="1">
      <alignment horizontal="center"/>
    </xf>
    <xf numFmtId="0" fontId="0" fillId="0" borderId="24" xfId="1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44" fontId="0" fillId="0" borderId="25" xfId="1" applyFont="1" applyBorder="1" applyAlignment="1">
      <alignment horizontal="center"/>
    </xf>
    <xf numFmtId="0" fontId="0" fillId="0" borderId="27" xfId="0" applyBorder="1"/>
    <xf numFmtId="44" fontId="0" fillId="6" borderId="27" xfId="1" applyFont="1" applyFill="1" applyBorder="1" applyAlignment="1">
      <alignment horizontal="center"/>
    </xf>
    <xf numFmtId="44" fontId="2" fillId="4" borderId="27" xfId="1" applyFont="1" applyFill="1" applyBorder="1" applyAlignment="1">
      <alignment horizontal="center"/>
    </xf>
    <xf numFmtId="44" fontId="0" fillId="7" borderId="26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3EF3A-E9B4-499F-B250-F3A2962D4271}" name="Tabla1" displayName="Tabla1" ref="B1:K38" totalsRowCount="1" headerRowDxfId="17" dataDxfId="15" headerRowBorderDxfId="16" tableBorderDxfId="14">
  <autoFilter ref="B1:K37" xr:uid="{B6D3EF3A-E9B4-499F-B250-F3A2962D4271}"/>
  <tableColumns count="10">
    <tableColumn id="1" xr3:uid="{76588DA4-A4A5-46AF-9154-F5B19CB8A8DD}" name="N°"/>
    <tableColumn id="2" xr3:uid="{E5E32883-A3F1-4540-A9F1-08340DE8BE7C}" name="NOMBRE"/>
    <tableColumn id="3" xr3:uid="{BDBA6496-18E6-4329-92C7-4A6597030A07}" name="TIPO DE DOCUMENTO" totalsRowDxfId="7"/>
    <tableColumn id="4" xr3:uid="{169EC22D-AC6D-4A03-8C2F-46A2EC96088E}" name="N° DE DOCUMENTO" totalsRowDxfId="6"/>
    <tableColumn id="5" xr3:uid="{789A222C-F9E1-4C4F-8F43-3365D662ABD5}" name="FECHA DE NACIMIENTO" dataDxfId="13" totalsRowDxfId="5"/>
    <tableColumn id="6" xr3:uid="{DB35DF54-5272-4024-B903-3D93A5CEF098}" name="TELÉFONO" dataDxfId="12" totalsRowDxfId="4"/>
    <tableColumn id="10" xr3:uid="{5568D617-73C7-406D-9FC4-DD605F7D68AE}" name="PRECIO" totalsRowFunction="sum" dataDxfId="9" totalsRowDxfId="3" dataCellStyle="Moneda" totalsRowCellStyle="Moneda"/>
    <tableColumn id="11" xr3:uid="{937E1763-C94F-42FD-B415-A80B1D72096A}" name="Columna2" totalsRowFunction="sum" dataDxfId="8" totalsRowDxfId="2" dataCellStyle="Moneda" totalsRowCellStyle="Moneda">
      <calculatedColumnFormula>Tabla1[[#This Row],[PRECIO]]-15000</calculatedColumnFormula>
    </tableColumn>
    <tableColumn id="7" xr3:uid="{079564FE-6CEE-4E8B-9E36-3FE895FC73D4}" name="COMISIONISTA" dataDxfId="11" totalsRowDxfId="1"/>
    <tableColumn id="8" xr3:uid="{4692D591-E82C-45A0-98A1-FFA0D3E6D1F0}" name="Columna1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D493-532A-44A5-B319-B5E0E8444243}">
  <dimension ref="B1:P38"/>
  <sheetViews>
    <sheetView tabSelected="1" topLeftCell="B1" zoomScale="59" workbookViewId="0">
      <selection activeCell="P21" sqref="P21"/>
    </sheetView>
  </sheetViews>
  <sheetFormatPr baseColWidth="10" defaultRowHeight="15" x14ac:dyDescent="0.25"/>
  <cols>
    <col min="2" max="2" width="5.28515625" customWidth="1"/>
    <col min="3" max="3" width="29.7109375" bestFit="1" customWidth="1"/>
    <col min="4" max="4" width="22.42578125" style="1" customWidth="1"/>
    <col min="5" max="5" width="20.42578125" style="1" customWidth="1"/>
    <col min="6" max="6" width="23.7109375" style="1" customWidth="1"/>
    <col min="7" max="7" width="12.28515625" style="1" customWidth="1"/>
    <col min="8" max="8" width="22" style="13" bestFit="1" customWidth="1"/>
    <col min="9" max="9" width="24.140625" style="13" bestFit="1" customWidth="1"/>
    <col min="10" max="10" width="16.42578125" style="1" customWidth="1"/>
    <col min="11" max="11" width="12" bestFit="1" customWidth="1"/>
    <col min="13" max="13" width="30.28515625" bestFit="1" customWidth="1"/>
    <col min="14" max="14" width="17.28515625" style="13" bestFit="1" customWidth="1"/>
    <col min="15" max="15" width="15.5703125" bestFit="1" customWidth="1"/>
    <col min="16" max="16" width="14.5703125" bestFit="1" customWidth="1"/>
  </cols>
  <sheetData>
    <row r="1" spans="2:16" x14ac:dyDescent="0.25">
      <c r="B1" s="7" t="s">
        <v>0</v>
      </c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60" t="s">
        <v>76</v>
      </c>
      <c r="I1" s="60" t="s">
        <v>75</v>
      </c>
      <c r="J1" s="9" t="s">
        <v>6</v>
      </c>
      <c r="K1" s="8" t="s">
        <v>51</v>
      </c>
      <c r="M1" s="69" t="s">
        <v>74</v>
      </c>
      <c r="N1" s="69"/>
    </row>
    <row r="2" spans="2:16" x14ac:dyDescent="0.25">
      <c r="B2">
        <v>1</v>
      </c>
      <c r="C2" t="s">
        <v>64</v>
      </c>
      <c r="D2" s="1" t="s">
        <v>9</v>
      </c>
      <c r="E2" s="2">
        <v>20871495</v>
      </c>
      <c r="G2" s="1">
        <v>3224096434</v>
      </c>
      <c r="H2" s="13">
        <v>185000</v>
      </c>
      <c r="I2" s="13">
        <f>Tabla1[[#This Row],[PRECIO]]-15000</f>
        <v>170000</v>
      </c>
      <c r="J2" s="1" t="s">
        <v>10</v>
      </c>
      <c r="K2" s="1"/>
      <c r="M2" s="63" t="s">
        <v>71</v>
      </c>
      <c r="N2" s="67">
        <v>1900000</v>
      </c>
    </row>
    <row r="3" spans="2:16" x14ac:dyDescent="0.25">
      <c r="B3">
        <v>2</v>
      </c>
      <c r="C3" t="s">
        <v>65</v>
      </c>
      <c r="D3" s="1" t="s">
        <v>9</v>
      </c>
      <c r="E3" s="2">
        <v>19328421</v>
      </c>
      <c r="G3" s="1">
        <v>3102431582</v>
      </c>
      <c r="H3" s="13">
        <v>185000</v>
      </c>
      <c r="I3" s="13">
        <f>Tabla1[[#This Row],[PRECIO]]-15000</f>
        <v>170000</v>
      </c>
      <c r="J3" s="1" t="s">
        <v>10</v>
      </c>
      <c r="K3" s="1"/>
      <c r="M3" s="63" t="s">
        <v>72</v>
      </c>
      <c r="N3" s="67">
        <v>72000</v>
      </c>
    </row>
    <row r="4" spans="2:16" ht="15.75" thickBot="1" x14ac:dyDescent="0.3">
      <c r="B4">
        <v>3</v>
      </c>
      <c r="C4" t="s">
        <v>66</v>
      </c>
      <c r="D4" s="1" t="s">
        <v>9</v>
      </c>
      <c r="E4" s="2">
        <v>21054827</v>
      </c>
      <c r="G4" s="1" t="s">
        <v>41</v>
      </c>
      <c r="H4" s="13">
        <v>185000</v>
      </c>
      <c r="I4" s="13">
        <f>Tabla1[[#This Row],[PRECIO]]-15000</f>
        <v>170000</v>
      </c>
      <c r="J4" s="1" t="s">
        <v>10</v>
      </c>
      <c r="K4" s="1"/>
      <c r="M4" s="71" t="s">
        <v>73</v>
      </c>
      <c r="N4" s="72">
        <v>2782000</v>
      </c>
    </row>
    <row r="5" spans="2:16" ht="15.75" thickBot="1" x14ac:dyDescent="0.3">
      <c r="B5">
        <v>4</v>
      </c>
      <c r="C5" t="s">
        <v>67</v>
      </c>
      <c r="D5" s="1" t="s">
        <v>9</v>
      </c>
      <c r="E5" s="2">
        <v>94280479</v>
      </c>
      <c r="H5" s="13">
        <v>185000</v>
      </c>
      <c r="I5" s="13">
        <f>Tabla1[[#This Row],[PRECIO]]-15000</f>
        <v>170000</v>
      </c>
      <c r="J5" s="1" t="s">
        <v>13</v>
      </c>
      <c r="K5" s="1"/>
      <c r="M5" s="73" t="s">
        <v>77</v>
      </c>
      <c r="N5" s="74">
        <f>SUM(N2:N4)</f>
        <v>4754000</v>
      </c>
    </row>
    <row r="6" spans="2:16" ht="15.75" thickBot="1" x14ac:dyDescent="0.3">
      <c r="B6">
        <v>5</v>
      </c>
      <c r="C6" t="s">
        <v>68</v>
      </c>
      <c r="D6" s="1" t="s">
        <v>9</v>
      </c>
      <c r="E6" s="2">
        <v>66964096</v>
      </c>
      <c r="H6" s="13">
        <v>185000</v>
      </c>
      <c r="I6" s="13">
        <f>Tabla1[[#This Row],[PRECIO]]-15000</f>
        <v>170000</v>
      </c>
      <c r="J6" s="1" t="s">
        <v>13</v>
      </c>
      <c r="K6" s="1"/>
      <c r="M6" s="73" t="s">
        <v>78</v>
      </c>
      <c r="N6" s="75">
        <f>Tabla1[[#Totals],[Columna2]]</f>
        <v>5215000</v>
      </c>
    </row>
    <row r="7" spans="2:16" x14ac:dyDescent="0.25">
      <c r="B7">
        <v>6</v>
      </c>
      <c r="C7" t="s">
        <v>69</v>
      </c>
      <c r="D7" s="1" t="s">
        <v>9</v>
      </c>
      <c r="E7" s="1">
        <v>2950611</v>
      </c>
      <c r="H7" s="13">
        <v>185000</v>
      </c>
      <c r="I7" s="13">
        <f>Tabla1[[#This Row],[PRECIO]]-15000</f>
        <v>170000</v>
      </c>
      <c r="J7" s="1" t="s">
        <v>15</v>
      </c>
      <c r="K7" s="1"/>
      <c r="M7" s="70" t="s">
        <v>79</v>
      </c>
      <c r="N7" s="76">
        <f>N6-N5</f>
        <v>461000</v>
      </c>
      <c r="P7" s="61"/>
    </row>
    <row r="8" spans="2:16" x14ac:dyDescent="0.25">
      <c r="B8">
        <v>7</v>
      </c>
      <c r="C8" t="s">
        <v>27</v>
      </c>
      <c r="D8" s="1" t="s">
        <v>9</v>
      </c>
      <c r="E8" s="1">
        <v>20357224</v>
      </c>
      <c r="H8" s="13">
        <v>185000</v>
      </c>
      <c r="I8" s="13">
        <f>Tabla1[[#This Row],[PRECIO]]-15000</f>
        <v>170000</v>
      </c>
      <c r="J8" s="1" t="s">
        <v>15</v>
      </c>
      <c r="K8" s="1"/>
    </row>
    <row r="9" spans="2:16" x14ac:dyDescent="0.25">
      <c r="B9">
        <v>8</v>
      </c>
      <c r="C9" t="s">
        <v>28</v>
      </c>
      <c r="D9" s="1" t="s">
        <v>9</v>
      </c>
      <c r="E9" s="1">
        <v>20357644</v>
      </c>
      <c r="H9" s="13">
        <v>185000</v>
      </c>
      <c r="I9" s="13">
        <f>Tabla1[[#This Row],[PRECIO]]-15000</f>
        <v>170000</v>
      </c>
      <c r="J9" s="1" t="s">
        <v>15</v>
      </c>
      <c r="K9" s="1"/>
    </row>
    <row r="10" spans="2:16" x14ac:dyDescent="0.25">
      <c r="B10">
        <v>9</v>
      </c>
      <c r="C10" t="s">
        <v>70</v>
      </c>
      <c r="D10" s="4" t="s">
        <v>9</v>
      </c>
      <c r="E10" s="4">
        <v>79538678</v>
      </c>
      <c r="H10" s="13">
        <v>0</v>
      </c>
      <c r="I10" s="13">
        <v>0</v>
      </c>
      <c r="J10" s="12"/>
      <c r="K10" s="1"/>
    </row>
    <row r="11" spans="2:16" x14ac:dyDescent="0.25">
      <c r="B11">
        <v>10</v>
      </c>
      <c r="C11" t="s">
        <v>16</v>
      </c>
      <c r="D11" s="1" t="s">
        <v>9</v>
      </c>
      <c r="E11" s="1">
        <v>1007953323</v>
      </c>
      <c r="G11" s="1">
        <v>3222226940</v>
      </c>
      <c r="H11" s="13">
        <v>185000</v>
      </c>
      <c r="I11" s="13">
        <f>Tabla1[[#This Row],[PRECIO]]-15000</f>
        <v>170000</v>
      </c>
      <c r="J11" s="1" t="s">
        <v>10</v>
      </c>
      <c r="K11" s="1"/>
      <c r="M11" s="66" t="s">
        <v>80</v>
      </c>
      <c r="N11" s="67" t="s">
        <v>81</v>
      </c>
      <c r="O11" s="66" t="s">
        <v>82</v>
      </c>
    </row>
    <row r="12" spans="2:16" x14ac:dyDescent="0.25">
      <c r="B12">
        <v>11</v>
      </c>
      <c r="C12" t="s">
        <v>17</v>
      </c>
      <c r="D12" s="1" t="s">
        <v>9</v>
      </c>
      <c r="E12" s="1">
        <v>1003706390</v>
      </c>
      <c r="G12" s="1" t="s">
        <v>42</v>
      </c>
      <c r="H12" s="13">
        <v>185000</v>
      </c>
      <c r="I12" s="13">
        <f>Tabla1[[#This Row],[PRECIO]]-15000</f>
        <v>170000</v>
      </c>
      <c r="J12" s="1" t="s">
        <v>10</v>
      </c>
      <c r="K12" s="1"/>
      <c r="M12" s="63" t="s">
        <v>10</v>
      </c>
      <c r="N12" s="68">
        <v>5</v>
      </c>
      <c r="O12" s="64">
        <f>N12*15000</f>
        <v>75000</v>
      </c>
    </row>
    <row r="13" spans="2:16" x14ac:dyDescent="0.25">
      <c r="B13">
        <v>12</v>
      </c>
      <c r="C13" t="s">
        <v>18</v>
      </c>
      <c r="D13" s="1" t="s">
        <v>19</v>
      </c>
      <c r="E13" s="1">
        <v>1195464151</v>
      </c>
      <c r="F13" s="3">
        <v>40968</v>
      </c>
      <c r="H13" s="13">
        <v>185000</v>
      </c>
      <c r="I13" s="13">
        <f>Tabla1[[#This Row],[PRECIO]]-15000</f>
        <v>170000</v>
      </c>
      <c r="J13" s="1" t="s">
        <v>32</v>
      </c>
      <c r="K13" s="1"/>
      <c r="M13" s="63" t="s">
        <v>13</v>
      </c>
      <c r="N13" s="68">
        <v>4</v>
      </c>
      <c r="O13" s="64">
        <f t="shared" ref="O13:O17" si="0">N13*15000</f>
        <v>60000</v>
      </c>
    </row>
    <row r="14" spans="2:16" x14ac:dyDescent="0.25">
      <c r="B14">
        <v>13</v>
      </c>
      <c r="C14" t="s">
        <v>46</v>
      </c>
      <c r="D14" s="1" t="s">
        <v>9</v>
      </c>
      <c r="E14" s="1">
        <v>1018404923</v>
      </c>
      <c r="F14" s="3">
        <v>31979</v>
      </c>
      <c r="G14" s="1">
        <v>3118945273</v>
      </c>
      <c r="H14" s="13">
        <v>185000</v>
      </c>
      <c r="I14" s="13">
        <f>Tabla1[[#This Row],[PRECIO]]-15000</f>
        <v>170000</v>
      </c>
      <c r="J14" s="1" t="s">
        <v>32</v>
      </c>
      <c r="K14" s="1"/>
      <c r="M14" s="63" t="s">
        <v>15</v>
      </c>
      <c r="N14" s="68">
        <v>3</v>
      </c>
      <c r="O14" s="64">
        <f t="shared" si="0"/>
        <v>45000</v>
      </c>
    </row>
    <row r="15" spans="2:16" x14ac:dyDescent="0.25">
      <c r="B15">
        <v>14</v>
      </c>
      <c r="C15" t="s">
        <v>43</v>
      </c>
      <c r="D15" s="1" t="s">
        <v>9</v>
      </c>
      <c r="E15" s="1">
        <v>1072960348</v>
      </c>
      <c r="F15" s="3">
        <v>38501</v>
      </c>
      <c r="G15" s="1">
        <v>3206786212</v>
      </c>
      <c r="H15" s="13">
        <v>185000</v>
      </c>
      <c r="I15" s="13">
        <f>Tabla1[[#This Row],[PRECIO]]-15000</f>
        <v>170000</v>
      </c>
      <c r="J15" s="1" t="s">
        <v>32</v>
      </c>
      <c r="K15" s="1"/>
      <c r="M15" s="63" t="s">
        <v>32</v>
      </c>
      <c r="N15" s="68">
        <v>11</v>
      </c>
      <c r="O15" s="64">
        <f t="shared" si="0"/>
        <v>165000</v>
      </c>
    </row>
    <row r="16" spans="2:16" x14ac:dyDescent="0.25">
      <c r="B16">
        <v>15</v>
      </c>
      <c r="C16" t="s">
        <v>20</v>
      </c>
      <c r="D16" s="1" t="s">
        <v>9</v>
      </c>
      <c r="E16" s="1">
        <v>20358731</v>
      </c>
      <c r="F16" s="3">
        <v>29595</v>
      </c>
      <c r="G16" s="1">
        <v>3206709956</v>
      </c>
      <c r="H16" s="13">
        <v>185000</v>
      </c>
      <c r="I16" s="13">
        <f>Tabla1[[#This Row],[PRECIO]]-15000</f>
        <v>170000</v>
      </c>
      <c r="J16" s="1" t="s">
        <v>32</v>
      </c>
      <c r="K16" s="1"/>
      <c r="M16" s="63" t="s">
        <v>44</v>
      </c>
      <c r="N16" s="68">
        <v>3</v>
      </c>
      <c r="O16" s="64">
        <f t="shared" si="0"/>
        <v>45000</v>
      </c>
    </row>
    <row r="17" spans="2:15" x14ac:dyDescent="0.25">
      <c r="B17">
        <v>16</v>
      </c>
      <c r="C17" t="s">
        <v>21</v>
      </c>
      <c r="D17" s="1" t="s">
        <v>9</v>
      </c>
      <c r="E17" s="1">
        <v>1072963396</v>
      </c>
      <c r="F17" s="3">
        <v>35890</v>
      </c>
      <c r="G17" s="1">
        <v>3232914597</v>
      </c>
      <c r="H17" s="13">
        <v>185000</v>
      </c>
      <c r="I17" s="13">
        <f>Tabla1[[#This Row],[PRECIO]]-15000</f>
        <v>170000</v>
      </c>
      <c r="J17" s="1" t="s">
        <v>32</v>
      </c>
      <c r="K17" s="1"/>
      <c r="M17" s="63" t="s">
        <v>45</v>
      </c>
      <c r="N17" s="68">
        <v>4</v>
      </c>
      <c r="O17" s="64">
        <f t="shared" si="0"/>
        <v>60000</v>
      </c>
    </row>
    <row r="18" spans="2:15" x14ac:dyDescent="0.25">
      <c r="B18">
        <v>17</v>
      </c>
      <c r="C18" t="s">
        <v>47</v>
      </c>
      <c r="D18" s="1" t="s">
        <v>9</v>
      </c>
      <c r="E18" s="1">
        <v>79162876</v>
      </c>
      <c r="H18" s="13">
        <v>185000</v>
      </c>
      <c r="I18" s="13">
        <f>Tabla1[[#This Row],[PRECIO]]-15000</f>
        <v>170000</v>
      </c>
      <c r="J18" s="1" t="s">
        <v>44</v>
      </c>
      <c r="K18" s="1"/>
      <c r="M18" s="63" t="s">
        <v>77</v>
      </c>
      <c r="N18" s="68">
        <f>SUM(N12:N17)</f>
        <v>30</v>
      </c>
      <c r="O18" s="65">
        <f>SUM(O12:O17)</f>
        <v>450000</v>
      </c>
    </row>
    <row r="19" spans="2:15" x14ac:dyDescent="0.25">
      <c r="B19">
        <v>18</v>
      </c>
      <c r="C19" t="s">
        <v>22</v>
      </c>
      <c r="D19" s="1" t="s">
        <v>9</v>
      </c>
      <c r="E19" s="1">
        <v>1010964272</v>
      </c>
      <c r="H19" s="13">
        <v>185000</v>
      </c>
      <c r="I19" s="13">
        <f>Tabla1[[#This Row],[PRECIO]]-15000</f>
        <v>170000</v>
      </c>
      <c r="J19" s="1" t="s">
        <v>44</v>
      </c>
      <c r="K19" s="1"/>
    </row>
    <row r="20" spans="2:15" x14ac:dyDescent="0.25">
      <c r="B20">
        <v>19</v>
      </c>
      <c r="C20" t="s">
        <v>23</v>
      </c>
      <c r="D20" s="1" t="s">
        <v>19</v>
      </c>
      <c r="E20" s="1">
        <v>1018419110</v>
      </c>
      <c r="H20" s="13">
        <v>185000</v>
      </c>
      <c r="I20" s="13">
        <f>Tabla1[[#This Row],[PRECIO]]-15000</f>
        <v>170000</v>
      </c>
      <c r="J20" s="1" t="s">
        <v>44</v>
      </c>
      <c r="K20" s="1"/>
    </row>
    <row r="21" spans="2:15" x14ac:dyDescent="0.25">
      <c r="B21">
        <v>20</v>
      </c>
      <c r="C21" t="s">
        <v>24</v>
      </c>
      <c r="D21" s="1" t="s">
        <v>9</v>
      </c>
      <c r="E21" s="1">
        <v>2950971</v>
      </c>
      <c r="F21" s="3">
        <v>30110</v>
      </c>
      <c r="G21" s="1">
        <v>3143991829</v>
      </c>
      <c r="H21" s="13">
        <v>185000</v>
      </c>
      <c r="I21" s="13">
        <f>Tabla1[[#This Row],[PRECIO]]-15000</f>
        <v>170000</v>
      </c>
      <c r="J21" s="1" t="s">
        <v>32</v>
      </c>
      <c r="K21" s="1"/>
    </row>
    <row r="22" spans="2:15" x14ac:dyDescent="0.25">
      <c r="B22">
        <v>21</v>
      </c>
      <c r="C22" t="s">
        <v>48</v>
      </c>
      <c r="D22" s="1" t="s">
        <v>9</v>
      </c>
      <c r="E22" s="1">
        <v>51840790</v>
      </c>
      <c r="G22" s="1">
        <v>3204250866</v>
      </c>
      <c r="H22" s="13">
        <v>185000</v>
      </c>
      <c r="I22" s="13">
        <f>Tabla1[[#This Row],[PRECIO]]-15000</f>
        <v>170000</v>
      </c>
      <c r="J22" s="1" t="s">
        <v>32</v>
      </c>
      <c r="K22" s="1"/>
    </row>
    <row r="23" spans="2:15" x14ac:dyDescent="0.25">
      <c r="B23">
        <v>22</v>
      </c>
      <c r="C23" t="s">
        <v>25</v>
      </c>
      <c r="D23" s="1" t="s">
        <v>9</v>
      </c>
      <c r="E23" s="1">
        <v>79266321</v>
      </c>
      <c r="G23" s="1">
        <v>3168256577</v>
      </c>
      <c r="H23" s="13">
        <v>185000</v>
      </c>
      <c r="I23" s="13">
        <f>Tabla1[[#This Row],[PRECIO]]-15000</f>
        <v>170000</v>
      </c>
      <c r="J23" s="1" t="s">
        <v>32</v>
      </c>
      <c r="K23" s="1"/>
    </row>
    <row r="24" spans="2:15" x14ac:dyDescent="0.25">
      <c r="B24">
        <v>23</v>
      </c>
      <c r="C24" t="s">
        <v>49</v>
      </c>
      <c r="D24" s="1" t="s">
        <v>9</v>
      </c>
      <c r="E24" s="1">
        <v>1073630536</v>
      </c>
      <c r="F24" s="3">
        <v>36224</v>
      </c>
      <c r="H24" s="13">
        <v>185000</v>
      </c>
      <c r="I24" s="13">
        <f>Tabla1[[#This Row],[PRECIO]]-15000</f>
        <v>170000</v>
      </c>
      <c r="J24" s="1" t="s">
        <v>45</v>
      </c>
      <c r="K24" s="1"/>
    </row>
    <row r="25" spans="2:15" x14ac:dyDescent="0.25">
      <c r="B25">
        <v>24</v>
      </c>
      <c r="C25" t="s">
        <v>26</v>
      </c>
      <c r="D25" s="1" t="s">
        <v>9</v>
      </c>
      <c r="E25" s="1">
        <v>1073630185</v>
      </c>
      <c r="H25" s="13">
        <v>185000</v>
      </c>
      <c r="I25" s="13">
        <f>Tabla1[[#This Row],[PRECIO]]-15000</f>
        <v>170000</v>
      </c>
      <c r="J25" s="1" t="s">
        <v>45</v>
      </c>
      <c r="K25" s="1"/>
    </row>
    <row r="26" spans="2:15" x14ac:dyDescent="0.25">
      <c r="B26">
        <v>25</v>
      </c>
      <c r="C26" t="s">
        <v>50</v>
      </c>
      <c r="D26" s="1" t="s">
        <v>9</v>
      </c>
      <c r="E26" s="1">
        <v>1073628104</v>
      </c>
      <c r="F26" s="3">
        <v>38216</v>
      </c>
      <c r="H26" s="13">
        <v>185000</v>
      </c>
      <c r="I26" s="13">
        <f>Tabla1[[#This Row],[PRECIO]]-15000</f>
        <v>170000</v>
      </c>
      <c r="J26" s="1" t="s">
        <v>45</v>
      </c>
      <c r="K26" s="1"/>
    </row>
    <row r="27" spans="2:15" x14ac:dyDescent="0.25">
      <c r="B27">
        <v>26</v>
      </c>
      <c r="C27" t="s">
        <v>29</v>
      </c>
      <c r="D27" s="5" t="s">
        <v>9</v>
      </c>
      <c r="E27" s="6">
        <v>1075627540</v>
      </c>
      <c r="H27" s="13">
        <v>0</v>
      </c>
      <c r="J27" s="12"/>
      <c r="K27" s="1"/>
    </row>
    <row r="28" spans="2:15" x14ac:dyDescent="0.25">
      <c r="B28">
        <v>27</v>
      </c>
      <c r="C28" t="s">
        <v>30</v>
      </c>
      <c r="D28" s="10" t="s">
        <v>9</v>
      </c>
      <c r="E28" s="10">
        <v>79656808</v>
      </c>
      <c r="H28" s="13">
        <v>0</v>
      </c>
      <c r="J28" s="12"/>
      <c r="K28" s="1"/>
    </row>
    <row r="29" spans="2:15" x14ac:dyDescent="0.25">
      <c r="B29">
        <v>28</v>
      </c>
      <c r="C29" t="s">
        <v>31</v>
      </c>
      <c r="D29" s="1" t="s">
        <v>9</v>
      </c>
      <c r="E29" s="2">
        <v>1007953320</v>
      </c>
      <c r="H29" s="13">
        <v>0</v>
      </c>
      <c r="J29" s="12"/>
      <c r="K29" s="1"/>
    </row>
    <row r="30" spans="2:15" x14ac:dyDescent="0.25">
      <c r="B30">
        <v>29</v>
      </c>
      <c r="C30" t="s">
        <v>33</v>
      </c>
      <c r="D30" s="1" t="s">
        <v>9</v>
      </c>
      <c r="E30" s="2">
        <v>94280479</v>
      </c>
      <c r="F30" s="3">
        <v>25250</v>
      </c>
      <c r="H30" s="13">
        <v>185000</v>
      </c>
      <c r="I30" s="13">
        <f>Tabla1[[#This Row],[PRECIO]]-15000</f>
        <v>170000</v>
      </c>
      <c r="J30" s="1" t="s">
        <v>13</v>
      </c>
      <c r="K30" s="1"/>
    </row>
    <row r="31" spans="2:15" x14ac:dyDescent="0.25">
      <c r="C31" s="11" t="s">
        <v>34</v>
      </c>
      <c r="D31" s="1" t="s">
        <v>35</v>
      </c>
      <c r="E31" s="2">
        <v>1073630787</v>
      </c>
      <c r="F31" s="3">
        <v>43902</v>
      </c>
      <c r="H31" s="13">
        <v>30000</v>
      </c>
      <c r="I31" s="13">
        <v>30000</v>
      </c>
      <c r="J31" s="1" t="s">
        <v>13</v>
      </c>
      <c r="K31" s="13">
        <v>30000</v>
      </c>
    </row>
    <row r="32" spans="2:15" x14ac:dyDescent="0.25">
      <c r="B32">
        <v>30</v>
      </c>
      <c r="C32" t="s">
        <v>36</v>
      </c>
      <c r="D32" s="1" t="s">
        <v>9</v>
      </c>
      <c r="E32" s="2">
        <v>52502797</v>
      </c>
      <c r="H32" s="13">
        <v>185000</v>
      </c>
      <c r="I32" s="13">
        <f>Tabla1[[#This Row],[PRECIO]]-15000</f>
        <v>170000</v>
      </c>
      <c r="J32" s="1" t="s">
        <v>32</v>
      </c>
      <c r="K32" s="1"/>
    </row>
    <row r="33" spans="2:11" x14ac:dyDescent="0.25">
      <c r="B33">
        <v>31</v>
      </c>
      <c r="C33" t="s">
        <v>37</v>
      </c>
      <c r="D33" s="1" t="s">
        <v>19</v>
      </c>
      <c r="E33" s="2">
        <v>1025561015</v>
      </c>
      <c r="H33" s="13">
        <v>185000</v>
      </c>
      <c r="I33" s="13">
        <f>Tabla1[[#This Row],[PRECIO]]-15000</f>
        <v>170000</v>
      </c>
      <c r="J33" s="1" t="s">
        <v>32</v>
      </c>
      <c r="K33" s="1"/>
    </row>
    <row r="34" spans="2:11" x14ac:dyDescent="0.25">
      <c r="C34" s="11" t="s">
        <v>38</v>
      </c>
      <c r="D34" s="1" t="s">
        <v>35</v>
      </c>
      <c r="E34" s="2">
        <v>1031186085</v>
      </c>
      <c r="H34" s="13">
        <v>85000</v>
      </c>
      <c r="I34" s="13">
        <v>85000</v>
      </c>
      <c r="J34" s="1" t="s">
        <v>32</v>
      </c>
      <c r="K34" s="13">
        <v>85000</v>
      </c>
    </row>
    <row r="35" spans="2:11" x14ac:dyDescent="0.25">
      <c r="B35">
        <v>32</v>
      </c>
      <c r="C35" t="s">
        <v>58</v>
      </c>
      <c r="D35" s="1" t="s">
        <v>9</v>
      </c>
      <c r="E35" s="1">
        <v>20872048</v>
      </c>
      <c r="G35" s="1">
        <v>3229444740</v>
      </c>
      <c r="H35" s="13">
        <v>185000</v>
      </c>
      <c r="I35" s="13">
        <f>Tabla1[[#This Row],[PRECIO]]-15000</f>
        <v>170000</v>
      </c>
      <c r="J35" s="1" t="s">
        <v>32</v>
      </c>
      <c r="K35" s="1"/>
    </row>
    <row r="36" spans="2:11" x14ac:dyDescent="0.25">
      <c r="B36">
        <v>33</v>
      </c>
      <c r="C36" t="s">
        <v>59</v>
      </c>
      <c r="D36" s="1" t="s">
        <v>9</v>
      </c>
      <c r="E36" s="1">
        <v>11451765</v>
      </c>
      <c r="G36" s="1" t="s">
        <v>60</v>
      </c>
      <c r="H36" s="13">
        <v>185000</v>
      </c>
      <c r="I36" s="13">
        <f>Tabla1[[#This Row],[PRECIO]]-15000</f>
        <v>170000</v>
      </c>
      <c r="J36" s="1" t="s">
        <v>32</v>
      </c>
      <c r="K36" s="1"/>
    </row>
    <row r="37" spans="2:11" x14ac:dyDescent="0.25">
      <c r="B37">
        <v>34</v>
      </c>
      <c r="C37" t="s">
        <v>63</v>
      </c>
      <c r="D37" s="1" t="s">
        <v>9</v>
      </c>
      <c r="E37" s="1">
        <v>20871787</v>
      </c>
      <c r="F37" s="3">
        <v>26678</v>
      </c>
      <c r="H37" s="13">
        <v>185000</v>
      </c>
      <c r="I37" s="13">
        <f>Tabla1[[#This Row],[PRECIO]]-15000</f>
        <v>170000</v>
      </c>
      <c r="J37" s="1" t="s">
        <v>45</v>
      </c>
      <c r="K37" s="1"/>
    </row>
    <row r="38" spans="2:11" x14ac:dyDescent="0.25">
      <c r="H38" s="13">
        <f>SUBTOTAL(109,Tabla1[PRECIO])</f>
        <v>5665000</v>
      </c>
      <c r="I38" s="62">
        <f>SUBTOTAL(109,Tabla1[Columna2])</f>
        <v>5215000</v>
      </c>
      <c r="K38" s="1"/>
    </row>
  </sheetData>
  <mergeCells count="1">
    <mergeCell ref="M1:N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C247-7323-4DB0-A9E0-C28E27D7799B}">
  <dimension ref="B1:L32"/>
  <sheetViews>
    <sheetView topLeftCell="A20" workbookViewId="0">
      <selection activeCell="H8" sqref="H8:K8"/>
    </sheetView>
  </sheetViews>
  <sheetFormatPr baseColWidth="10" defaultRowHeight="15" x14ac:dyDescent="0.25"/>
  <cols>
    <col min="2" max="2" width="3.140625" style="1" bestFit="1" customWidth="1"/>
    <col min="3" max="3" width="30" bestFit="1" customWidth="1"/>
    <col min="4" max="4" width="20.42578125" bestFit="1" customWidth="1"/>
    <col min="5" max="5" width="18.42578125" bestFit="1" customWidth="1"/>
    <col min="6" max="6" width="18.42578125" style="24" customWidth="1"/>
    <col min="8" max="8" width="25.7109375" bestFit="1" customWidth="1"/>
    <col min="9" max="9" width="20.42578125" bestFit="1" customWidth="1"/>
    <col min="10" max="10" width="18.42578125" bestFit="1" customWidth="1"/>
    <col min="12" max="12" width="24.140625" bestFit="1" customWidth="1"/>
  </cols>
  <sheetData>
    <row r="1" spans="2:12" x14ac:dyDescent="0.25">
      <c r="B1" s="28" t="s">
        <v>0</v>
      </c>
      <c r="C1" s="47" t="s">
        <v>1</v>
      </c>
      <c r="D1" s="48" t="s">
        <v>2</v>
      </c>
      <c r="E1" s="49" t="s">
        <v>3</v>
      </c>
      <c r="F1" s="21"/>
      <c r="H1" s="18" t="s">
        <v>1</v>
      </c>
      <c r="I1" s="19" t="s">
        <v>2</v>
      </c>
      <c r="J1" s="19" t="s">
        <v>3</v>
      </c>
    </row>
    <row r="2" spans="2:12" x14ac:dyDescent="0.25">
      <c r="B2" s="53">
        <v>1</v>
      </c>
      <c r="C2" s="54" t="s">
        <v>7</v>
      </c>
      <c r="D2" s="55" t="s">
        <v>9</v>
      </c>
      <c r="E2" s="56">
        <v>20871495</v>
      </c>
      <c r="F2" s="22"/>
      <c r="G2">
        <v>31</v>
      </c>
      <c r="H2" s="25" t="s">
        <v>18</v>
      </c>
      <c r="I2" s="26" t="s">
        <v>19</v>
      </c>
      <c r="J2" s="26">
        <v>1195464151</v>
      </c>
      <c r="K2" t="s">
        <v>53</v>
      </c>
    </row>
    <row r="3" spans="2:12" x14ac:dyDescent="0.25">
      <c r="B3" s="57">
        <v>2</v>
      </c>
      <c r="C3" s="25" t="s">
        <v>8</v>
      </c>
      <c r="D3" s="26" t="s">
        <v>9</v>
      </c>
      <c r="E3" s="44">
        <v>19328421</v>
      </c>
      <c r="F3" s="22"/>
      <c r="G3">
        <v>32</v>
      </c>
      <c r="H3" s="25" t="s">
        <v>37</v>
      </c>
      <c r="I3" s="26" t="s">
        <v>19</v>
      </c>
      <c r="J3" s="27">
        <v>1025561015</v>
      </c>
      <c r="K3" t="s">
        <v>62</v>
      </c>
    </row>
    <row r="4" spans="2:12" x14ac:dyDescent="0.25">
      <c r="B4" s="57">
        <v>3</v>
      </c>
      <c r="C4" s="25" t="s">
        <v>39</v>
      </c>
      <c r="D4" s="26" t="s">
        <v>9</v>
      </c>
      <c r="E4" s="44">
        <v>21054827</v>
      </c>
      <c r="F4" s="22"/>
      <c r="G4">
        <v>33</v>
      </c>
    </row>
    <row r="5" spans="2:12" x14ac:dyDescent="0.25">
      <c r="B5" s="57">
        <v>4</v>
      </c>
      <c r="C5" s="25" t="s">
        <v>11</v>
      </c>
      <c r="D5" s="26" t="s">
        <v>9</v>
      </c>
      <c r="E5" s="44">
        <v>94280479</v>
      </c>
      <c r="F5" s="22"/>
    </row>
    <row r="6" spans="2:12" x14ac:dyDescent="0.25">
      <c r="B6" s="57">
        <v>5</v>
      </c>
      <c r="C6" s="25" t="s">
        <v>12</v>
      </c>
      <c r="D6" s="26" t="s">
        <v>9</v>
      </c>
      <c r="E6" s="44">
        <v>66964096</v>
      </c>
      <c r="F6" s="22"/>
      <c r="H6" s="18" t="s">
        <v>1</v>
      </c>
      <c r="I6" s="19" t="s">
        <v>2</v>
      </c>
      <c r="J6" s="19" t="s">
        <v>3</v>
      </c>
    </row>
    <row r="7" spans="2:12" x14ac:dyDescent="0.25">
      <c r="B7" s="57">
        <v>6</v>
      </c>
      <c r="C7" s="25" t="s">
        <v>40</v>
      </c>
      <c r="D7" s="26" t="s">
        <v>9</v>
      </c>
      <c r="E7" s="45">
        <v>2950611</v>
      </c>
      <c r="F7" s="23"/>
      <c r="H7" s="20" t="s">
        <v>34</v>
      </c>
      <c r="I7" s="14" t="s">
        <v>35</v>
      </c>
      <c r="J7" s="15">
        <v>1073630787</v>
      </c>
      <c r="K7" t="s">
        <v>54</v>
      </c>
    </row>
    <row r="8" spans="2:12" x14ac:dyDescent="0.25">
      <c r="B8" s="57">
        <v>7</v>
      </c>
      <c r="C8" s="25" t="s">
        <v>27</v>
      </c>
      <c r="D8" s="26" t="s">
        <v>9</v>
      </c>
      <c r="E8" s="45">
        <v>20357224</v>
      </c>
      <c r="F8" s="23"/>
      <c r="H8" s="20" t="s">
        <v>38</v>
      </c>
      <c r="I8" s="16" t="s">
        <v>35</v>
      </c>
      <c r="J8" s="17">
        <v>1031186085</v>
      </c>
      <c r="K8" t="s">
        <v>52</v>
      </c>
    </row>
    <row r="9" spans="2:12" x14ac:dyDescent="0.25">
      <c r="B9" s="57">
        <v>8</v>
      </c>
      <c r="C9" s="25" t="s">
        <v>28</v>
      </c>
      <c r="D9" s="26" t="s">
        <v>9</v>
      </c>
      <c r="E9" s="45">
        <v>20357644</v>
      </c>
      <c r="F9" s="23"/>
      <c r="L9" t="s">
        <v>55</v>
      </c>
    </row>
    <row r="10" spans="2:12" x14ac:dyDescent="0.25">
      <c r="B10" s="58">
        <v>9</v>
      </c>
      <c r="C10" s="35" t="s">
        <v>14</v>
      </c>
      <c r="D10" s="36" t="s">
        <v>9</v>
      </c>
      <c r="E10" s="59">
        <v>79538678</v>
      </c>
      <c r="F10" s="23"/>
    </row>
    <row r="11" spans="2:12" x14ac:dyDescent="0.25">
      <c r="B11" s="30">
        <v>10</v>
      </c>
      <c r="C11" s="50" t="s">
        <v>16</v>
      </c>
      <c r="D11" s="51" t="s">
        <v>9</v>
      </c>
      <c r="E11" s="52">
        <v>1007953323</v>
      </c>
      <c r="F11" s="23"/>
      <c r="H11" s="32" t="s">
        <v>56</v>
      </c>
      <c r="I11" s="31">
        <v>32</v>
      </c>
    </row>
    <row r="12" spans="2:12" x14ac:dyDescent="0.25">
      <c r="B12" s="29">
        <v>11</v>
      </c>
      <c r="C12" s="25" t="s">
        <v>17</v>
      </c>
      <c r="D12" s="26" t="s">
        <v>9</v>
      </c>
      <c r="E12" s="45">
        <v>1003706390</v>
      </c>
      <c r="F12" s="23"/>
      <c r="H12" s="32" t="s">
        <v>57</v>
      </c>
      <c r="I12" s="31">
        <v>1</v>
      </c>
    </row>
    <row r="13" spans="2:12" x14ac:dyDescent="0.25">
      <c r="B13" s="29">
        <v>12</v>
      </c>
      <c r="C13" s="25" t="s">
        <v>46</v>
      </c>
      <c r="D13" s="26" t="s">
        <v>9</v>
      </c>
      <c r="E13" s="45">
        <v>1018404923</v>
      </c>
      <c r="F13" s="23"/>
    </row>
    <row r="14" spans="2:12" x14ac:dyDescent="0.25">
      <c r="B14" s="29">
        <v>13</v>
      </c>
      <c r="C14" s="25" t="s">
        <v>43</v>
      </c>
      <c r="D14" s="26" t="s">
        <v>9</v>
      </c>
      <c r="E14" s="45">
        <v>1072960348</v>
      </c>
      <c r="F14" s="23"/>
    </row>
    <row r="15" spans="2:12" x14ac:dyDescent="0.25">
      <c r="B15" s="29">
        <v>14</v>
      </c>
      <c r="C15" s="25" t="s">
        <v>20</v>
      </c>
      <c r="D15" s="26" t="s">
        <v>9</v>
      </c>
      <c r="E15" s="45">
        <v>20358731</v>
      </c>
      <c r="F15" s="23"/>
    </row>
    <row r="16" spans="2:12" x14ac:dyDescent="0.25">
      <c r="B16" s="29">
        <v>15</v>
      </c>
      <c r="C16" s="25" t="s">
        <v>21</v>
      </c>
      <c r="D16" s="26" t="s">
        <v>9</v>
      </c>
      <c r="E16" s="45">
        <v>1072963396</v>
      </c>
      <c r="F16" s="23"/>
    </row>
    <row r="17" spans="2:6" x14ac:dyDescent="0.25">
      <c r="B17" s="29">
        <v>16</v>
      </c>
      <c r="C17" s="25" t="s">
        <v>47</v>
      </c>
      <c r="D17" s="26" t="s">
        <v>9</v>
      </c>
      <c r="E17" s="45">
        <v>79162876</v>
      </c>
      <c r="F17" s="23"/>
    </row>
    <row r="18" spans="2:6" x14ac:dyDescent="0.25">
      <c r="B18" s="29">
        <v>17</v>
      </c>
      <c r="C18" s="25" t="s">
        <v>22</v>
      </c>
      <c r="D18" s="26" t="s">
        <v>9</v>
      </c>
      <c r="E18" s="45">
        <v>1010964272</v>
      </c>
      <c r="F18" s="23"/>
    </row>
    <row r="19" spans="2:6" x14ac:dyDescent="0.25">
      <c r="B19" s="29">
        <v>18</v>
      </c>
      <c r="C19" s="25" t="s">
        <v>24</v>
      </c>
      <c r="D19" s="26" t="s">
        <v>9</v>
      </c>
      <c r="E19" s="45">
        <v>2950971</v>
      </c>
      <c r="F19" s="23"/>
    </row>
    <row r="20" spans="2:6" x14ac:dyDescent="0.25">
      <c r="B20" s="29">
        <v>19</v>
      </c>
      <c r="C20" s="25" t="s">
        <v>48</v>
      </c>
      <c r="D20" s="26" t="s">
        <v>9</v>
      </c>
      <c r="E20" s="45">
        <v>51840790</v>
      </c>
      <c r="F20" s="23"/>
    </row>
    <row r="21" spans="2:6" x14ac:dyDescent="0.25">
      <c r="B21" s="29">
        <v>20</v>
      </c>
      <c r="C21" s="25" t="s">
        <v>25</v>
      </c>
      <c r="D21" s="26" t="s">
        <v>9</v>
      </c>
      <c r="E21" s="45">
        <v>79266321</v>
      </c>
      <c r="F21" s="23"/>
    </row>
    <row r="22" spans="2:6" x14ac:dyDescent="0.25">
      <c r="B22" s="29">
        <v>21</v>
      </c>
      <c r="C22" s="25" t="s">
        <v>49</v>
      </c>
      <c r="D22" s="26" t="s">
        <v>9</v>
      </c>
      <c r="E22" s="45">
        <v>1073630536</v>
      </c>
      <c r="F22" s="23"/>
    </row>
    <row r="23" spans="2:6" x14ac:dyDescent="0.25">
      <c r="B23" s="29">
        <v>22</v>
      </c>
      <c r="C23" s="25" t="s">
        <v>26</v>
      </c>
      <c r="D23" s="26" t="s">
        <v>9</v>
      </c>
      <c r="E23" s="45">
        <v>1073630185</v>
      </c>
      <c r="F23" s="23"/>
    </row>
    <row r="24" spans="2:6" x14ac:dyDescent="0.25">
      <c r="B24" s="29">
        <v>23</v>
      </c>
      <c r="C24" s="25" t="s">
        <v>50</v>
      </c>
      <c r="D24" s="26" t="s">
        <v>9</v>
      </c>
      <c r="E24" s="45">
        <v>1073628104</v>
      </c>
      <c r="F24" s="23"/>
    </row>
    <row r="25" spans="2:6" x14ac:dyDescent="0.25">
      <c r="B25" s="29">
        <v>24</v>
      </c>
      <c r="C25" s="25" t="s">
        <v>29</v>
      </c>
      <c r="D25" s="26" t="s">
        <v>9</v>
      </c>
      <c r="E25" s="44">
        <v>1075627540</v>
      </c>
      <c r="F25" s="22"/>
    </row>
    <row r="26" spans="2:6" x14ac:dyDescent="0.25">
      <c r="B26" s="29">
        <v>25</v>
      </c>
      <c r="C26" s="25" t="s">
        <v>30</v>
      </c>
      <c r="D26" s="26" t="s">
        <v>9</v>
      </c>
      <c r="E26" s="45">
        <v>79656808</v>
      </c>
      <c r="F26" s="23"/>
    </row>
    <row r="27" spans="2:6" x14ac:dyDescent="0.25">
      <c r="B27" s="29">
        <v>26</v>
      </c>
      <c r="C27" s="25" t="s">
        <v>31</v>
      </c>
      <c r="D27" s="26" t="s">
        <v>9</v>
      </c>
      <c r="E27" s="44">
        <v>1007953320</v>
      </c>
      <c r="F27" s="22"/>
    </row>
    <row r="28" spans="2:6" x14ac:dyDescent="0.25">
      <c r="B28" s="29">
        <v>27</v>
      </c>
      <c r="C28" s="25" t="s">
        <v>33</v>
      </c>
      <c r="D28" s="26" t="s">
        <v>9</v>
      </c>
      <c r="E28" s="44">
        <v>94280479</v>
      </c>
      <c r="F28" s="22"/>
    </row>
    <row r="29" spans="2:6" x14ac:dyDescent="0.25">
      <c r="B29" s="34">
        <v>28</v>
      </c>
      <c r="C29" s="35" t="s">
        <v>36</v>
      </c>
      <c r="D29" s="36" t="s">
        <v>9</v>
      </c>
      <c r="E29" s="46">
        <v>52502797</v>
      </c>
      <c r="F29" s="22"/>
    </row>
    <row r="30" spans="2:6" x14ac:dyDescent="0.25">
      <c r="B30" s="39">
        <v>29</v>
      </c>
      <c r="C30" s="38" t="s">
        <v>58</v>
      </c>
      <c r="D30" s="38" t="s">
        <v>9</v>
      </c>
      <c r="E30" s="33">
        <v>20872048</v>
      </c>
    </row>
    <row r="31" spans="2:6" x14ac:dyDescent="0.25">
      <c r="B31" s="40">
        <v>30</v>
      </c>
      <c r="C31" s="37" t="s">
        <v>59</v>
      </c>
      <c r="D31" s="37" t="s">
        <v>9</v>
      </c>
      <c r="E31" s="37">
        <v>11451765</v>
      </c>
    </row>
    <row r="32" spans="2:6" x14ac:dyDescent="0.25">
      <c r="B32" s="40">
        <v>31</v>
      </c>
      <c r="C32" s="42" t="s">
        <v>23</v>
      </c>
      <c r="D32" s="43" t="s">
        <v>19</v>
      </c>
      <c r="E32" s="41">
        <v>1018419110</v>
      </c>
      <c r="F32" s="24" t="s">
        <v>61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2024-01-03T13:30:23Z</dcterms:created>
  <dcterms:modified xsi:type="dcterms:W3CDTF">2024-02-06T22:03:56Z</dcterms:modified>
</cp:coreProperties>
</file>