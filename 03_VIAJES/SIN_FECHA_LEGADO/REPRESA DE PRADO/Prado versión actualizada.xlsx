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REPRESA DE PRADO\"/>
    </mc:Choice>
  </mc:AlternateContent>
  <xr:revisionPtr revIDLastSave="0" documentId="13_ncr:1_{7F5BBA75-AABB-42AC-B6E4-51121026BDB6}" xr6:coauthVersionLast="47" xr6:coauthVersionMax="47" xr10:uidLastSave="{00000000-0000-0000-0000-000000000000}"/>
  <bookViews>
    <workbookView xWindow="-120" yWindow="-120" windowWidth="20730" windowHeight="11160" xr2:uid="{3F025BE2-64CE-479E-95EE-151CAC9EC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2" i="1" l="1"/>
  <c r="P162" i="1"/>
  <c r="P161" i="1"/>
  <c r="P158" i="1"/>
  <c r="Q157" i="1"/>
  <c r="O159" i="1"/>
  <c r="U12" i="1"/>
  <c r="U13" i="1"/>
  <c r="U14" i="1"/>
  <c r="U15" i="1"/>
  <c r="U17" i="1"/>
  <c r="U11" i="1"/>
  <c r="T23" i="1"/>
  <c r="U18" i="1"/>
  <c r="W24" i="1"/>
  <c r="S20" i="1"/>
  <c r="X19" i="1"/>
  <c r="O158" i="1"/>
  <c r="P3" i="1"/>
  <c r="P4" i="1"/>
  <c r="P5" i="1"/>
  <c r="P6" i="1"/>
  <c r="P7" i="1"/>
  <c r="P8" i="1"/>
  <c r="P9" i="1"/>
  <c r="P10" i="1"/>
  <c r="P11" i="1"/>
  <c r="P13" i="1"/>
  <c r="P14" i="1"/>
  <c r="P15" i="1"/>
  <c r="P16" i="1"/>
  <c r="P17" i="1"/>
  <c r="P18" i="1"/>
  <c r="P19" i="1"/>
  <c r="P20" i="1"/>
  <c r="P21" i="1"/>
  <c r="P22" i="1"/>
  <c r="P24" i="1"/>
  <c r="P25" i="1"/>
  <c r="P26" i="1"/>
  <c r="P27" i="1"/>
  <c r="P28" i="1"/>
  <c r="P29" i="1"/>
  <c r="P30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1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2" i="1"/>
  <c r="P157" i="1" s="1"/>
  <c r="X20" i="1" s="1"/>
  <c r="X21" i="1" s="1"/>
  <c r="X24" i="1" s="1"/>
  <c r="O30" i="1"/>
  <c r="N157" i="1"/>
  <c r="O154" i="1"/>
  <c r="O155" i="1"/>
  <c r="O156" i="1"/>
  <c r="O2" i="1"/>
  <c r="O3" i="1"/>
  <c r="O4" i="1"/>
  <c r="O5" i="1"/>
  <c r="O6" i="1"/>
  <c r="O7" i="1"/>
  <c r="O8" i="1"/>
  <c r="O9" i="1"/>
  <c r="O10" i="1"/>
  <c r="O11" i="1"/>
  <c r="O13" i="1"/>
  <c r="O14" i="1"/>
  <c r="O15" i="1"/>
  <c r="O16" i="1"/>
  <c r="O17" i="1"/>
  <c r="O18" i="1"/>
  <c r="O19" i="1"/>
  <c r="O20" i="1"/>
  <c r="O21" i="1"/>
  <c r="O22" i="1"/>
  <c r="O24" i="1"/>
  <c r="O25" i="1"/>
  <c r="O26" i="1"/>
  <c r="O27" i="1"/>
  <c r="O28" i="1"/>
  <c r="O29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1" i="1"/>
  <c r="O143" i="1"/>
  <c r="O144" i="1"/>
  <c r="O145" i="1"/>
  <c r="O146" i="1"/>
  <c r="O147" i="1"/>
  <c r="O148" i="1"/>
  <c r="O149" i="1"/>
  <c r="O150" i="1"/>
  <c r="O151" i="1"/>
  <c r="O152" i="1"/>
  <c r="O153" i="1"/>
  <c r="S17" i="1"/>
  <c r="S15" i="1"/>
  <c r="S14" i="1"/>
  <c r="S13" i="1"/>
  <c r="S12" i="1"/>
  <c r="S11" i="1"/>
  <c r="G120" i="1"/>
  <c r="G106" i="1"/>
  <c r="G105" i="1"/>
  <c r="G104" i="1"/>
  <c r="G103" i="1"/>
  <c r="G159" i="1"/>
  <c r="J162" i="1"/>
  <c r="J160" i="1"/>
  <c r="J159" i="1"/>
  <c r="J158" i="1"/>
  <c r="G114" i="1"/>
  <c r="G69" i="1"/>
  <c r="J170" i="1"/>
  <c r="J161" i="1"/>
  <c r="K163" i="1"/>
  <c r="G115" i="1"/>
  <c r="G158" i="1"/>
  <c r="G163" i="1"/>
  <c r="M168" i="1"/>
  <c r="M167" i="1"/>
  <c r="M166" i="1"/>
  <c r="M165" i="1"/>
  <c r="M164" i="1"/>
  <c r="M163" i="1"/>
  <c r="M162" i="1"/>
  <c r="G162" i="1"/>
  <c r="G113" i="1"/>
  <c r="G161" i="1"/>
  <c r="G160" i="1"/>
  <c r="S7" i="1"/>
  <c r="G112" i="1"/>
  <c r="G111" i="1"/>
  <c r="G102" i="1"/>
  <c r="G138" i="1"/>
  <c r="G110" i="1"/>
  <c r="G109" i="1"/>
  <c r="G86" i="1"/>
  <c r="G131" i="1"/>
  <c r="G130" i="1"/>
  <c r="G129" i="1"/>
  <c r="G128" i="1"/>
  <c r="G127" i="1"/>
  <c r="G126" i="1"/>
  <c r="G9" i="1"/>
  <c r="G121" i="1"/>
  <c r="G119" i="1"/>
  <c r="G118" i="1"/>
  <c r="G117" i="1"/>
  <c r="G41" i="1"/>
  <c r="G108" i="1"/>
  <c r="G107" i="1"/>
  <c r="G101" i="1"/>
  <c r="G97" i="1"/>
  <c r="G96" i="1"/>
  <c r="G95" i="1"/>
  <c r="G94" i="1"/>
  <c r="G93" i="1"/>
  <c r="G92" i="1"/>
  <c r="G91" i="1"/>
  <c r="G90" i="1"/>
  <c r="G89" i="1"/>
  <c r="G88" i="1"/>
  <c r="G87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0" i="1"/>
  <c r="G71" i="1"/>
  <c r="G68" i="1"/>
  <c r="G67" i="1"/>
  <c r="G65" i="1"/>
  <c r="G64" i="1"/>
  <c r="G63" i="1"/>
  <c r="G53" i="1"/>
  <c r="G52" i="1"/>
  <c r="G43" i="1"/>
  <c r="G14" i="1"/>
  <c r="G10" i="1"/>
  <c r="G8" i="1"/>
  <c r="G4" i="1"/>
  <c r="G2" i="1"/>
  <c r="O157" i="1" l="1"/>
  <c r="S18" i="1"/>
  <c r="D168" i="1"/>
  <c r="D167" i="1"/>
  <c r="D170" i="1"/>
  <c r="G168" i="1"/>
  <c r="G164" i="1"/>
  <c r="M16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Daniela</author>
  </authors>
  <commentList>
    <comment ref="A51" authorId="0" shapeId="0" xr:uid="{BCA575B1-BA1B-4939-884B-D40C9D523B3B}">
      <text>
        <r>
          <rPr>
            <b/>
            <sz val="9"/>
            <color indexed="81"/>
            <rFont val="Tahoma"/>
            <family val="2"/>
          </rPr>
          <t>Daniela: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<sst xmlns="http://schemas.openxmlformats.org/spreadsheetml/2006/main" count="944" uniqueCount="248">
  <si>
    <t>N°</t>
  </si>
  <si>
    <t>NOMBRE</t>
  </si>
  <si>
    <t>T.D</t>
  </si>
  <si>
    <t>N°.D</t>
  </si>
  <si>
    <t>FECHA D.N</t>
  </si>
  <si>
    <t>TELEFONO</t>
  </si>
  <si>
    <t>MUNICIPIO</t>
  </si>
  <si>
    <t>ABONO</t>
  </si>
  <si>
    <t>DEUDA</t>
  </si>
  <si>
    <t>VALOR</t>
  </si>
  <si>
    <t>COMISIÓN</t>
  </si>
  <si>
    <t>COMISIONISTAS</t>
  </si>
  <si>
    <t>C.C.</t>
  </si>
  <si>
    <t>APULO</t>
  </si>
  <si>
    <t>LAD</t>
  </si>
  <si>
    <t>ANAPOIMA</t>
  </si>
  <si>
    <t>Tatiana Isabel Cogollo Cantillo</t>
  </si>
  <si>
    <t>310 379 7045</t>
  </si>
  <si>
    <t>22 de abril del 2003</t>
  </si>
  <si>
    <t>Jelen yulied Diaz parra</t>
  </si>
  <si>
    <t>TETE</t>
  </si>
  <si>
    <t>""</t>
  </si>
  <si>
    <t>TOCAIMA</t>
  </si>
  <si>
    <t>Jose Bladimir Muñoz Bolivar</t>
  </si>
  <si>
    <t>María Hilda Luz Bolivar Zapata</t>
  </si>
  <si>
    <t>Visitacion lazo guerrero</t>
  </si>
  <si>
    <t xml:space="preserve">Carol Yineth Roa Lazo </t>
  </si>
  <si>
    <t>July Paola roa lazo</t>
  </si>
  <si>
    <t>Angel Antonio Sanchez Moreno</t>
  </si>
  <si>
    <t>Luz Mary Mendoza Junca</t>
  </si>
  <si>
    <t>Luis Alejandro Sanchez Mendoza</t>
  </si>
  <si>
    <t>T.I</t>
  </si>
  <si>
    <t>Dayana Pardo</t>
  </si>
  <si>
    <t>MAFE</t>
  </si>
  <si>
    <t>Luis Duarte</t>
  </si>
  <si>
    <t xml:space="preserve">Gabriel Cabrera </t>
  </si>
  <si>
    <t>r.c</t>
  </si>
  <si>
    <t>Luz Ángela Berrio</t>
  </si>
  <si>
    <t>Junio-27 1984</t>
  </si>
  <si>
    <t>Nancy Espinosa</t>
  </si>
  <si>
    <t>Diego Alejandro Rodríguez Patiño</t>
  </si>
  <si>
    <t>Myriam Guzmán</t>
  </si>
  <si>
    <t xml:space="preserve">Liceth Camila Rojas Montenegro </t>
  </si>
  <si>
    <t xml:space="preserve">Edison Samuel Acosta Rojas </t>
  </si>
  <si>
    <t>Luis Orlando Contreras Soler</t>
  </si>
  <si>
    <t>Luz Marina Muñoz Ramirez</t>
  </si>
  <si>
    <t>321 919 1190</t>
  </si>
  <si>
    <t>Teresa Luna Suarez</t>
  </si>
  <si>
    <t>311 881 9452</t>
  </si>
  <si>
    <t>Edilma Forero Avila</t>
  </si>
  <si>
    <t>Carmen Lucia Lozano</t>
  </si>
  <si>
    <t>312 490 0754</t>
  </si>
  <si>
    <t>314 207 7028</t>
  </si>
  <si>
    <t>313  819 6871</t>
  </si>
  <si>
    <t>Piedad Angulo</t>
  </si>
  <si>
    <t>320 820 9563</t>
  </si>
  <si>
    <t>-</t>
  </si>
  <si>
    <t xml:space="preserve">Leonor Martinez </t>
  </si>
  <si>
    <t xml:space="preserve">Camilo bernal </t>
  </si>
  <si>
    <t>MENÚ</t>
  </si>
  <si>
    <t>MOJARRA SUDADA</t>
  </si>
  <si>
    <t>COSTILLAS BBQ</t>
  </si>
  <si>
    <t>MOJARRA FRITA</t>
  </si>
  <si>
    <t>EDAD</t>
  </si>
  <si>
    <t>Diana Paola Patiño salazar</t>
  </si>
  <si>
    <t xml:space="preserve">Deicy Carrillo Lozano de Garzon </t>
  </si>
  <si>
    <t>PECHUGA</t>
  </si>
  <si>
    <t>MOJARRA</t>
  </si>
  <si>
    <t>Hernando Ramos</t>
  </si>
  <si>
    <t>María Jesus Tocua</t>
  </si>
  <si>
    <t>Pedro Emilio Saravia Murillo</t>
  </si>
  <si>
    <t>Gloria Alicia Moreno Vergara</t>
  </si>
  <si>
    <t>Maria Clara Barragan</t>
  </si>
  <si>
    <t>Maria Patricia Cortes Gantiva</t>
  </si>
  <si>
    <t>Carmen Elisa Gonzalez Gantiva</t>
  </si>
  <si>
    <t>Elsy Lozano</t>
  </si>
  <si>
    <t>mayo 4 de 1962</t>
  </si>
  <si>
    <t xml:space="preserve"> Daniel Ramirez</t>
  </si>
  <si>
    <t>10 de abril de 1956</t>
  </si>
  <si>
    <t>Tania Ramírez</t>
  </si>
  <si>
    <t>28 de enero de 1989</t>
  </si>
  <si>
    <t>EMPRESA</t>
  </si>
  <si>
    <t>puestos adelante</t>
  </si>
  <si>
    <t>dolor lumbal</t>
  </si>
  <si>
    <t>311 885 0768</t>
  </si>
  <si>
    <t>Danny Mauricio Quijano Garzón</t>
  </si>
  <si>
    <t>321 464 8191</t>
  </si>
  <si>
    <t>321 9472558</t>
  </si>
  <si>
    <t>Diana Castro Lopez</t>
  </si>
  <si>
    <t>Yanid Garzón Peña</t>
  </si>
  <si>
    <t>Eidy Milena Casilimas  Rincón</t>
  </si>
  <si>
    <t xml:space="preserve">Ronald Stive Quijano </t>
  </si>
  <si>
    <t>Armando Lozano Cortes</t>
  </si>
  <si>
    <t>FRANCY ROMERO SANABRIA</t>
  </si>
  <si>
    <t>EDITH</t>
  </si>
  <si>
    <t>FLORINDA DAZA MARIN</t>
  </si>
  <si>
    <t>JOHANA SALCEDO ALFONSO</t>
  </si>
  <si>
    <t>ROSALBA SALCEDO ALFONSO</t>
  </si>
  <si>
    <t>CLEOLTILDE CHACON</t>
  </si>
  <si>
    <t>AMINTA REYES</t>
  </si>
  <si>
    <t>SENAIDA GARCIA REYES</t>
  </si>
  <si>
    <t>RAFAELA LOZANO</t>
  </si>
  <si>
    <t>MELQUISIDED CORTES GARCIA</t>
  </si>
  <si>
    <t>AURORA PATIÑO</t>
  </si>
  <si>
    <t>LEIDY ALEJANDRA PAEZ PATIÑO</t>
  </si>
  <si>
    <t>DANNA SOFIA PARAMO PAEZ</t>
  </si>
  <si>
    <t>EDNA PAEZ PATIÑO</t>
  </si>
  <si>
    <t>SALOME OSPINA REYES</t>
  </si>
  <si>
    <t>MAURICIO OSPINA VALENCIA</t>
  </si>
  <si>
    <t>YENY MARCELA REYES PATIÑO</t>
  </si>
  <si>
    <t>BLANCA A. HERNANDEZ CAMPOS</t>
  </si>
  <si>
    <t>FLOR MARIA LOZANO</t>
  </si>
  <si>
    <t>DIEGO ALEXANDER JIMENEZ TORRES</t>
  </si>
  <si>
    <t>JOSE NICOLAS JIMENEZ LOZANO</t>
  </si>
  <si>
    <t>GINA MARCELA TORRES ACOSTA</t>
  </si>
  <si>
    <t>20/06/0985</t>
  </si>
  <si>
    <t>ANA EDITH MORENO SILVA</t>
  </si>
  <si>
    <t>GENOVEVA GONZALEZ GIL</t>
  </si>
  <si>
    <t>JACKELINE GONZALEZ GIL</t>
  </si>
  <si>
    <t>MARIA DE LOS ANGELES VARGAS H.</t>
  </si>
  <si>
    <t>GABRIELA ALZATE</t>
  </si>
  <si>
    <t>MARIA ALICIA MANCERA</t>
  </si>
  <si>
    <t>JOSE VICENTE MIRANDA</t>
  </si>
  <si>
    <t>PATRICIA MORENO</t>
  </si>
  <si>
    <t>09/10/</t>
  </si>
  <si>
    <t>EDWIN DAVID GOMEZ MORENO</t>
  </si>
  <si>
    <t>SORAIDA GARCIA CANO</t>
  </si>
  <si>
    <t>CRISTIAN ASADIEL BARAHA GARCIA</t>
  </si>
  <si>
    <t>MARIA OFELIA PATIÑO</t>
  </si>
  <si>
    <t>PECHUGA A LA PLANCHA</t>
  </si>
  <si>
    <t>LOMO DE CERDO</t>
  </si>
  <si>
    <t xml:space="preserve">LEIDY  JOHANNA GARCIA </t>
  </si>
  <si>
    <t>Martha Lucía garcia  fuentes</t>
  </si>
  <si>
    <t xml:space="preserve">Jhon Fredy López Hernández </t>
  </si>
  <si>
    <t>Matias Lozano Días</t>
  </si>
  <si>
    <t>Ceira Marlenny Tapias Toloza</t>
  </si>
  <si>
    <t>MARIA LILIANA CONTRERAS BERNAL</t>
  </si>
  <si>
    <t xml:space="preserve">AMPARO MELO BECERRA </t>
  </si>
  <si>
    <t>HULANDAS</t>
  </si>
  <si>
    <t>Rosalba Forero Guatame</t>
  </si>
  <si>
    <t>Luz Adriana torres forero</t>
  </si>
  <si>
    <t>María Fernanda Benavides</t>
  </si>
  <si>
    <t>TOTAL</t>
  </si>
  <si>
    <t>José Muñoz Quiroja</t>
  </si>
  <si>
    <t xml:space="preserve">Lilia Montenegro </t>
  </si>
  <si>
    <t>María Elena Andrae</t>
  </si>
  <si>
    <t xml:space="preserve">Martha Constanza Martínez </t>
  </si>
  <si>
    <t>Luz Marina Gloria</t>
  </si>
  <si>
    <t>JHONATAN</t>
  </si>
  <si>
    <t>MIREYA</t>
  </si>
  <si>
    <t>JORGE LÓPEZ MORENO</t>
  </si>
  <si>
    <t>ESTER ESCOBAR MONCADA</t>
  </si>
  <si>
    <t>ELSY LÓPEZ ESCOBAR</t>
  </si>
  <si>
    <t xml:space="preserve">LUZ LÓPEZ ESCOBAR </t>
  </si>
  <si>
    <t>310 7817921</t>
  </si>
  <si>
    <t>Mireya Reyes</t>
  </si>
  <si>
    <t xml:space="preserve">Carlos Alfonso Maecha </t>
  </si>
  <si>
    <t>Elisabet Gomez</t>
  </si>
  <si>
    <t>Luz Amparo López Rodriguez</t>
  </si>
  <si>
    <t xml:space="preserve">QUIERE LA </t>
  </si>
  <si>
    <t>MAS GRANDE Y</t>
  </si>
  <si>
    <t>LOS PRIMEROS</t>
  </si>
  <si>
    <t>PUESTOS</t>
  </si>
  <si>
    <t>317 779 3004</t>
  </si>
  <si>
    <t>320 856 8079</t>
  </si>
  <si>
    <t>CELULAR</t>
  </si>
  <si>
    <t>Graciela Diaz</t>
  </si>
  <si>
    <t>Ligia Diaz</t>
  </si>
  <si>
    <t>Mercedes Rincon Vargas</t>
  </si>
  <si>
    <t>DANIEL FELIPE ACUÑA PAEZ</t>
  </si>
  <si>
    <t>MARTHA CECILIA ACOSTA CLAVIJO</t>
  </si>
  <si>
    <t>JOSE DEL CARMEN MUÑOZ ALDANA</t>
  </si>
  <si>
    <t>Margarita Pinzón Galindo</t>
  </si>
  <si>
    <t>Danna Valentina Robayo Pinzón</t>
  </si>
  <si>
    <t xml:space="preserve">Teresa soler Balbuena </t>
  </si>
  <si>
    <t>ANA ELISA PORRAS PAEZ</t>
  </si>
  <si>
    <t>LUIS SANCHEZ</t>
  </si>
  <si>
    <t>OLGA LUCIA CASALLAS</t>
  </si>
  <si>
    <t>MARTHA LUCIA MORENO</t>
  </si>
  <si>
    <t>Maria Angelica Villamil Sierra</t>
  </si>
  <si>
    <t>DANIELA CRUZ</t>
  </si>
  <si>
    <t>Adelina Ramos Acosta</t>
  </si>
  <si>
    <t>Soralla murillo prieto</t>
  </si>
  <si>
    <t>William Alexander Cifuentes Heredia</t>
  </si>
  <si>
    <t>Graciela Santamaria</t>
  </si>
  <si>
    <t>313 2040930</t>
  </si>
  <si>
    <t>Isidoro Cuervo</t>
  </si>
  <si>
    <t>C.C</t>
  </si>
  <si>
    <t xml:space="preserve">JAIRO REYES GARCIA </t>
  </si>
  <si>
    <t xml:space="preserve">MOJARRA FRITA </t>
  </si>
  <si>
    <t>LILIA DEL CARMEN CASTRO PAEZ</t>
  </si>
  <si>
    <t>Fabio Ladino</t>
  </si>
  <si>
    <t>1.102 877.848</t>
  </si>
  <si>
    <t>52. 344.312</t>
  </si>
  <si>
    <t>52. 231.833</t>
  </si>
  <si>
    <t>20. 870.757</t>
  </si>
  <si>
    <t>11. 294.271</t>
  </si>
  <si>
    <t xml:space="preserve"> rosmary castaño</t>
  </si>
  <si>
    <t>Jacob López Roa</t>
  </si>
  <si>
    <t>Columna1</t>
  </si>
  <si>
    <t>M.F</t>
  </si>
  <si>
    <t>M.S</t>
  </si>
  <si>
    <t>CBBQ</t>
  </si>
  <si>
    <t>LOMO</t>
  </si>
  <si>
    <t>Claudia Villamil Sierra</t>
  </si>
  <si>
    <t>Gloria Ocampo</t>
  </si>
  <si>
    <t>Marleny Castro</t>
  </si>
  <si>
    <t>Geraldine Garcia</t>
  </si>
  <si>
    <t>Edid Garzón Peña</t>
  </si>
  <si>
    <t>Deicy María Casilimas</t>
  </si>
  <si>
    <t xml:space="preserve">Yina Ayala Lopez </t>
  </si>
  <si>
    <t xml:space="preserve">Sandra liliana Díaz Betancourt </t>
  </si>
  <si>
    <t>PALOQUEMAO</t>
  </si>
  <si>
    <t>WESLY DANIEL REYES GARCIA</t>
  </si>
  <si>
    <t>SOFIA REYES GARCIA</t>
  </si>
  <si>
    <t>ISABEL LOZANO CUELLAR</t>
  </si>
  <si>
    <t>MESETA</t>
  </si>
  <si>
    <t>Evan Samuel López Roa</t>
  </si>
  <si>
    <t>COSTILLAS</t>
  </si>
  <si>
    <t>Cristina Sierra Morales</t>
  </si>
  <si>
    <t>Edgar Garzón</t>
  </si>
  <si>
    <t>YA</t>
  </si>
  <si>
    <t>Luisa Villamil</t>
  </si>
  <si>
    <t>Adriana marcela Tarra hernandez</t>
  </si>
  <si>
    <t>Jorge Eliecer Daza</t>
  </si>
  <si>
    <t>Luz Martha Cardenas Gil</t>
  </si>
  <si>
    <t>Amelia Llorente</t>
  </si>
  <si>
    <t>Maria noralba Valero Montilla</t>
  </si>
  <si>
    <t>Mario Moreno</t>
  </si>
  <si>
    <t>ANGEL ESTEBAN REYES GARCIA</t>
  </si>
  <si>
    <t>Mariana Bonilla Villamil</t>
  </si>
  <si>
    <t>Angelica Pineda</t>
  </si>
  <si>
    <t>Lucy Carrillo Lozano</t>
  </si>
  <si>
    <t>María Eugenia Mape</t>
  </si>
  <si>
    <t>_</t>
  </si>
  <si>
    <t>TRANSPORTE</t>
  </si>
  <si>
    <t>REGALOS</t>
  </si>
  <si>
    <t>SEGURO</t>
  </si>
  <si>
    <t>LOGISTICA</t>
  </si>
  <si>
    <t>GASTOS DE REPRESENTACIÓN</t>
  </si>
  <si>
    <t>COSTOS Y GASTOS</t>
  </si>
  <si>
    <t>PASEO EN LANCHA + ALMUERZO</t>
  </si>
  <si>
    <t>EVENTO MUSICAL + TRANSPORTE</t>
  </si>
  <si>
    <t>INGRESO</t>
  </si>
  <si>
    <t>UTILIDAD</t>
  </si>
  <si>
    <t xml:space="preserve"> </t>
  </si>
  <si>
    <t>Columna2</t>
  </si>
  <si>
    <t>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</si>
</sst>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0" fillId="5" borderId="0" xfId="0" applyFill="1"/>
    <xf numFmtId="0" fontId="0" fillId="0" borderId="0" xfId="0" applyAlignment="1">
      <alignment horizontal="center" vertical="center"/>
    </xf>
    <xf numFmtId="0" fontId="0" fillId="2" borderId="0" xfId="0" applyFill="1"/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3" borderId="0" xfId="0" applyFill="1"/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5" fontId="0" fillId="0" borderId="0" xfId="0" applyNumberFormat="1" applyAlignment="1">
      <alignment horizontal="center"/>
    </xf>
    <xf numFmtId="0" fontId="0" fillId="6" borderId="0" xfId="0" applyFill="1"/>
    <xf numFmtId="0" fontId="0" fillId="5" borderId="0" xfId="0" applyFill="1" applyAlignment="1">
      <alignment horizontal="center"/>
    </xf>
    <xf numFmtId="3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0" fillId="0" borderId="2" xfId="0" applyBorder="1" applyAlignment="1">
      <alignment horizontal="center"/>
    </xf>
    <xf numFmtId="0" fontId="0" fillId="11" borderId="0" xfId="0" applyFill="1"/>
    <xf numFmtId="0" fontId="0" fillId="11" borderId="1" xfId="0" applyFill="1" applyBorder="1"/>
    <xf numFmtId="0" fontId="0" fillId="2" borderId="2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14" borderId="2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6" borderId="0" xfId="0" applyFill="1"/>
    <xf numFmtId="0" fontId="0" fillId="16" borderId="1" xfId="0" applyFill="1" applyBorder="1"/>
    <xf numFmtId="0" fontId="0" fillId="17" borderId="0" xfId="0" applyFill="1" applyAlignment="1">
      <alignment horizontal="center"/>
    </xf>
    <xf numFmtId="0" fontId="0" fillId="17" borderId="1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0" fillId="17" borderId="0" xfId="0" applyFill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4" fontId="0" fillId="0" borderId="0" xfId="1" applyFont="1"/>
    <xf numFmtId="44" fontId="0" fillId="0" borderId="1" xfId="1" applyFont="1" applyBorder="1"/>
    <xf numFmtId="44" fontId="0" fillId="0" borderId="0" xfId="1" applyFont="1" applyFill="1"/>
    <xf numFmtId="44" fontId="0" fillId="0" borderId="2" xfId="1" applyFont="1" applyBorder="1"/>
    <xf numFmtId="44" fontId="0" fillId="0" borderId="2" xfId="1" applyFont="1" applyBorder="1" applyAlignment="1">
      <alignment horizontal="center"/>
    </xf>
    <xf numFmtId="0" fontId="0" fillId="0" borderId="6" xfId="0" applyBorder="1"/>
    <xf numFmtId="44" fontId="0" fillId="0" borderId="0" xfId="1" applyFont="1" applyBorder="1"/>
    <xf numFmtId="42" fontId="0" fillId="0" borderId="0" xfId="2" applyFont="1"/>
    <xf numFmtId="42" fontId="0" fillId="0" borderId="0" xfId="2" applyFont="1" applyFill="1"/>
    <xf numFmtId="42" fontId="0" fillId="0" borderId="1" xfId="2" applyFont="1" applyBorder="1"/>
    <xf numFmtId="42" fontId="0" fillId="0" borderId="0" xfId="2" applyFont="1" applyBorder="1"/>
    <xf numFmtId="3" fontId="0" fillId="5" borderId="0" xfId="0" applyNumberFormat="1" applyFill="1" applyAlignment="1">
      <alignment horizontal="center"/>
    </xf>
    <xf numFmtId="42" fontId="0" fillId="0" borderId="0" xfId="2" applyFont="1" applyAlignment="1">
      <alignment horizontal="center"/>
    </xf>
    <xf numFmtId="44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0" fontId="6" fillId="18" borderId="0" xfId="0" applyFont="1" applyFill="1"/>
    <xf numFmtId="3" fontId="0" fillId="2" borderId="0" xfId="0" applyNumberFormat="1" applyFill="1" applyAlignment="1">
      <alignment horizontal="center"/>
    </xf>
    <xf numFmtId="42" fontId="0" fillId="0" borderId="0" xfId="2" applyFont="1" applyFill="1" applyAlignment="1">
      <alignment horizontal="center"/>
    </xf>
    <xf numFmtId="42" fontId="0" fillId="0" borderId="1" xfId="2" applyFont="1" applyBorder="1" applyAlignment="1">
      <alignment horizontal="center"/>
    </xf>
    <xf numFmtId="42" fontId="0" fillId="0" borderId="2" xfId="2" applyFont="1" applyBorder="1"/>
    <xf numFmtId="42" fontId="0" fillId="0" borderId="8" xfId="2" applyFont="1" applyFill="1" applyBorder="1"/>
    <xf numFmtId="0" fontId="0" fillId="0" borderId="7" xfId="0" applyBorder="1"/>
    <xf numFmtId="42" fontId="0" fillId="0" borderId="7" xfId="2" applyFont="1" applyBorder="1"/>
    <xf numFmtId="42" fontId="0" fillId="0" borderId="9" xfId="2" applyFont="1" applyBorder="1"/>
    <xf numFmtId="0" fontId="0" fillId="4" borderId="9" xfId="0" applyFill="1" applyBorder="1"/>
    <xf numFmtId="0" fontId="0" fillId="2" borderId="9" xfId="0" applyFill="1" applyBorder="1"/>
    <xf numFmtId="0" fontId="0" fillId="3" borderId="8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42" fontId="0" fillId="0" borderId="0" xfId="0" applyNumberFormat="1"/>
  </cellXfs>
  <cellStyles count="3">
    <cellStyle name="Moneda" xfId="1" builtinId="4"/>
    <cellStyle name="Moneda [0]" xfId="2" builtinId="7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2" formatCode="_-&quot;$&quot;\ * #,##0_-;\-&quot;$&quot;\ * #,##0_-;_-&quot;$&quot;\ * &quot;-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F391C-A7FB-4820-AE8C-23C75EEB784B}" name="Tabla2" displayName="Tabla2" ref="B1:Q157" totalsRowCount="1" headerRowDxfId="38" dataDxfId="37">
  <autoFilter ref="B1:Q156" xr:uid="{13CF391C-A7FB-4820-AE8C-23C75EEB784B}"/>
  <tableColumns count="16">
    <tableColumn id="1" xr3:uid="{0A3DD4B0-A2BB-4AAE-B2BE-5585871B5522}" name="N°" dataDxfId="36" totalsRowDxfId="15"/>
    <tableColumn id="2" xr3:uid="{E3FD3F91-5D0C-4461-B17D-B88BD7407E53}" name="NOMBRE" dataDxfId="35" totalsRowDxfId="14"/>
    <tableColumn id="3" xr3:uid="{1E720C0B-EA42-44A3-AE21-03F72EE5F1A3}" name="T.D" dataDxfId="34" totalsRowDxfId="13"/>
    <tableColumn id="4" xr3:uid="{CB6A3918-3AFA-4F42-B9F6-17E8FDE3940F}" name="N°.D" dataDxfId="33" totalsRowDxfId="12"/>
    <tableColumn id="5" xr3:uid="{395A99CA-D4DA-4AA6-A2A4-6484426F33BA}" name="FECHA D.N" dataDxfId="32" totalsRowDxfId="11"/>
    <tableColumn id="14" xr3:uid="{6C38B569-C1CF-4B44-91BA-2EA5CD776B52}" name="EDAD" dataDxfId="31" totalsRowDxfId="10"/>
    <tableColumn id="6" xr3:uid="{AD83F49B-921C-44CA-BD4D-75AAD7C22C8F}" name="TELEFONO" dataDxfId="30" totalsRowDxfId="9"/>
    <tableColumn id="7" xr3:uid="{400E5CAD-67E1-43B3-A21C-623282146BE0}" name="MUNICIPIO" dataDxfId="29" totalsRowDxfId="8"/>
    <tableColumn id="8" xr3:uid="{E7397138-ED47-477D-8DA0-9F44C616811F}" name="COMISIONISTAS" dataDxfId="28" totalsRowDxfId="7"/>
    <tableColumn id="13" xr3:uid="{3C635842-A4D6-4D95-8A37-D670E6F29174}" name="MENÚ" dataDxfId="27" totalsRowDxfId="6"/>
    <tableColumn id="9" xr3:uid="{3EF51FB5-9E01-442D-B7FC-C29BDDCE807C}" name="ABONO" dataDxfId="26" totalsRowDxfId="5"/>
    <tableColumn id="10" xr3:uid="{1AC0C76E-39ED-4F05-9EF1-3C1C5B0B142C}" name="DEUDA" dataDxfId="25" totalsRowDxfId="4"/>
    <tableColumn id="11" xr3:uid="{9968D382-C823-48F4-87F3-397D699580D9}" name="VALOR" totalsRowFunction="sum" dataDxfId="24" totalsRowDxfId="3"/>
    <tableColumn id="12" xr3:uid="{C02AEF21-D8BA-4841-87BC-C1F216ED28C3}" name="COMISIÓN" totalsRowFunction="sum" dataDxfId="23" totalsRowDxfId="2">
      <calculatedColumnFormula>Tabla2[[#This Row],[VALOR]]-15000</calculatedColumnFormula>
    </tableColumn>
    <tableColumn id="15" xr3:uid="{90C0C3C6-F6C8-4928-94A8-B74354394BEE}" name="Columna1" totalsRowFunction="sum" dataDxfId="22" totalsRowDxfId="1" dataCellStyle="Moneda [0]" totalsRowCellStyle="Moneda [0]">
      <calculatedColumnFormula>Tabla2[[#This Row],[VALOR]]-15000</calculatedColumnFormula>
    </tableColumn>
    <tableColumn id="16" xr3:uid="{243B843E-4E89-4E53-B49D-8E30DBE97A3C}" name="Columna2" totalsRowFunction="custom" dataDxfId="21" totalsRowDxfId="0" dataCellStyle="Moneda [0]" totalsRowCellStyle="Moneda [0]">
      <totalsRowFormula>Tabla2[[#Totals],[VALOR]]-Tabla2[[#Totals],[COMISIÓN]]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027F-5AB9-426A-87CE-9F1CE0A426EB}">
  <dimension ref="A1:AJ170"/>
  <sheetViews>
    <sheetView tabSelected="1" topLeftCell="K1" zoomScale="68" zoomScaleNormal="68" workbookViewId="0">
      <selection activeCell="X21" sqref="X21"/>
    </sheetView>
  </sheetViews>
  <sheetFormatPr baseColWidth="10" defaultRowHeight="15" x14ac:dyDescent="0.25"/>
  <cols>
    <col min="2" max="2" width="7.7109375" style="1" bestFit="1" customWidth="1"/>
    <col min="3" max="3" width="33.140625" bestFit="1" customWidth="1"/>
    <col min="4" max="4" width="8.42578125" style="1" bestFit="1" customWidth="1"/>
    <col min="5" max="5" width="18.140625" style="3" customWidth="1"/>
    <col min="6" max="6" width="18" style="1" bestFit="1" customWidth="1"/>
    <col min="7" max="7" width="10.7109375" style="1" bestFit="1" customWidth="1"/>
    <col min="8" max="8" width="15.7109375" style="1" bestFit="1" customWidth="1"/>
    <col min="9" max="9" width="23.42578125" style="1" bestFit="1" customWidth="1"/>
    <col min="10" max="10" width="17.42578125" style="1" customWidth="1"/>
    <col min="11" max="11" width="23.42578125" style="1" bestFit="1" customWidth="1"/>
    <col min="12" max="12" width="11.85546875" style="1" bestFit="1" customWidth="1"/>
    <col min="13" max="13" width="11.5703125" style="1" bestFit="1" customWidth="1"/>
    <col min="14" max="14" width="19.85546875" style="1" bestFit="1" customWidth="1"/>
    <col min="15" max="15" width="20.28515625" style="1" bestFit="1" customWidth="1"/>
    <col min="16" max="16" width="19.7109375" style="70" bestFit="1" customWidth="1"/>
    <col min="17" max="17" width="20.140625" style="70" bestFit="1" customWidth="1"/>
    <col min="18" max="18" width="15.85546875" bestFit="1" customWidth="1"/>
    <col min="19" max="19" width="15.28515625" bestFit="1" customWidth="1"/>
    <col min="20" max="20" width="18" style="63" bestFit="1" customWidth="1"/>
    <col min="21" max="21" width="18.7109375" style="63" customWidth="1"/>
    <col min="23" max="23" width="36.42578125" bestFit="1" customWidth="1"/>
    <col min="24" max="24" width="16.42578125" style="70" customWidth="1"/>
    <col min="26" max="26" width="15.28515625" bestFit="1" customWidth="1"/>
  </cols>
  <sheetData>
    <row r="1" spans="2:26" x14ac:dyDescent="0.25">
      <c r="B1" s="1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63</v>
      </c>
      <c r="H1" s="1" t="s">
        <v>5</v>
      </c>
      <c r="I1" s="1" t="s">
        <v>6</v>
      </c>
      <c r="J1" s="1" t="s">
        <v>11</v>
      </c>
      <c r="K1" s="1" t="s">
        <v>59</v>
      </c>
      <c r="L1" s="1" t="s">
        <v>7</v>
      </c>
      <c r="M1" s="1" t="s">
        <v>8</v>
      </c>
      <c r="N1" s="1" t="s">
        <v>9</v>
      </c>
      <c r="O1" s="1" t="s">
        <v>10</v>
      </c>
      <c r="P1" s="75" t="s">
        <v>199</v>
      </c>
      <c r="Q1" s="75" t="s">
        <v>246</v>
      </c>
    </row>
    <row r="2" spans="2:26" x14ac:dyDescent="0.25">
      <c r="B2" s="1">
        <v>1</v>
      </c>
      <c r="C2" s="8" t="s">
        <v>16</v>
      </c>
      <c r="D2" s="1" t="s">
        <v>12</v>
      </c>
      <c r="E2" s="9">
        <v>1049894080</v>
      </c>
      <c r="F2" s="1" t="s">
        <v>18</v>
      </c>
      <c r="G2" s="1">
        <f>2024-2003</f>
        <v>21</v>
      </c>
      <c r="H2" s="1" t="s">
        <v>17</v>
      </c>
      <c r="I2" s="10" t="s">
        <v>15</v>
      </c>
      <c r="J2" s="25" t="s">
        <v>20</v>
      </c>
      <c r="K2" s="57" t="s">
        <v>129</v>
      </c>
      <c r="L2" s="7" t="s">
        <v>142</v>
      </c>
      <c r="M2" s="7"/>
      <c r="N2" s="7">
        <v>155000</v>
      </c>
      <c r="O2" s="7">
        <f>Tabla2[[#This Row],[VALOR]]-15000</f>
        <v>140000</v>
      </c>
      <c r="P2" s="75">
        <f>Tabla2[[#This Row],[VALOR]]-15000</f>
        <v>140000</v>
      </c>
      <c r="Q2" s="75"/>
      <c r="R2" t="s">
        <v>66</v>
      </c>
      <c r="S2">
        <v>9</v>
      </c>
    </row>
    <row r="3" spans="2:26" x14ac:dyDescent="0.25">
      <c r="B3" s="1">
        <v>2</v>
      </c>
      <c r="C3" s="8" t="s">
        <v>19</v>
      </c>
      <c r="D3" s="1" t="s">
        <v>12</v>
      </c>
      <c r="E3" s="9">
        <v>1007155755</v>
      </c>
      <c r="G3" s="1">
        <v>21</v>
      </c>
      <c r="H3" s="1">
        <v>3143034791</v>
      </c>
      <c r="I3" s="10" t="s">
        <v>15</v>
      </c>
      <c r="J3" s="25" t="s">
        <v>20</v>
      </c>
      <c r="K3" s="53" t="s">
        <v>61</v>
      </c>
      <c r="L3" s="1" t="s">
        <v>142</v>
      </c>
      <c r="N3" s="7">
        <v>155000</v>
      </c>
      <c r="O3" s="7">
        <f>Tabla2[[#This Row],[VALOR]]-15000</f>
        <v>140000</v>
      </c>
      <c r="P3" s="75">
        <f>Tabla2[[#This Row],[VALOR]]-15000</f>
        <v>140000</v>
      </c>
      <c r="Q3" s="75"/>
      <c r="R3" t="s">
        <v>200</v>
      </c>
      <c r="S3">
        <v>62</v>
      </c>
    </row>
    <row r="4" spans="2:26" ht="15.75" thickBot="1" x14ac:dyDescent="0.3">
      <c r="B4" s="1">
        <v>3</v>
      </c>
      <c r="C4" s="27" t="s">
        <v>223</v>
      </c>
      <c r="D4" s="26" t="s">
        <v>12</v>
      </c>
      <c r="E4" s="28" t="s">
        <v>192</v>
      </c>
      <c r="F4" s="29">
        <v>35537</v>
      </c>
      <c r="G4" s="26">
        <f>2024-1997</f>
        <v>27</v>
      </c>
      <c r="H4" s="26"/>
      <c r="I4" s="30" t="s">
        <v>15</v>
      </c>
      <c r="J4" s="25" t="s">
        <v>20</v>
      </c>
      <c r="K4" s="6" t="s">
        <v>62</v>
      </c>
      <c r="L4" s="1" t="s">
        <v>142</v>
      </c>
      <c r="M4" s="1">
        <v>1</v>
      </c>
      <c r="N4" s="7">
        <v>155000</v>
      </c>
      <c r="O4" s="7">
        <f>Tabla2[[#This Row],[VALOR]]-15000</f>
        <v>140000</v>
      </c>
      <c r="P4" s="75">
        <f>Tabla2[[#This Row],[VALOR]]-15000</f>
        <v>140000</v>
      </c>
      <c r="Q4" s="75"/>
      <c r="R4" t="s">
        <v>201</v>
      </c>
      <c r="S4">
        <v>15</v>
      </c>
    </row>
    <row r="5" spans="2:26" x14ac:dyDescent="0.25">
      <c r="B5" s="1">
        <v>4</v>
      </c>
      <c r="C5" s="8" t="s">
        <v>39</v>
      </c>
      <c r="D5" s="1" t="s">
        <v>12</v>
      </c>
      <c r="E5" s="9">
        <v>20357610</v>
      </c>
      <c r="G5" s="1">
        <v>63</v>
      </c>
      <c r="I5" s="10" t="s">
        <v>15</v>
      </c>
      <c r="J5" s="1" t="s">
        <v>14</v>
      </c>
      <c r="K5" s="6" t="s">
        <v>62</v>
      </c>
      <c r="L5" s="7">
        <v>200000</v>
      </c>
      <c r="M5" s="1">
        <v>2</v>
      </c>
      <c r="N5" s="7">
        <v>155000</v>
      </c>
      <c r="O5" s="7">
        <f>Tabla2[[#This Row],[VALOR]]-15000</f>
        <v>140000</v>
      </c>
      <c r="P5" s="75">
        <f>Tabla2[[#This Row],[VALOR]]-15000</f>
        <v>140000</v>
      </c>
      <c r="Q5" s="75"/>
      <c r="R5" t="s">
        <v>202</v>
      </c>
      <c r="S5">
        <v>20</v>
      </c>
    </row>
    <row r="6" spans="2:26" ht="15.75" thickBot="1" x14ac:dyDescent="0.3">
      <c r="B6" s="1">
        <v>5</v>
      </c>
      <c r="C6" s="27" t="s">
        <v>158</v>
      </c>
      <c r="D6" s="26" t="s">
        <v>12</v>
      </c>
      <c r="E6" s="31">
        <v>30372665</v>
      </c>
      <c r="F6" s="26"/>
      <c r="G6" s="26">
        <v>50</v>
      </c>
      <c r="H6" s="26"/>
      <c r="I6" s="30" t="s">
        <v>15</v>
      </c>
      <c r="J6" s="26" t="s">
        <v>14</v>
      </c>
      <c r="K6" s="6" t="s">
        <v>62</v>
      </c>
      <c r="L6" s="1" t="s">
        <v>21</v>
      </c>
      <c r="M6" s="1">
        <v>3</v>
      </c>
      <c r="N6" s="7">
        <v>155000</v>
      </c>
      <c r="O6" s="7">
        <f>Tabla2[[#This Row],[VALOR]]-15000</f>
        <v>140000</v>
      </c>
      <c r="P6" s="75">
        <f>Tabla2[[#This Row],[VALOR]]-15000</f>
        <v>140000</v>
      </c>
      <c r="Q6" s="75"/>
      <c r="R6" t="s">
        <v>203</v>
      </c>
      <c r="S6">
        <v>5</v>
      </c>
    </row>
    <row r="7" spans="2:26" x14ac:dyDescent="0.25">
      <c r="B7" s="1">
        <v>6</v>
      </c>
      <c r="C7" s="8" t="s">
        <v>23</v>
      </c>
      <c r="D7" s="1" t="s">
        <v>12</v>
      </c>
      <c r="E7" s="9">
        <v>1003650684</v>
      </c>
      <c r="F7" s="5">
        <v>36644</v>
      </c>
      <c r="G7" s="1">
        <v>24</v>
      </c>
      <c r="H7" s="1" t="s">
        <v>165</v>
      </c>
      <c r="I7" s="10" t="s">
        <v>15</v>
      </c>
      <c r="J7" s="24" t="s">
        <v>20</v>
      </c>
      <c r="K7" s="6" t="s">
        <v>62</v>
      </c>
      <c r="L7" s="7" t="s">
        <v>142</v>
      </c>
      <c r="M7" s="1">
        <v>4</v>
      </c>
      <c r="N7" s="7">
        <v>155000</v>
      </c>
      <c r="O7" s="7">
        <f>Tabla2[[#This Row],[VALOR]]-15000</f>
        <v>140000</v>
      </c>
      <c r="P7" s="75">
        <f>Tabla2[[#This Row],[VALOR]]-15000</f>
        <v>140000</v>
      </c>
      <c r="Q7" s="75"/>
      <c r="S7">
        <f>SUM(S2:S6)</f>
        <v>111</v>
      </c>
    </row>
    <row r="8" spans="2:26" x14ac:dyDescent="0.25">
      <c r="B8" s="1">
        <v>7</v>
      </c>
      <c r="C8" s="8" t="s">
        <v>24</v>
      </c>
      <c r="D8" s="1" t="s">
        <v>12</v>
      </c>
      <c r="E8" s="9">
        <v>21462207</v>
      </c>
      <c r="F8" s="5">
        <v>21348</v>
      </c>
      <c r="G8" s="1">
        <f>2023-1958</f>
        <v>65</v>
      </c>
      <c r="I8" s="10" t="s">
        <v>15</v>
      </c>
      <c r="J8" s="24" t="s">
        <v>20</v>
      </c>
      <c r="K8" s="6" t="s">
        <v>62</v>
      </c>
      <c r="L8" s="1" t="s">
        <v>142</v>
      </c>
      <c r="M8" s="6">
        <v>5</v>
      </c>
      <c r="N8" s="7">
        <v>155000</v>
      </c>
      <c r="O8" s="7">
        <f>Tabla2[[#This Row],[VALOR]]-15000</f>
        <v>140000</v>
      </c>
      <c r="P8" s="75">
        <f>Tabla2[[#This Row],[VALOR]]-15000</f>
        <v>140000</v>
      </c>
      <c r="Q8" s="75"/>
    </row>
    <row r="9" spans="2:26" x14ac:dyDescent="0.25">
      <c r="B9" s="1">
        <v>8</v>
      </c>
      <c r="C9" s="8" t="s">
        <v>143</v>
      </c>
      <c r="D9" s="1" t="s">
        <v>12</v>
      </c>
      <c r="E9" s="9">
        <v>179473</v>
      </c>
      <c r="F9" s="5">
        <v>23665</v>
      </c>
      <c r="G9" s="1">
        <f>2023-1964</f>
        <v>59</v>
      </c>
      <c r="I9" s="10" t="s">
        <v>15</v>
      </c>
      <c r="J9" s="24" t="s">
        <v>20</v>
      </c>
      <c r="K9" s="10" t="s">
        <v>60</v>
      </c>
      <c r="L9" s="7" t="s">
        <v>142</v>
      </c>
      <c r="N9" s="7">
        <v>155000</v>
      </c>
      <c r="O9" s="7">
        <f>Tabla2[[#This Row],[VALOR]]-15000</f>
        <v>140000</v>
      </c>
      <c r="P9" s="75">
        <f>Tabla2[[#This Row],[VALOR]]-15000</f>
        <v>140000</v>
      </c>
      <c r="Q9" s="75"/>
    </row>
    <row r="10" spans="2:26" x14ac:dyDescent="0.25">
      <c r="B10" s="1">
        <v>9</v>
      </c>
      <c r="C10" s="55" t="s">
        <v>25</v>
      </c>
      <c r="D10" s="1" t="s">
        <v>12</v>
      </c>
      <c r="E10" s="9">
        <v>21016956</v>
      </c>
      <c r="F10" s="13">
        <v>26036</v>
      </c>
      <c r="G10" s="1">
        <f>2024-1971</f>
        <v>53</v>
      </c>
      <c r="I10" s="53" t="s">
        <v>216</v>
      </c>
      <c r="J10" s="1" t="s">
        <v>20</v>
      </c>
      <c r="K10" s="10" t="s">
        <v>60</v>
      </c>
      <c r="L10" s="7">
        <v>210000</v>
      </c>
      <c r="M10" s="7">
        <v>425000</v>
      </c>
      <c r="N10" s="7">
        <v>155000</v>
      </c>
      <c r="O10" s="7">
        <f>Tabla2[[#This Row],[VALOR]]-15000</f>
        <v>140000</v>
      </c>
      <c r="P10" s="75">
        <f>Tabla2[[#This Row],[VALOR]]-15000</f>
        <v>140000</v>
      </c>
      <c r="Q10" s="75"/>
      <c r="R10" s="90" t="s">
        <v>11</v>
      </c>
      <c r="S10" s="91"/>
      <c r="T10" s="91"/>
      <c r="U10" s="92"/>
      <c r="W10" s="93" t="s">
        <v>240</v>
      </c>
      <c r="X10" s="93"/>
    </row>
    <row r="11" spans="2:26" x14ac:dyDescent="0.25">
      <c r="B11" s="1">
        <v>10</v>
      </c>
      <c r="C11" s="55" t="s">
        <v>26</v>
      </c>
      <c r="D11" s="1" t="s">
        <v>12</v>
      </c>
      <c r="E11" s="9">
        <v>1073629789</v>
      </c>
      <c r="F11" s="5">
        <v>34685</v>
      </c>
      <c r="G11" s="1">
        <v>29</v>
      </c>
      <c r="I11" s="53" t="s">
        <v>216</v>
      </c>
      <c r="J11" s="1" t="s">
        <v>20</v>
      </c>
      <c r="K11" s="10" t="s">
        <v>60</v>
      </c>
      <c r="L11" s="1" t="s">
        <v>21</v>
      </c>
      <c r="N11" s="7">
        <v>155000</v>
      </c>
      <c r="O11" s="7">
        <f>Tabla2[[#This Row],[VALOR]]-15000</f>
        <v>140000</v>
      </c>
      <c r="P11" s="75">
        <f>Tabla2[[#This Row],[VALOR]]-15000</f>
        <v>140000</v>
      </c>
      <c r="Q11" s="75"/>
      <c r="R11" s="49" t="s">
        <v>20</v>
      </c>
      <c r="S11" s="49">
        <f>COUNTIF(Tabla2[COMISIONISTAS],"TETE")</f>
        <v>22</v>
      </c>
      <c r="T11" s="66">
        <v>15000</v>
      </c>
      <c r="U11" s="66">
        <f>T11*S11</f>
        <v>330000</v>
      </c>
      <c r="W11" s="49" t="s">
        <v>235</v>
      </c>
      <c r="X11" s="82">
        <v>6200000</v>
      </c>
      <c r="Z11" s="94"/>
    </row>
    <row r="12" spans="2:26" x14ac:dyDescent="0.25">
      <c r="B12" s="15"/>
      <c r="C12" s="55" t="s">
        <v>198</v>
      </c>
      <c r="D12" s="15" t="s">
        <v>36</v>
      </c>
      <c r="E12" s="16">
        <v>1195468765</v>
      </c>
      <c r="F12" s="17">
        <v>44833</v>
      </c>
      <c r="G12" s="15">
        <v>1</v>
      </c>
      <c r="H12" s="15"/>
      <c r="I12" s="53"/>
      <c r="J12" s="15"/>
      <c r="K12" s="15"/>
      <c r="L12" s="15"/>
      <c r="M12" s="15"/>
      <c r="N12" s="74">
        <v>15000</v>
      </c>
      <c r="O12" s="74">
        <v>15000</v>
      </c>
      <c r="P12" s="75">
        <v>15000</v>
      </c>
      <c r="Q12" s="75"/>
      <c r="R12" s="49" t="s">
        <v>149</v>
      </c>
      <c r="S12" s="49">
        <f>COUNTIF(Tabla2[COMISIONISTAS],"MIREYA")</f>
        <v>6</v>
      </c>
      <c r="T12" s="66">
        <v>15000</v>
      </c>
      <c r="U12" s="66">
        <f t="shared" ref="U12:U17" si="0">T12*S12</f>
        <v>90000</v>
      </c>
      <c r="W12" s="49" t="s">
        <v>241</v>
      </c>
      <c r="X12" s="82">
        <f>45000*147</f>
        <v>6615000</v>
      </c>
      <c r="Z12" s="94"/>
    </row>
    <row r="13" spans="2:26" x14ac:dyDescent="0.25">
      <c r="B13" s="1">
        <v>11</v>
      </c>
      <c r="C13" s="55" t="s">
        <v>217</v>
      </c>
      <c r="D13" s="1" t="s">
        <v>31</v>
      </c>
      <c r="E13" s="9">
        <v>1073629276</v>
      </c>
      <c r="F13" s="5">
        <v>40321</v>
      </c>
      <c r="G13" s="1">
        <v>13</v>
      </c>
      <c r="I13" s="53" t="s">
        <v>216</v>
      </c>
      <c r="J13" s="1" t="s">
        <v>20</v>
      </c>
      <c r="K13" s="6" t="s">
        <v>62</v>
      </c>
      <c r="M13" s="1">
        <v>6</v>
      </c>
      <c r="N13" s="7">
        <v>155000</v>
      </c>
      <c r="O13" s="7">
        <f>Tabla2[[#This Row],[VALOR]]-15000</f>
        <v>140000</v>
      </c>
      <c r="P13" s="75">
        <f>Tabla2[[#This Row],[VALOR]]-15000</f>
        <v>140000</v>
      </c>
      <c r="Q13" s="75"/>
      <c r="R13" s="49" t="s">
        <v>148</v>
      </c>
      <c r="S13" s="49">
        <f>COUNTIF(Tabla2[COMISIONISTAS],"JHONATAN")</f>
        <v>4</v>
      </c>
      <c r="T13" s="66">
        <v>15000</v>
      </c>
      <c r="U13" s="66">
        <f t="shared" si="0"/>
        <v>60000</v>
      </c>
      <c r="W13" s="49" t="s">
        <v>242</v>
      </c>
      <c r="X13" s="82">
        <v>500000</v>
      </c>
    </row>
    <row r="14" spans="2:26" ht="15.75" thickBot="1" x14ac:dyDescent="0.3">
      <c r="B14" s="1">
        <v>12</v>
      </c>
      <c r="C14" s="56" t="s">
        <v>27</v>
      </c>
      <c r="D14" s="26" t="s">
        <v>12</v>
      </c>
      <c r="E14" s="31">
        <v>1073629483</v>
      </c>
      <c r="F14" s="29">
        <v>34088</v>
      </c>
      <c r="G14" s="26">
        <f>2024-1993</f>
        <v>31</v>
      </c>
      <c r="H14" s="26"/>
      <c r="I14" s="54" t="s">
        <v>216</v>
      </c>
      <c r="J14" s="26" t="s">
        <v>20</v>
      </c>
      <c r="K14" s="30" t="s">
        <v>60</v>
      </c>
      <c r="L14" s="26" t="s">
        <v>21</v>
      </c>
      <c r="M14" s="26"/>
      <c r="N14" s="7">
        <v>155000</v>
      </c>
      <c r="O14" s="7">
        <f>Tabla2[[#This Row],[VALOR]]-15000</f>
        <v>140000</v>
      </c>
      <c r="P14" s="75">
        <f>Tabla2[[#This Row],[VALOR]]-15000</f>
        <v>140000</v>
      </c>
      <c r="Q14" s="75"/>
      <c r="R14" s="49" t="s">
        <v>14</v>
      </c>
      <c r="S14" s="49">
        <f>COUNTIF(Tabla2[COMISIONISTAS],"LAD")</f>
        <v>35</v>
      </c>
      <c r="T14" s="66">
        <v>15000</v>
      </c>
      <c r="U14" s="66">
        <f t="shared" si="0"/>
        <v>525000</v>
      </c>
      <c r="W14" s="49" t="s">
        <v>236</v>
      </c>
      <c r="X14" s="82">
        <v>260000</v>
      </c>
    </row>
    <row r="15" spans="2:26" x14ac:dyDescent="0.25">
      <c r="B15" s="1">
        <v>13</v>
      </c>
      <c r="C15" s="4" t="s">
        <v>28</v>
      </c>
      <c r="D15" s="1" t="s">
        <v>12</v>
      </c>
      <c r="E15" s="9">
        <v>11451911</v>
      </c>
      <c r="G15" s="1">
        <v>40</v>
      </c>
      <c r="I15" s="6" t="s">
        <v>13</v>
      </c>
      <c r="J15" s="1" t="s">
        <v>14</v>
      </c>
      <c r="K15" s="6" t="s">
        <v>62</v>
      </c>
      <c r="L15" s="7">
        <v>330000</v>
      </c>
      <c r="M15" s="1">
        <v>7</v>
      </c>
      <c r="N15" s="7">
        <v>155000</v>
      </c>
      <c r="O15" s="7">
        <f>Tabla2[[#This Row],[VALOR]]-15000</f>
        <v>140000</v>
      </c>
      <c r="P15" s="75">
        <f>Tabla2[[#This Row],[VALOR]]-15000</f>
        <v>140000</v>
      </c>
      <c r="Q15" s="75"/>
      <c r="R15" s="49" t="s">
        <v>33</v>
      </c>
      <c r="S15" s="49">
        <f>COUNTIF(Tabla2[COMISIONISTAS],"MAFE")</f>
        <v>29</v>
      </c>
      <c r="T15" s="66">
        <v>15000</v>
      </c>
      <c r="U15" s="66">
        <f t="shared" si="0"/>
        <v>435000</v>
      </c>
      <c r="W15" s="49" t="s">
        <v>237</v>
      </c>
      <c r="X15" s="82">
        <v>153000</v>
      </c>
    </row>
    <row r="16" spans="2:26" x14ac:dyDescent="0.25">
      <c r="B16" s="1">
        <v>14</v>
      </c>
      <c r="C16" s="4" t="s">
        <v>29</v>
      </c>
      <c r="D16" s="1" t="s">
        <v>12</v>
      </c>
      <c r="E16" s="9">
        <v>1019035371</v>
      </c>
      <c r="G16" s="1">
        <v>35</v>
      </c>
      <c r="I16" s="6" t="s">
        <v>13</v>
      </c>
      <c r="J16" s="1" t="s">
        <v>14</v>
      </c>
      <c r="K16" s="6" t="s">
        <v>62</v>
      </c>
      <c r="M16" s="1">
        <v>8</v>
      </c>
      <c r="N16" s="7">
        <v>155000</v>
      </c>
      <c r="O16" s="7">
        <f>Tabla2[[#This Row],[VALOR]]-15000</f>
        <v>140000</v>
      </c>
      <c r="P16" s="75">
        <f>Tabla2[[#This Row],[VALOR]]-15000</f>
        <v>140000</v>
      </c>
      <c r="Q16" s="75"/>
      <c r="R16" s="49" t="s">
        <v>81</v>
      </c>
      <c r="S16" s="49">
        <v>4</v>
      </c>
      <c r="T16" s="66">
        <v>15000</v>
      </c>
      <c r="U16" s="66">
        <v>0</v>
      </c>
      <c r="W16" s="49" t="s">
        <v>238</v>
      </c>
      <c r="X16" s="82">
        <v>300000</v>
      </c>
    </row>
    <row r="17" spans="1:30" ht="15.75" thickBot="1" x14ac:dyDescent="0.3">
      <c r="B17" s="1">
        <v>15</v>
      </c>
      <c r="C17" s="32" t="s">
        <v>30</v>
      </c>
      <c r="D17" s="26" t="s">
        <v>31</v>
      </c>
      <c r="E17" s="31">
        <v>1073629313</v>
      </c>
      <c r="F17" s="26"/>
      <c r="G17" s="26">
        <v>13</v>
      </c>
      <c r="H17" s="26"/>
      <c r="I17" s="33" t="s">
        <v>13</v>
      </c>
      <c r="J17" s="26" t="s">
        <v>14</v>
      </c>
      <c r="K17" s="6" t="s">
        <v>62</v>
      </c>
      <c r="L17" s="26"/>
      <c r="M17" s="1">
        <v>9</v>
      </c>
      <c r="N17" s="7">
        <v>155000</v>
      </c>
      <c r="O17" s="7">
        <f>Tabla2[[#This Row],[VALOR]]-15000</f>
        <v>140000</v>
      </c>
      <c r="P17" s="75">
        <f>Tabla2[[#This Row],[VALOR]]-15000</f>
        <v>140000</v>
      </c>
      <c r="Q17" s="75"/>
      <c r="R17" s="49" t="s">
        <v>94</v>
      </c>
      <c r="S17" s="49">
        <f>COUNTIF(Tabla2[COMISIONISTAS],"EDITH")</f>
        <v>49</v>
      </c>
      <c r="T17" s="66">
        <v>15000</v>
      </c>
      <c r="U17" s="66">
        <f t="shared" si="0"/>
        <v>735000</v>
      </c>
      <c r="W17" s="68" t="s">
        <v>247</v>
      </c>
      <c r="X17" s="82">
        <v>400000</v>
      </c>
    </row>
    <row r="18" spans="1:30" ht="15.75" thickBot="1" x14ac:dyDescent="0.3">
      <c r="B18" s="1">
        <v>16</v>
      </c>
      <c r="C18" s="8" t="s">
        <v>32</v>
      </c>
      <c r="D18" s="1" t="s">
        <v>12</v>
      </c>
      <c r="E18" s="9">
        <v>1003672928</v>
      </c>
      <c r="F18" s="5">
        <v>36950</v>
      </c>
      <c r="G18" s="1">
        <v>23</v>
      </c>
      <c r="H18" s="1" t="s">
        <v>165</v>
      </c>
      <c r="I18" s="10" t="s">
        <v>15</v>
      </c>
      <c r="J18" s="23" t="s">
        <v>20</v>
      </c>
      <c r="K18" s="6" t="s">
        <v>62</v>
      </c>
      <c r="L18" s="7" t="s">
        <v>142</v>
      </c>
      <c r="M18" s="1">
        <v>10</v>
      </c>
      <c r="N18" s="7">
        <v>155000</v>
      </c>
      <c r="O18" s="7">
        <f>Tabla2[[#This Row],[VALOR]]-15000</f>
        <v>140000</v>
      </c>
      <c r="P18" s="75">
        <f>Tabla2[[#This Row],[VALOR]]-15000</f>
        <v>140000</v>
      </c>
      <c r="Q18" s="75"/>
      <c r="R18" s="49" t="s">
        <v>142</v>
      </c>
      <c r="S18" s="49">
        <f>SUM(S11:S17)</f>
        <v>149</v>
      </c>
      <c r="T18" s="67" t="s">
        <v>234</v>
      </c>
      <c r="U18" s="66">
        <f>SUM(U11:U17)</f>
        <v>2175000</v>
      </c>
      <c r="W18" s="84" t="s">
        <v>239</v>
      </c>
      <c r="X18" s="85">
        <v>120000</v>
      </c>
    </row>
    <row r="19" spans="1:30" ht="15.75" thickBot="1" x14ac:dyDescent="0.3">
      <c r="B19" s="1">
        <v>17</v>
      </c>
      <c r="C19" s="8" t="s">
        <v>37</v>
      </c>
      <c r="D19" s="1" t="s">
        <v>12</v>
      </c>
      <c r="E19" s="9">
        <v>20358836</v>
      </c>
      <c r="F19" s="5" t="s">
        <v>38</v>
      </c>
      <c r="G19" s="1">
        <v>39</v>
      </c>
      <c r="I19" s="10" t="s">
        <v>15</v>
      </c>
      <c r="J19" s="23" t="s">
        <v>20</v>
      </c>
      <c r="K19" s="6" t="s">
        <v>62</v>
      </c>
      <c r="L19" s="1" t="s">
        <v>142</v>
      </c>
      <c r="M19" s="1">
        <v>11</v>
      </c>
      <c r="N19" s="7">
        <v>155000</v>
      </c>
      <c r="O19" s="7">
        <f>Tabla2[[#This Row],[VALOR]]-15000</f>
        <v>140000</v>
      </c>
      <c r="P19" s="75">
        <f>Tabla2[[#This Row],[VALOR]]-15000</f>
        <v>140000</v>
      </c>
      <c r="Q19" s="75"/>
      <c r="W19" s="87" t="s">
        <v>142</v>
      </c>
      <c r="X19" s="86">
        <f>SUM(X11:X18)</f>
        <v>14548000</v>
      </c>
    </row>
    <row r="20" spans="1:30" ht="15.75" thickBot="1" x14ac:dyDescent="0.3">
      <c r="A20" s="44" t="s">
        <v>221</v>
      </c>
      <c r="B20" s="1">
        <v>18</v>
      </c>
      <c r="C20" s="14" t="s">
        <v>89</v>
      </c>
      <c r="D20" s="1" t="s">
        <v>12</v>
      </c>
      <c r="E20" s="9">
        <v>21014616</v>
      </c>
      <c r="G20" s="1">
        <v>62</v>
      </c>
      <c r="H20" s="1" t="s">
        <v>84</v>
      </c>
      <c r="I20" s="12" t="s">
        <v>22</v>
      </c>
      <c r="J20" s="1" t="s">
        <v>33</v>
      </c>
      <c r="K20" s="53" t="s">
        <v>61</v>
      </c>
      <c r="N20" s="7">
        <v>155000</v>
      </c>
      <c r="O20" s="7">
        <f>Tabla2[[#This Row],[VALOR]]-15000</f>
        <v>140000</v>
      </c>
      <c r="P20" s="75">
        <f>Tabla2[[#This Row],[VALOR]]-15000</f>
        <v>140000</v>
      </c>
      <c r="Q20" s="80"/>
      <c r="S20" s="71">
        <f>148*15000</f>
        <v>2220000</v>
      </c>
      <c r="T20" s="65"/>
      <c r="U20" s="65"/>
      <c r="W20" s="88" t="s">
        <v>243</v>
      </c>
      <c r="X20" s="86">
        <f>Tabla2[[#Totals],[Columna1]]</f>
        <v>20850000</v>
      </c>
    </row>
    <row r="21" spans="1:30" x14ac:dyDescent="0.25">
      <c r="A21" s="44">
        <v>2</v>
      </c>
      <c r="B21" s="1">
        <v>19</v>
      </c>
      <c r="C21" s="14" t="s">
        <v>85</v>
      </c>
      <c r="D21" s="1" t="s">
        <v>12</v>
      </c>
      <c r="E21" s="9">
        <v>1075624814</v>
      </c>
      <c r="G21" s="1">
        <v>37</v>
      </c>
      <c r="H21" s="1" t="s">
        <v>86</v>
      </c>
      <c r="I21" s="12" t="s">
        <v>22</v>
      </c>
      <c r="J21" s="1" t="s">
        <v>33</v>
      </c>
      <c r="K21" s="53" t="s">
        <v>61</v>
      </c>
      <c r="N21" s="7">
        <v>155000</v>
      </c>
      <c r="O21" s="7">
        <f>Tabla2[[#This Row],[VALOR]]-15000</f>
        <v>140000</v>
      </c>
      <c r="P21" s="75">
        <f>Tabla2[[#This Row],[VALOR]]-15000</f>
        <v>140000</v>
      </c>
      <c r="Q21" s="80"/>
      <c r="T21" s="65"/>
      <c r="U21" s="65"/>
      <c r="W21" s="89" t="s">
        <v>244</v>
      </c>
      <c r="X21" s="83">
        <f>X20-X19</f>
        <v>6302000</v>
      </c>
    </row>
    <row r="22" spans="1:30" x14ac:dyDescent="0.25">
      <c r="A22" s="44">
        <v>3</v>
      </c>
      <c r="B22" s="1">
        <v>20</v>
      </c>
      <c r="C22" s="14" t="s">
        <v>207</v>
      </c>
      <c r="D22" s="1" t="s">
        <v>12</v>
      </c>
      <c r="E22" s="9">
        <v>1075639242</v>
      </c>
      <c r="G22" s="1">
        <v>27</v>
      </c>
      <c r="H22" s="1" t="s">
        <v>87</v>
      </c>
      <c r="I22" s="12" t="s">
        <v>22</v>
      </c>
      <c r="J22" s="1" t="s">
        <v>33</v>
      </c>
      <c r="K22" s="6" t="s">
        <v>62</v>
      </c>
      <c r="M22" s="6">
        <v>12</v>
      </c>
      <c r="N22" s="7">
        <v>155000</v>
      </c>
      <c r="O22" s="7">
        <f>Tabla2[[#This Row],[VALOR]]-15000</f>
        <v>140000</v>
      </c>
      <c r="P22" s="75">
        <f>Tabla2[[#This Row],[VALOR]]-15000</f>
        <v>140000</v>
      </c>
      <c r="Q22" s="80"/>
      <c r="T22" s="65"/>
      <c r="U22" s="65"/>
      <c r="X22" s="71"/>
    </row>
    <row r="23" spans="1:30" s="2" customFormat="1" x14ac:dyDescent="0.25">
      <c r="A23" s="2">
        <v>4</v>
      </c>
      <c r="B23" s="15"/>
      <c r="C23" s="2" t="s">
        <v>226</v>
      </c>
      <c r="D23" s="15" t="s">
        <v>36</v>
      </c>
      <c r="E23" s="16">
        <v>1075630179</v>
      </c>
      <c r="F23" s="15"/>
      <c r="G23" s="15">
        <v>6</v>
      </c>
      <c r="H23" s="15"/>
      <c r="I23" s="15"/>
      <c r="J23" s="15"/>
      <c r="K23" s="15" t="s">
        <v>129</v>
      </c>
      <c r="L23" s="15"/>
      <c r="M23" s="15"/>
      <c r="N23" s="74">
        <v>55000</v>
      </c>
      <c r="O23" s="74">
        <v>55000</v>
      </c>
      <c r="P23" s="75">
        <v>55000</v>
      </c>
      <c r="Q23" s="80"/>
      <c r="R23"/>
      <c r="S23"/>
      <c r="T23" s="65">
        <f>145*15000</f>
        <v>2175000</v>
      </c>
      <c r="U23" s="65"/>
      <c r="V23"/>
      <c r="W23"/>
      <c r="X23" s="71"/>
      <c r="Y23"/>
      <c r="Z23"/>
      <c r="AA23"/>
      <c r="AB23"/>
      <c r="AC23"/>
      <c r="AD23"/>
    </row>
    <row r="24" spans="1:30" x14ac:dyDescent="0.25">
      <c r="A24" s="44">
        <v>5</v>
      </c>
      <c r="B24" s="1">
        <v>21</v>
      </c>
      <c r="C24" s="14" t="s">
        <v>90</v>
      </c>
      <c r="D24" s="1" t="s">
        <v>12</v>
      </c>
      <c r="E24" s="9">
        <v>52530263</v>
      </c>
      <c r="G24" s="1">
        <v>25</v>
      </c>
      <c r="I24" s="12" t="s">
        <v>22</v>
      </c>
      <c r="J24" s="1" t="s">
        <v>33</v>
      </c>
      <c r="K24" s="10" t="s">
        <v>60</v>
      </c>
      <c r="L24" s="1" t="s">
        <v>142</v>
      </c>
      <c r="N24" s="7">
        <v>155000</v>
      </c>
      <c r="O24" s="7">
        <f>Tabla2[[#This Row],[VALOR]]-15000</f>
        <v>140000</v>
      </c>
      <c r="P24" s="75">
        <f>Tabla2[[#This Row],[VALOR]]-15000</f>
        <v>140000</v>
      </c>
      <c r="Q24" s="80"/>
      <c r="T24" s="65"/>
      <c r="U24" s="65"/>
      <c r="W24" s="71">
        <f>25000*148</f>
        <v>3700000</v>
      </c>
      <c r="X24" s="71">
        <f>X21/148</f>
        <v>42581.08108108108</v>
      </c>
    </row>
    <row r="25" spans="1:30" x14ac:dyDescent="0.25">
      <c r="A25" s="44">
        <v>6</v>
      </c>
      <c r="B25" s="1">
        <v>22</v>
      </c>
      <c r="C25" s="14" t="s">
        <v>209</v>
      </c>
      <c r="D25" s="1" t="s">
        <v>12</v>
      </c>
      <c r="E25" s="9">
        <v>21013901</v>
      </c>
      <c r="G25" s="1">
        <v>67</v>
      </c>
      <c r="I25" s="12" t="s">
        <v>22</v>
      </c>
      <c r="J25" s="1" t="s">
        <v>33</v>
      </c>
      <c r="K25" s="10" t="s">
        <v>60</v>
      </c>
      <c r="L25" s="1" t="s">
        <v>142</v>
      </c>
      <c r="N25" s="7">
        <v>155000</v>
      </c>
      <c r="O25" s="7">
        <f>Tabla2[[#This Row],[VALOR]]-15000</f>
        <v>140000</v>
      </c>
      <c r="P25" s="75">
        <f>Tabla2[[#This Row],[VALOR]]-15000</f>
        <v>140000</v>
      </c>
      <c r="Q25" s="80"/>
      <c r="T25" s="65"/>
      <c r="U25" s="65"/>
      <c r="X25" s="71"/>
    </row>
    <row r="26" spans="1:30" x14ac:dyDescent="0.25">
      <c r="A26" s="44">
        <v>7</v>
      </c>
      <c r="B26" s="1">
        <v>23</v>
      </c>
      <c r="C26" s="14" t="s">
        <v>208</v>
      </c>
      <c r="D26" s="1" t="s">
        <v>12</v>
      </c>
      <c r="E26" s="9">
        <v>21014615</v>
      </c>
      <c r="G26" s="1">
        <v>62</v>
      </c>
      <c r="H26" s="1" t="s">
        <v>164</v>
      </c>
      <c r="I26" s="12" t="s">
        <v>22</v>
      </c>
      <c r="J26" s="1" t="s">
        <v>33</v>
      </c>
      <c r="K26" s="10" t="s">
        <v>60</v>
      </c>
      <c r="L26" s="1" t="s">
        <v>142</v>
      </c>
      <c r="N26" s="7">
        <v>155000</v>
      </c>
      <c r="O26" s="7">
        <f>Tabla2[[#This Row],[VALOR]]-15000</f>
        <v>140000</v>
      </c>
      <c r="P26" s="75">
        <f>Tabla2[[#This Row],[VALOR]]-15000</f>
        <v>140000</v>
      </c>
      <c r="Q26" s="80"/>
      <c r="T26" s="65"/>
      <c r="U26" s="65"/>
      <c r="X26" s="71"/>
    </row>
    <row r="27" spans="1:30" x14ac:dyDescent="0.25">
      <c r="A27" s="44">
        <v>8</v>
      </c>
      <c r="B27" s="1">
        <v>24</v>
      </c>
      <c r="C27" s="14" t="s">
        <v>134</v>
      </c>
      <c r="D27" s="1" t="s">
        <v>31</v>
      </c>
      <c r="E27" s="9">
        <v>1075628981</v>
      </c>
      <c r="G27" s="1">
        <v>10</v>
      </c>
      <c r="I27" s="12" t="s">
        <v>22</v>
      </c>
      <c r="J27" s="1" t="s">
        <v>33</v>
      </c>
      <c r="K27" s="53" t="s">
        <v>61</v>
      </c>
      <c r="L27" s="1" t="s">
        <v>142</v>
      </c>
      <c r="N27" s="7">
        <v>155000</v>
      </c>
      <c r="O27" s="7">
        <f>Tabla2[[#This Row],[VALOR]]-15000</f>
        <v>140000</v>
      </c>
      <c r="P27" s="75">
        <f>Tabla2[[#This Row],[VALOR]]-15000</f>
        <v>140000</v>
      </c>
      <c r="Q27" s="75"/>
    </row>
    <row r="28" spans="1:30" s="34" customFormat="1" ht="15.75" thickBot="1" x14ac:dyDescent="0.3">
      <c r="A28" s="45">
        <v>9</v>
      </c>
      <c r="B28" s="1">
        <v>25</v>
      </c>
      <c r="C28" s="35" t="s">
        <v>92</v>
      </c>
      <c r="D28" s="26" t="s">
        <v>12</v>
      </c>
      <c r="E28" s="31">
        <v>3209381</v>
      </c>
      <c r="F28" s="26"/>
      <c r="G28" s="26">
        <v>66</v>
      </c>
      <c r="H28" s="26"/>
      <c r="I28" s="36" t="s">
        <v>22</v>
      </c>
      <c r="J28" s="26" t="s">
        <v>33</v>
      </c>
      <c r="K28" s="54" t="s">
        <v>61</v>
      </c>
      <c r="L28" s="26" t="s">
        <v>142</v>
      </c>
      <c r="M28" s="26"/>
      <c r="N28" s="7">
        <v>155000</v>
      </c>
      <c r="O28" s="40">
        <f>Tabla2[[#This Row],[VALOR]]-15000</f>
        <v>140000</v>
      </c>
      <c r="P28" s="75">
        <f>Tabla2[[#This Row],[VALOR]]-15000</f>
        <v>140000</v>
      </c>
      <c r="Q28" s="81"/>
      <c r="T28" s="64"/>
      <c r="U28" s="64"/>
      <c r="X28" s="72"/>
    </row>
    <row r="29" spans="1:30" x14ac:dyDescent="0.25">
      <c r="B29" s="1">
        <v>26</v>
      </c>
      <c r="C29" s="4" t="s">
        <v>68</v>
      </c>
      <c r="D29" s="1" t="s">
        <v>12</v>
      </c>
      <c r="E29" s="9">
        <v>19194477</v>
      </c>
      <c r="G29" s="1">
        <v>71</v>
      </c>
      <c r="H29" s="1">
        <v>3005535034</v>
      </c>
      <c r="I29" s="6" t="s">
        <v>13</v>
      </c>
      <c r="J29" s="1" t="s">
        <v>14</v>
      </c>
      <c r="K29" s="6" t="s">
        <v>62</v>
      </c>
      <c r="M29" s="1">
        <v>13</v>
      </c>
      <c r="N29" s="7">
        <v>155000</v>
      </c>
      <c r="O29" s="7">
        <f>Tabla2[[#This Row],[VALOR]]-15000</f>
        <v>140000</v>
      </c>
      <c r="P29" s="75">
        <f>Tabla2[[#This Row],[VALOR]]-15000</f>
        <v>140000</v>
      </c>
      <c r="Q29" s="75"/>
    </row>
    <row r="30" spans="1:30" x14ac:dyDescent="0.25">
      <c r="B30" s="1">
        <v>27</v>
      </c>
      <c r="C30" s="4" t="s">
        <v>69</v>
      </c>
      <c r="D30" s="1" t="s">
        <v>12</v>
      </c>
      <c r="E30" s="9">
        <v>41410632</v>
      </c>
      <c r="G30" s="1">
        <v>77</v>
      </c>
      <c r="I30" s="6" t="s">
        <v>13</v>
      </c>
      <c r="J30" s="1" t="s">
        <v>14</v>
      </c>
      <c r="K30" s="57" t="s">
        <v>129</v>
      </c>
      <c r="N30" s="7">
        <v>155000</v>
      </c>
      <c r="O30" s="7">
        <f>Tabla2[[#This Row],[VALOR]]-15000</f>
        <v>140000</v>
      </c>
      <c r="P30" s="75">
        <f>Tabla2[[#This Row],[VALOR]]-15000</f>
        <v>140000</v>
      </c>
      <c r="Q30" s="75"/>
    </row>
    <row r="31" spans="1:30" x14ac:dyDescent="0.25">
      <c r="B31" s="1">
        <v>28</v>
      </c>
      <c r="C31" s="4" t="s">
        <v>34</v>
      </c>
      <c r="D31" s="1" t="s">
        <v>12</v>
      </c>
      <c r="E31" s="9">
        <v>79538678</v>
      </c>
      <c r="G31" s="1">
        <v>53</v>
      </c>
      <c r="I31" s="6" t="s">
        <v>13</v>
      </c>
      <c r="J31" s="6" t="s">
        <v>81</v>
      </c>
      <c r="K31" s="6" t="s">
        <v>61</v>
      </c>
      <c r="L31" s="6"/>
      <c r="M31" s="6"/>
      <c r="N31" s="79">
        <v>0</v>
      </c>
      <c r="O31" s="79">
        <v>0</v>
      </c>
      <c r="P31" s="75">
        <v>0</v>
      </c>
      <c r="Q31" s="75"/>
    </row>
    <row r="32" spans="1:30" x14ac:dyDescent="0.25">
      <c r="B32" s="1">
        <v>29</v>
      </c>
      <c r="C32" s="11" t="s">
        <v>141</v>
      </c>
      <c r="D32" s="1" t="s">
        <v>12</v>
      </c>
      <c r="E32" s="9">
        <v>1075627540</v>
      </c>
      <c r="G32" s="1">
        <v>28</v>
      </c>
      <c r="I32" s="12" t="s">
        <v>22</v>
      </c>
      <c r="J32" s="6" t="s">
        <v>81</v>
      </c>
      <c r="K32" s="6" t="s">
        <v>61</v>
      </c>
      <c r="L32" s="6"/>
      <c r="M32" s="6"/>
      <c r="N32" s="79">
        <v>0</v>
      </c>
      <c r="O32" s="79">
        <v>0</v>
      </c>
      <c r="P32" s="75">
        <v>0</v>
      </c>
      <c r="Q32" s="75"/>
    </row>
    <row r="33" spans="1:21" x14ac:dyDescent="0.25">
      <c r="B33" s="1">
        <v>30</v>
      </c>
      <c r="C33" s="11" t="s">
        <v>35</v>
      </c>
      <c r="D33" s="1" t="s">
        <v>12</v>
      </c>
      <c r="E33" s="9">
        <v>79656808</v>
      </c>
      <c r="G33" s="1">
        <v>50</v>
      </c>
      <c r="I33" s="12" t="s">
        <v>22</v>
      </c>
      <c r="J33" s="6" t="s">
        <v>81</v>
      </c>
      <c r="K33" s="6" t="s">
        <v>61</v>
      </c>
      <c r="L33" s="6"/>
      <c r="M33" s="6"/>
      <c r="N33" s="79">
        <v>0</v>
      </c>
      <c r="O33" s="79">
        <v>0</v>
      </c>
      <c r="P33" s="75">
        <v>0</v>
      </c>
      <c r="Q33" s="75"/>
    </row>
    <row r="34" spans="1:21" x14ac:dyDescent="0.25">
      <c r="B34" s="1">
        <v>31</v>
      </c>
      <c r="C34" s="11" t="s">
        <v>41</v>
      </c>
      <c r="D34" s="1" t="s">
        <v>12</v>
      </c>
      <c r="E34" s="9">
        <v>41568536</v>
      </c>
      <c r="G34" s="1">
        <v>70</v>
      </c>
      <c r="I34" s="12" t="s">
        <v>22</v>
      </c>
      <c r="J34" s="1" t="s">
        <v>33</v>
      </c>
      <c r="K34" s="6" t="s">
        <v>62</v>
      </c>
      <c r="L34" s="7" t="s">
        <v>142</v>
      </c>
      <c r="M34" s="1">
        <v>14</v>
      </c>
      <c r="N34" s="7">
        <v>155000</v>
      </c>
      <c r="O34" s="7">
        <f>Tabla2[[#This Row],[VALOR]]-15000</f>
        <v>140000</v>
      </c>
      <c r="P34" s="75">
        <f>Tabla2[[#This Row],[VALOR]]-15000</f>
        <v>140000</v>
      </c>
      <c r="Q34" s="75"/>
    </row>
    <row r="35" spans="1:21" x14ac:dyDescent="0.25">
      <c r="B35" s="1">
        <v>32</v>
      </c>
      <c r="C35" s="11" t="s">
        <v>211</v>
      </c>
      <c r="D35" s="1" t="s">
        <v>12</v>
      </c>
      <c r="E35" s="9">
        <v>65739854</v>
      </c>
      <c r="G35" s="1">
        <v>56</v>
      </c>
      <c r="H35" s="1">
        <v>3118125877</v>
      </c>
      <c r="I35" s="12" t="s">
        <v>22</v>
      </c>
      <c r="J35" s="1" t="s">
        <v>33</v>
      </c>
      <c r="K35" s="6" t="s">
        <v>62</v>
      </c>
      <c r="L35" s="7" t="s">
        <v>142</v>
      </c>
      <c r="M35" s="1">
        <v>15</v>
      </c>
      <c r="N35" s="7">
        <v>155000</v>
      </c>
      <c r="O35" s="7">
        <f>Tabla2[[#This Row],[VALOR]]-15000</f>
        <v>140000</v>
      </c>
      <c r="P35" s="75">
        <f>Tabla2[[#This Row],[VALOR]]-15000</f>
        <v>140000</v>
      </c>
      <c r="Q35" s="75"/>
    </row>
    <row r="36" spans="1:21" x14ac:dyDescent="0.25">
      <c r="B36" s="1">
        <v>33</v>
      </c>
      <c r="C36" s="11" t="s">
        <v>219</v>
      </c>
      <c r="D36" s="1" t="s">
        <v>12</v>
      </c>
      <c r="E36" s="9">
        <v>21015224</v>
      </c>
      <c r="G36" s="1">
        <v>66</v>
      </c>
      <c r="H36" s="1">
        <v>3142101407</v>
      </c>
      <c r="I36" s="12" t="s">
        <v>22</v>
      </c>
      <c r="J36" s="1" t="s">
        <v>33</v>
      </c>
      <c r="K36" s="53" t="s">
        <v>61</v>
      </c>
      <c r="L36" s="7"/>
      <c r="N36" s="7">
        <v>155000</v>
      </c>
      <c r="O36" s="7">
        <f>Tabla2[[#This Row],[VALOR]]-15000</f>
        <v>140000</v>
      </c>
      <c r="P36" s="75">
        <f>Tabla2[[#This Row],[VALOR]]-15000</f>
        <v>140000</v>
      </c>
      <c r="Q36" s="75"/>
    </row>
    <row r="37" spans="1:21" x14ac:dyDescent="0.25">
      <c r="B37" s="1">
        <v>34</v>
      </c>
      <c r="C37" s="11" t="s">
        <v>222</v>
      </c>
      <c r="D37" s="1" t="s">
        <v>12</v>
      </c>
      <c r="E37" s="9">
        <v>3138469137</v>
      </c>
      <c r="G37" s="1">
        <v>39</v>
      </c>
      <c r="I37" s="12" t="s">
        <v>22</v>
      </c>
      <c r="J37" s="1" t="s">
        <v>33</v>
      </c>
      <c r="K37" s="10" t="s">
        <v>60</v>
      </c>
      <c r="L37" s="7"/>
      <c r="N37" s="7">
        <v>155000</v>
      </c>
      <c r="O37" s="7">
        <f>Tabla2[[#This Row],[VALOR]]-15000</f>
        <v>140000</v>
      </c>
      <c r="P37" s="75">
        <f>Tabla2[[#This Row],[VALOR]]-15000</f>
        <v>140000</v>
      </c>
      <c r="Q37" s="75"/>
    </row>
    <row r="38" spans="1:21" x14ac:dyDescent="0.25">
      <c r="B38" s="1">
        <v>35</v>
      </c>
      <c r="C38" s="11" t="s">
        <v>204</v>
      </c>
      <c r="D38" s="1" t="s">
        <v>12</v>
      </c>
      <c r="E38" s="9">
        <v>21017918</v>
      </c>
      <c r="G38" s="1">
        <v>45</v>
      </c>
      <c r="I38" s="12" t="s">
        <v>22</v>
      </c>
      <c r="J38" s="1" t="s">
        <v>33</v>
      </c>
      <c r="K38" s="10" t="s">
        <v>60</v>
      </c>
      <c r="L38" s="1" t="s">
        <v>142</v>
      </c>
      <c r="N38" s="7">
        <v>155000</v>
      </c>
      <c r="O38" s="7">
        <f>Tabla2[[#This Row],[VALOR]]-15000</f>
        <v>140000</v>
      </c>
      <c r="P38" s="75">
        <f>Tabla2[[#This Row],[VALOR]]-15000</f>
        <v>140000</v>
      </c>
      <c r="Q38" s="75"/>
    </row>
    <row r="39" spans="1:21" x14ac:dyDescent="0.25">
      <c r="B39" s="1">
        <v>36</v>
      </c>
      <c r="C39" s="4" t="s">
        <v>42</v>
      </c>
      <c r="D39" s="1" t="s">
        <v>12</v>
      </c>
      <c r="E39" s="9">
        <v>1015478891</v>
      </c>
      <c r="F39" s="5">
        <v>36152</v>
      </c>
      <c r="G39" s="1">
        <v>25</v>
      </c>
      <c r="I39" s="6" t="s">
        <v>13</v>
      </c>
      <c r="J39" s="24" t="s">
        <v>20</v>
      </c>
      <c r="K39" s="6" t="s">
        <v>62</v>
      </c>
      <c r="L39" s="7" t="s">
        <v>142</v>
      </c>
      <c r="M39" s="1">
        <v>16</v>
      </c>
      <c r="N39" s="7">
        <v>155000</v>
      </c>
      <c r="O39" s="7">
        <f>Tabla2[[#This Row],[VALOR]]-15000</f>
        <v>140000</v>
      </c>
      <c r="P39" s="75">
        <f>Tabla2[[#This Row],[VALOR]]-15000</f>
        <v>140000</v>
      </c>
      <c r="Q39" s="75"/>
    </row>
    <row r="40" spans="1:21" x14ac:dyDescent="0.25">
      <c r="B40" s="1">
        <v>37</v>
      </c>
      <c r="C40" s="4" t="s">
        <v>43</v>
      </c>
      <c r="D40" s="1" t="s">
        <v>36</v>
      </c>
      <c r="E40" s="9">
        <v>1023037329</v>
      </c>
      <c r="F40" s="5">
        <v>42936</v>
      </c>
      <c r="G40" s="1">
        <v>6</v>
      </c>
      <c r="I40" s="6" t="s">
        <v>13</v>
      </c>
      <c r="J40" s="1" t="s">
        <v>20</v>
      </c>
      <c r="K40" s="53" t="s">
        <v>61</v>
      </c>
      <c r="L40" s="1" t="s">
        <v>142</v>
      </c>
      <c r="N40" s="7">
        <v>155000</v>
      </c>
      <c r="O40" s="7">
        <f>Tabla2[[#This Row],[VALOR]]-15000</f>
        <v>140000</v>
      </c>
      <c r="P40" s="75">
        <f>Tabla2[[#This Row],[VALOR]]-15000</f>
        <v>140000</v>
      </c>
      <c r="Q40" s="75"/>
      <c r="T40" s="65"/>
      <c r="U40" s="65"/>
    </row>
    <row r="41" spans="1:21" x14ac:dyDescent="0.25">
      <c r="B41" s="1">
        <v>38</v>
      </c>
      <c r="C41" s="4" t="s">
        <v>133</v>
      </c>
      <c r="D41" s="1" t="s">
        <v>12</v>
      </c>
      <c r="E41" s="9">
        <v>1072962282</v>
      </c>
      <c r="F41" s="13">
        <v>34316</v>
      </c>
      <c r="G41" s="1">
        <f>2023-1993</f>
        <v>30</v>
      </c>
      <c r="I41" s="6" t="s">
        <v>13</v>
      </c>
      <c r="J41" s="24" t="s">
        <v>20</v>
      </c>
      <c r="K41" s="15" t="s">
        <v>130</v>
      </c>
      <c r="L41" s="7" t="s">
        <v>142</v>
      </c>
      <c r="N41" s="7">
        <v>155000</v>
      </c>
      <c r="O41" s="7">
        <f>Tabla2[[#This Row],[VALOR]]-15000</f>
        <v>140000</v>
      </c>
      <c r="P41" s="75">
        <f>Tabla2[[#This Row],[VALOR]]-15000</f>
        <v>140000</v>
      </c>
      <c r="Q41" s="75"/>
      <c r="T41" s="65"/>
      <c r="U41" s="65"/>
    </row>
    <row r="42" spans="1:21" x14ac:dyDescent="0.25">
      <c r="B42" s="1">
        <v>39</v>
      </c>
      <c r="C42" s="4" t="s">
        <v>144</v>
      </c>
      <c r="D42" s="1" t="s">
        <v>12</v>
      </c>
      <c r="E42" s="9">
        <v>20872142</v>
      </c>
      <c r="F42" s="5">
        <v>29475</v>
      </c>
      <c r="G42" s="1">
        <v>43</v>
      </c>
      <c r="I42" s="6" t="s">
        <v>13</v>
      </c>
      <c r="J42" s="24" t="s">
        <v>20</v>
      </c>
      <c r="K42" s="10" t="s">
        <v>60</v>
      </c>
      <c r="L42" s="1" t="s">
        <v>142</v>
      </c>
      <c r="N42" s="7">
        <v>155000</v>
      </c>
      <c r="O42" s="7">
        <f>Tabla2[[#This Row],[VALOR]]-15000</f>
        <v>140000</v>
      </c>
      <c r="P42" s="75">
        <f>Tabla2[[#This Row],[VALOR]]-15000</f>
        <v>140000</v>
      </c>
      <c r="Q42" s="75"/>
    </row>
    <row r="43" spans="1:21" x14ac:dyDescent="0.25">
      <c r="B43" s="1">
        <v>40</v>
      </c>
      <c r="C43" s="4" t="s">
        <v>44</v>
      </c>
      <c r="D43" s="1" t="s">
        <v>12</v>
      </c>
      <c r="E43" s="9">
        <v>4137931</v>
      </c>
      <c r="F43" s="5">
        <v>28442</v>
      </c>
      <c r="G43" s="1">
        <f>2023-1977</f>
        <v>46</v>
      </c>
      <c r="I43" s="6" t="s">
        <v>13</v>
      </c>
      <c r="J43" s="24" t="s">
        <v>20</v>
      </c>
      <c r="K43" s="53" t="s">
        <v>61</v>
      </c>
      <c r="L43" s="1" t="s">
        <v>142</v>
      </c>
      <c r="N43" s="7">
        <v>155000</v>
      </c>
      <c r="O43" s="7">
        <f>Tabla2[[#This Row],[VALOR]]-15000</f>
        <v>140000</v>
      </c>
      <c r="P43" s="75">
        <f>Tabla2[[#This Row],[VALOR]]-15000</f>
        <v>140000</v>
      </c>
      <c r="Q43" s="75"/>
    </row>
    <row r="44" spans="1:21" x14ac:dyDescent="0.25">
      <c r="A44" s="44">
        <v>10</v>
      </c>
      <c r="B44" s="1">
        <v>41</v>
      </c>
      <c r="C44" s="14" t="s">
        <v>45</v>
      </c>
      <c r="D44" s="1" t="s">
        <v>12</v>
      </c>
      <c r="E44" s="9">
        <v>21012039</v>
      </c>
      <c r="G44" s="1">
        <v>73</v>
      </c>
      <c r="H44" s="1" t="s">
        <v>46</v>
      </c>
      <c r="I44" s="12" t="s">
        <v>22</v>
      </c>
      <c r="J44" s="1" t="s">
        <v>33</v>
      </c>
      <c r="K44" s="10" t="s">
        <v>60</v>
      </c>
      <c r="N44" s="7">
        <v>155000</v>
      </c>
      <c r="O44" s="7">
        <f>Tabla2[[#This Row],[VALOR]]-15000</f>
        <v>140000</v>
      </c>
      <c r="P44" s="75">
        <f>Tabla2[[#This Row],[VALOR]]-15000</f>
        <v>140000</v>
      </c>
      <c r="Q44" s="75"/>
    </row>
    <row r="45" spans="1:21" x14ac:dyDescent="0.25">
      <c r="A45" s="44">
        <v>11</v>
      </c>
      <c r="B45" s="1">
        <v>42</v>
      </c>
      <c r="C45" s="14" t="s">
        <v>47</v>
      </c>
      <c r="D45" s="1" t="s">
        <v>12</v>
      </c>
      <c r="E45" s="9">
        <v>21013371</v>
      </c>
      <c r="G45" s="1">
        <v>68</v>
      </c>
      <c r="H45" s="1" t="s">
        <v>48</v>
      </c>
      <c r="I45" s="12" t="s">
        <v>22</v>
      </c>
      <c r="J45" s="1" t="s">
        <v>33</v>
      </c>
      <c r="K45" s="10" t="s">
        <v>60</v>
      </c>
      <c r="L45" s="7">
        <v>50000</v>
      </c>
      <c r="N45" s="7">
        <v>155000</v>
      </c>
      <c r="O45" s="7">
        <f>Tabla2[[#This Row],[VALOR]]-15000</f>
        <v>140000</v>
      </c>
      <c r="P45" s="75">
        <f>Tabla2[[#This Row],[VALOR]]-15000</f>
        <v>140000</v>
      </c>
      <c r="Q45" s="75"/>
    </row>
    <row r="46" spans="1:21" x14ac:dyDescent="0.25">
      <c r="A46" s="44">
        <v>12</v>
      </c>
      <c r="B46" s="1">
        <v>43</v>
      </c>
      <c r="C46" s="14" t="s">
        <v>49</v>
      </c>
      <c r="D46" s="1" t="s">
        <v>12</v>
      </c>
      <c r="E46" s="9">
        <v>21013874</v>
      </c>
      <c r="G46" s="1">
        <v>67</v>
      </c>
      <c r="H46" s="1" t="s">
        <v>51</v>
      </c>
      <c r="I46" s="12" t="s">
        <v>22</v>
      </c>
      <c r="J46" s="1" t="s">
        <v>33</v>
      </c>
      <c r="K46" s="6" t="s">
        <v>62</v>
      </c>
      <c r="L46" s="7">
        <v>50000</v>
      </c>
      <c r="M46" s="1">
        <v>17</v>
      </c>
      <c r="N46" s="7">
        <v>155000</v>
      </c>
      <c r="O46" s="7">
        <f>Tabla2[[#This Row],[VALOR]]-15000</f>
        <v>140000</v>
      </c>
      <c r="P46" s="75">
        <f>Tabla2[[#This Row],[VALOR]]-15000</f>
        <v>140000</v>
      </c>
      <c r="Q46" s="75"/>
    </row>
    <row r="47" spans="1:21" x14ac:dyDescent="0.25">
      <c r="A47" s="44">
        <v>13</v>
      </c>
      <c r="B47" s="1">
        <v>44</v>
      </c>
      <c r="C47" s="14" t="s">
        <v>50</v>
      </c>
      <c r="D47" s="1" t="s">
        <v>12</v>
      </c>
      <c r="E47" s="9">
        <v>21011498</v>
      </c>
      <c r="G47" s="1">
        <v>75</v>
      </c>
      <c r="H47" s="1" t="s">
        <v>52</v>
      </c>
      <c r="I47" s="12" t="s">
        <v>22</v>
      </c>
      <c r="J47" s="1" t="s">
        <v>33</v>
      </c>
      <c r="K47" s="6" t="s">
        <v>62</v>
      </c>
      <c r="M47" s="1">
        <v>18</v>
      </c>
      <c r="N47" s="7">
        <v>155000</v>
      </c>
      <c r="O47" s="7">
        <f>Tabla2[[#This Row],[VALOR]]-15000</f>
        <v>140000</v>
      </c>
      <c r="P47" s="75">
        <f>Tabla2[[#This Row],[VALOR]]-15000</f>
        <v>140000</v>
      </c>
      <c r="Q47" s="75"/>
    </row>
    <row r="48" spans="1:21" x14ac:dyDescent="0.25">
      <c r="A48" s="44">
        <v>14</v>
      </c>
      <c r="B48" s="1">
        <v>45</v>
      </c>
      <c r="C48" s="14" t="s">
        <v>206</v>
      </c>
      <c r="D48" s="1" t="s">
        <v>12</v>
      </c>
      <c r="E48" s="9">
        <v>21015192</v>
      </c>
      <c r="G48" s="1">
        <v>60</v>
      </c>
      <c r="H48" s="1" t="s">
        <v>53</v>
      </c>
      <c r="I48" s="12" t="s">
        <v>22</v>
      </c>
      <c r="J48" s="1" t="s">
        <v>33</v>
      </c>
      <c r="K48" s="6" t="s">
        <v>62</v>
      </c>
      <c r="M48" s="1">
        <v>19</v>
      </c>
      <c r="N48" s="7">
        <v>155000</v>
      </c>
      <c r="O48" s="7">
        <f>Tabla2[[#This Row],[VALOR]]-15000</f>
        <v>140000</v>
      </c>
      <c r="P48" s="75">
        <f>Tabla2[[#This Row],[VALOR]]-15000</f>
        <v>140000</v>
      </c>
      <c r="Q48" s="75"/>
    </row>
    <row r="49" spans="1:17" x14ac:dyDescent="0.25">
      <c r="A49" s="44">
        <v>15</v>
      </c>
      <c r="B49" s="1">
        <v>46</v>
      </c>
      <c r="C49" s="14" t="s">
        <v>54</v>
      </c>
      <c r="D49" s="1" t="s">
        <v>12</v>
      </c>
      <c r="E49" s="9">
        <v>37241037</v>
      </c>
      <c r="G49" s="1">
        <v>70</v>
      </c>
      <c r="H49" s="1" t="s">
        <v>55</v>
      </c>
      <c r="I49" s="12" t="s">
        <v>22</v>
      </c>
      <c r="J49" s="1" t="s">
        <v>33</v>
      </c>
      <c r="K49" s="6" t="s">
        <v>62</v>
      </c>
      <c r="M49" s="1">
        <v>20</v>
      </c>
      <c r="N49" s="7">
        <v>155000</v>
      </c>
      <c r="O49" s="7">
        <f>Tabla2[[#This Row],[VALOR]]-15000</f>
        <v>140000</v>
      </c>
      <c r="P49" s="75">
        <f>Tabla2[[#This Row],[VALOR]]-15000</f>
        <v>140000</v>
      </c>
      <c r="Q49" s="75"/>
    </row>
    <row r="50" spans="1:17" x14ac:dyDescent="0.25">
      <c r="A50" s="44">
        <v>16</v>
      </c>
      <c r="B50" s="1">
        <v>47</v>
      </c>
      <c r="C50" s="14" t="s">
        <v>91</v>
      </c>
      <c r="D50" s="1" t="s">
        <v>31</v>
      </c>
      <c r="E50" s="9">
        <v>1195463766</v>
      </c>
      <c r="F50" s="5">
        <v>40692</v>
      </c>
      <c r="G50" s="1">
        <v>12</v>
      </c>
      <c r="I50" s="12" t="s">
        <v>22</v>
      </c>
      <c r="J50" s="1" t="s">
        <v>33</v>
      </c>
      <c r="K50" s="53" t="s">
        <v>61</v>
      </c>
      <c r="N50" s="7">
        <v>155000</v>
      </c>
      <c r="O50" s="7">
        <f>Tabla2[[#This Row],[VALOR]]-15000</f>
        <v>140000</v>
      </c>
      <c r="P50" s="75">
        <f>Tabla2[[#This Row],[VALOR]]-15000</f>
        <v>140000</v>
      </c>
      <c r="Q50" s="75"/>
    </row>
    <row r="51" spans="1:17" x14ac:dyDescent="0.25">
      <c r="A51" s="44">
        <v>17</v>
      </c>
      <c r="B51" s="1">
        <v>48</v>
      </c>
      <c r="C51" s="14" t="s">
        <v>210</v>
      </c>
      <c r="D51" s="1" t="s">
        <v>12</v>
      </c>
      <c r="E51" s="9">
        <v>21018576</v>
      </c>
      <c r="F51" s="1" t="s">
        <v>56</v>
      </c>
      <c r="G51" s="1">
        <v>41</v>
      </c>
      <c r="H51" s="1">
        <v>3142116642</v>
      </c>
      <c r="I51" s="12" t="s">
        <v>22</v>
      </c>
      <c r="J51" s="1" t="s">
        <v>33</v>
      </c>
      <c r="K51" s="6" t="s">
        <v>62</v>
      </c>
      <c r="L51" s="7">
        <v>100000</v>
      </c>
      <c r="M51" s="1">
        <v>21</v>
      </c>
      <c r="N51" s="7">
        <v>155000</v>
      </c>
      <c r="O51" s="7">
        <f>Tabla2[[#This Row],[VALOR]]-15000</f>
        <v>140000</v>
      </c>
      <c r="P51" s="75">
        <f>Tabla2[[#This Row],[VALOR]]-15000</f>
        <v>140000</v>
      </c>
      <c r="Q51" s="75"/>
    </row>
    <row r="52" spans="1:17" x14ac:dyDescent="0.25">
      <c r="B52" s="1">
        <v>49</v>
      </c>
      <c r="C52" s="4" t="s">
        <v>57</v>
      </c>
      <c r="D52" s="1" t="s">
        <v>12</v>
      </c>
      <c r="E52" s="9">
        <v>35511678</v>
      </c>
      <c r="F52" s="5">
        <v>25104</v>
      </c>
      <c r="G52" s="1">
        <f>2023-1968</f>
        <v>55</v>
      </c>
      <c r="I52" s="6" t="s">
        <v>13</v>
      </c>
      <c r="J52" s="1" t="s">
        <v>20</v>
      </c>
      <c r="K52" s="6" t="s">
        <v>62</v>
      </c>
      <c r="M52" s="1">
        <v>22</v>
      </c>
      <c r="N52" s="7">
        <v>155000</v>
      </c>
      <c r="O52" s="7">
        <f>Tabla2[[#This Row],[VALOR]]-15000</f>
        <v>140000</v>
      </c>
      <c r="P52" s="75">
        <f>Tabla2[[#This Row],[VALOR]]-15000</f>
        <v>140000</v>
      </c>
      <c r="Q52" s="75"/>
    </row>
    <row r="53" spans="1:17" x14ac:dyDescent="0.25">
      <c r="B53" s="1">
        <v>50</v>
      </c>
      <c r="C53" s="4" t="s">
        <v>58</v>
      </c>
      <c r="D53" s="1" t="s">
        <v>12</v>
      </c>
      <c r="E53" s="9">
        <v>1073629922</v>
      </c>
      <c r="F53" s="5">
        <v>34937</v>
      </c>
      <c r="G53" s="1">
        <f>2023-1995</f>
        <v>28</v>
      </c>
      <c r="I53" s="6" t="s">
        <v>13</v>
      </c>
      <c r="J53" s="1" t="s">
        <v>20</v>
      </c>
      <c r="K53" s="15" t="s">
        <v>130</v>
      </c>
      <c r="N53" s="7">
        <v>155000</v>
      </c>
      <c r="O53" s="7">
        <f>Tabla2[[#This Row],[VALOR]]-15000</f>
        <v>140000</v>
      </c>
      <c r="P53" s="75">
        <f>Tabla2[[#This Row],[VALOR]]-15000</f>
        <v>140000</v>
      </c>
      <c r="Q53" s="75"/>
    </row>
    <row r="54" spans="1:17" x14ac:dyDescent="0.25">
      <c r="B54" s="1">
        <v>51</v>
      </c>
      <c r="C54" s="11" t="s">
        <v>64</v>
      </c>
      <c r="D54" s="1" t="s">
        <v>12</v>
      </c>
      <c r="E54" s="9">
        <v>21018743</v>
      </c>
      <c r="G54" s="1">
        <v>40</v>
      </c>
      <c r="I54" s="12" t="s">
        <v>22</v>
      </c>
      <c r="J54" s="1" t="s">
        <v>14</v>
      </c>
      <c r="K54" s="6" t="s">
        <v>62</v>
      </c>
      <c r="L54" s="1" t="s">
        <v>142</v>
      </c>
      <c r="M54" s="1">
        <v>23</v>
      </c>
      <c r="N54" s="7">
        <v>155000</v>
      </c>
      <c r="O54" s="7">
        <f>Tabla2[[#This Row],[VALOR]]-15000</f>
        <v>140000</v>
      </c>
      <c r="P54" s="75">
        <f>Tabla2[[#This Row],[VALOR]]-15000</f>
        <v>140000</v>
      </c>
      <c r="Q54" s="75"/>
    </row>
    <row r="55" spans="1:17" x14ac:dyDescent="0.25">
      <c r="B55" s="1">
        <v>52</v>
      </c>
      <c r="C55" s="11" t="s">
        <v>40</v>
      </c>
      <c r="D55" s="1" t="s">
        <v>31</v>
      </c>
      <c r="E55" s="9">
        <v>1075629884</v>
      </c>
      <c r="G55" s="1">
        <v>7</v>
      </c>
      <c r="I55" s="12" t="s">
        <v>22</v>
      </c>
      <c r="J55" s="1" t="s">
        <v>14</v>
      </c>
      <c r="K55" s="53" t="s">
        <v>61</v>
      </c>
      <c r="L55" s="1" t="s">
        <v>142</v>
      </c>
      <c r="N55" s="7">
        <v>155000</v>
      </c>
      <c r="O55" s="7">
        <f>Tabla2[[#This Row],[VALOR]]-15000</f>
        <v>140000</v>
      </c>
      <c r="P55" s="75">
        <f>Tabla2[[#This Row],[VALOR]]-15000</f>
        <v>140000</v>
      </c>
      <c r="Q55" s="75"/>
    </row>
    <row r="56" spans="1:17" x14ac:dyDescent="0.25">
      <c r="B56" s="1">
        <v>53</v>
      </c>
      <c r="C56" s="11" t="s">
        <v>65</v>
      </c>
      <c r="D56" s="1" t="s">
        <v>12</v>
      </c>
      <c r="E56" s="9">
        <v>21016741</v>
      </c>
      <c r="G56" s="1">
        <v>52</v>
      </c>
      <c r="I56" s="12" t="s">
        <v>22</v>
      </c>
      <c r="J56" s="1" t="s">
        <v>33</v>
      </c>
      <c r="K56" s="6" t="s">
        <v>62</v>
      </c>
      <c r="L56" s="7">
        <v>50000</v>
      </c>
      <c r="M56" s="1">
        <v>24</v>
      </c>
      <c r="N56" s="7">
        <v>155000</v>
      </c>
      <c r="O56" s="7">
        <f>Tabla2[[#This Row],[VALOR]]-15000</f>
        <v>140000</v>
      </c>
      <c r="P56" s="75">
        <f>Tabla2[[#This Row],[VALOR]]-15000</f>
        <v>140000</v>
      </c>
      <c r="Q56" s="75"/>
    </row>
    <row r="57" spans="1:17" x14ac:dyDescent="0.25">
      <c r="B57" s="1">
        <v>54</v>
      </c>
      <c r="C57" s="11" t="s">
        <v>220</v>
      </c>
      <c r="D57" s="1" t="s">
        <v>12</v>
      </c>
      <c r="E57" s="9">
        <v>80357515</v>
      </c>
      <c r="G57" s="1">
        <v>43</v>
      </c>
      <c r="H57" s="1">
        <v>3212974859</v>
      </c>
      <c r="I57" s="12" t="s">
        <v>22</v>
      </c>
      <c r="J57" s="1" t="s">
        <v>33</v>
      </c>
      <c r="K57" s="6" t="s">
        <v>62</v>
      </c>
      <c r="L57" s="7">
        <v>50000</v>
      </c>
      <c r="N57" s="7">
        <v>155000</v>
      </c>
      <c r="O57" s="7">
        <f>Tabla2[[#This Row],[VALOR]]-15000</f>
        <v>140000</v>
      </c>
      <c r="P57" s="75">
        <f>Tabla2[[#This Row],[VALOR]]-15000</f>
        <v>140000</v>
      </c>
      <c r="Q57" s="75"/>
    </row>
    <row r="58" spans="1:17" x14ac:dyDescent="0.25">
      <c r="B58" s="1">
        <v>55</v>
      </c>
      <c r="C58" s="11" t="s">
        <v>70</v>
      </c>
      <c r="D58" s="1" t="s">
        <v>12</v>
      </c>
      <c r="E58" s="9">
        <v>19143337</v>
      </c>
      <c r="G58" s="1">
        <v>73</v>
      </c>
      <c r="H58" s="1" t="s">
        <v>159</v>
      </c>
      <c r="I58" s="12" t="s">
        <v>22</v>
      </c>
      <c r="J58" s="1" t="s">
        <v>14</v>
      </c>
      <c r="K58" s="6" t="s">
        <v>62</v>
      </c>
      <c r="L58" s="7">
        <v>250000</v>
      </c>
      <c r="M58" s="1">
        <v>25</v>
      </c>
      <c r="N58" s="7">
        <v>155000</v>
      </c>
      <c r="O58" s="7">
        <f>Tabla2[[#This Row],[VALOR]]-15000</f>
        <v>140000</v>
      </c>
      <c r="P58" s="75">
        <f>Tabla2[[#This Row],[VALOR]]-15000</f>
        <v>140000</v>
      </c>
      <c r="Q58" s="75"/>
    </row>
    <row r="59" spans="1:17" x14ac:dyDescent="0.25">
      <c r="B59" s="1">
        <v>56</v>
      </c>
      <c r="C59" s="11" t="s">
        <v>71</v>
      </c>
      <c r="D59" s="1" t="s">
        <v>12</v>
      </c>
      <c r="E59" s="9">
        <v>41721559</v>
      </c>
      <c r="G59" s="1">
        <v>67</v>
      </c>
      <c r="H59" s="1" t="s">
        <v>67</v>
      </c>
      <c r="I59" s="12" t="s">
        <v>22</v>
      </c>
      <c r="J59" s="1" t="s">
        <v>14</v>
      </c>
      <c r="K59" s="6" t="s">
        <v>62</v>
      </c>
      <c r="L59" s="1" t="s">
        <v>21</v>
      </c>
      <c r="M59" s="1">
        <v>26</v>
      </c>
      <c r="N59" s="7">
        <v>155000</v>
      </c>
      <c r="O59" s="7">
        <f>Tabla2[[#This Row],[VALOR]]-15000</f>
        <v>140000</v>
      </c>
      <c r="P59" s="75">
        <f>Tabla2[[#This Row],[VALOR]]-15000</f>
        <v>140000</v>
      </c>
      <c r="Q59" s="75"/>
    </row>
    <row r="60" spans="1:17" x14ac:dyDescent="0.25">
      <c r="B60" s="1">
        <v>57</v>
      </c>
      <c r="C60" s="11" t="s">
        <v>72</v>
      </c>
      <c r="D60" s="1" t="s">
        <v>12</v>
      </c>
      <c r="E60" s="9">
        <v>41745302</v>
      </c>
      <c r="G60" s="1">
        <v>69</v>
      </c>
      <c r="H60" s="1" t="s">
        <v>160</v>
      </c>
      <c r="I60" s="12" t="s">
        <v>22</v>
      </c>
      <c r="J60" s="1" t="s">
        <v>14</v>
      </c>
      <c r="K60" s="6" t="s">
        <v>62</v>
      </c>
      <c r="L60" s="1" t="s">
        <v>21</v>
      </c>
      <c r="M60" s="1">
        <v>27</v>
      </c>
      <c r="N60" s="7">
        <v>155000</v>
      </c>
      <c r="O60" s="7">
        <f>Tabla2[[#This Row],[VALOR]]-15000</f>
        <v>140000</v>
      </c>
      <c r="P60" s="75">
        <f>Tabla2[[#This Row],[VALOR]]-15000</f>
        <v>140000</v>
      </c>
      <c r="Q60" s="75"/>
    </row>
    <row r="61" spans="1:17" x14ac:dyDescent="0.25">
      <c r="B61" s="1">
        <v>58</v>
      </c>
      <c r="C61" s="11" t="s">
        <v>73</v>
      </c>
      <c r="D61" s="1" t="s">
        <v>12</v>
      </c>
      <c r="E61" s="9">
        <v>51747869</v>
      </c>
      <c r="G61" s="1">
        <v>59</v>
      </c>
      <c r="H61" s="1" t="s">
        <v>161</v>
      </c>
      <c r="I61" s="12" t="s">
        <v>22</v>
      </c>
      <c r="J61" s="1" t="s">
        <v>14</v>
      </c>
      <c r="K61" s="6" t="s">
        <v>62</v>
      </c>
      <c r="L61" s="1" t="s">
        <v>21</v>
      </c>
      <c r="M61" s="1">
        <v>28</v>
      </c>
      <c r="N61" s="7">
        <v>155000</v>
      </c>
      <c r="O61" s="7">
        <f>Tabla2[[#This Row],[VALOR]]-15000</f>
        <v>140000</v>
      </c>
      <c r="P61" s="75">
        <f>Tabla2[[#This Row],[VALOR]]-15000</f>
        <v>140000</v>
      </c>
      <c r="Q61" s="75"/>
    </row>
    <row r="62" spans="1:17" ht="15.75" thickBot="1" x14ac:dyDescent="0.3">
      <c r="B62" s="1">
        <v>59</v>
      </c>
      <c r="C62" s="37" t="s">
        <v>74</v>
      </c>
      <c r="D62" s="26" t="s">
        <v>12</v>
      </c>
      <c r="E62" s="31">
        <v>35504848</v>
      </c>
      <c r="F62" s="26" t="s">
        <v>163</v>
      </c>
      <c r="G62" s="26">
        <v>62</v>
      </c>
      <c r="H62" s="26" t="s">
        <v>162</v>
      </c>
      <c r="I62" s="36" t="s">
        <v>22</v>
      </c>
      <c r="J62" s="26" t="s">
        <v>14</v>
      </c>
      <c r="K62" s="30" t="s">
        <v>60</v>
      </c>
      <c r="L62" s="26" t="s">
        <v>21</v>
      </c>
      <c r="N62" s="7">
        <v>155000</v>
      </c>
      <c r="O62" s="7">
        <f>Tabla2[[#This Row],[VALOR]]-15000</f>
        <v>140000</v>
      </c>
      <c r="P62" s="75">
        <f>Tabla2[[#This Row],[VALOR]]-15000</f>
        <v>140000</v>
      </c>
      <c r="Q62" s="75"/>
    </row>
    <row r="63" spans="1:17" x14ac:dyDescent="0.25">
      <c r="B63" s="1">
        <v>60</v>
      </c>
      <c r="C63" s="8" t="s">
        <v>75</v>
      </c>
      <c r="D63" s="1" t="s">
        <v>12</v>
      </c>
      <c r="E63" s="3">
        <v>20357650</v>
      </c>
      <c r="F63" s="1" t="s">
        <v>76</v>
      </c>
      <c r="G63" s="1">
        <f>2023-1962</f>
        <v>61</v>
      </c>
      <c r="I63" s="10" t="s">
        <v>15</v>
      </c>
      <c r="J63" s="1" t="s">
        <v>14</v>
      </c>
      <c r="K63" s="6" t="s">
        <v>62</v>
      </c>
      <c r="L63" s="7">
        <v>150000</v>
      </c>
      <c r="M63" s="1">
        <v>29</v>
      </c>
      <c r="N63" s="7">
        <v>155000</v>
      </c>
      <c r="O63" s="7">
        <f>Tabla2[[#This Row],[VALOR]]-15000</f>
        <v>140000</v>
      </c>
      <c r="P63" s="75">
        <f>Tabla2[[#This Row],[VALOR]]-15000</f>
        <v>140000</v>
      </c>
      <c r="Q63" s="75"/>
    </row>
    <row r="64" spans="1:17" x14ac:dyDescent="0.25">
      <c r="B64" s="1">
        <v>61</v>
      </c>
      <c r="C64" s="8" t="s">
        <v>77</v>
      </c>
      <c r="D64" s="1" t="s">
        <v>12</v>
      </c>
      <c r="E64" s="9">
        <v>178772</v>
      </c>
      <c r="F64" s="1" t="s">
        <v>78</v>
      </c>
      <c r="G64" s="1">
        <f>2024-1956</f>
        <v>68</v>
      </c>
      <c r="I64" s="10" t="s">
        <v>15</v>
      </c>
      <c r="J64" s="1" t="s">
        <v>14</v>
      </c>
      <c r="K64" s="15" t="s">
        <v>130</v>
      </c>
      <c r="L64" s="1" t="s">
        <v>21</v>
      </c>
      <c r="N64" s="7">
        <v>155000</v>
      </c>
      <c r="O64" s="7">
        <f>Tabla2[[#This Row],[VALOR]]-15000</f>
        <v>140000</v>
      </c>
      <c r="P64" s="75">
        <f>Tabla2[[#This Row],[VALOR]]-15000</f>
        <v>140000</v>
      </c>
      <c r="Q64" s="75"/>
    </row>
    <row r="65" spans="1:17" ht="15.75" thickBot="1" x14ac:dyDescent="0.3">
      <c r="B65" s="1">
        <v>62</v>
      </c>
      <c r="C65" s="27" t="s">
        <v>79</v>
      </c>
      <c r="D65" s="26" t="s">
        <v>12</v>
      </c>
      <c r="E65" s="31">
        <v>1072960803</v>
      </c>
      <c r="F65" s="26" t="s">
        <v>80</v>
      </c>
      <c r="G65" s="26">
        <f>2024-1989</f>
        <v>35</v>
      </c>
      <c r="H65" s="26">
        <v>3118842333</v>
      </c>
      <c r="I65" s="30" t="s">
        <v>15</v>
      </c>
      <c r="J65" s="26" t="s">
        <v>14</v>
      </c>
      <c r="K65" s="58" t="s">
        <v>129</v>
      </c>
      <c r="L65" s="26" t="s">
        <v>21</v>
      </c>
      <c r="N65" s="7">
        <v>155000</v>
      </c>
      <c r="O65" s="7">
        <f>Tabla2[[#This Row],[VALOR]]-15000</f>
        <v>140000</v>
      </c>
      <c r="P65" s="75">
        <f>Tabla2[[#This Row],[VALOR]]-15000</f>
        <v>140000</v>
      </c>
      <c r="Q65" s="75"/>
    </row>
    <row r="66" spans="1:17" x14ac:dyDescent="0.25">
      <c r="B66" s="1">
        <v>63</v>
      </c>
      <c r="C66" s="4" t="s">
        <v>88</v>
      </c>
      <c r="D66" s="1" t="s">
        <v>12</v>
      </c>
      <c r="E66" s="9">
        <v>1010219257</v>
      </c>
      <c r="G66" s="1">
        <v>29</v>
      </c>
      <c r="I66" s="6" t="s">
        <v>13</v>
      </c>
      <c r="J66" s="1" t="s">
        <v>14</v>
      </c>
      <c r="K66" s="6" t="s">
        <v>62</v>
      </c>
      <c r="L66" s="1" t="s">
        <v>142</v>
      </c>
      <c r="M66" s="1">
        <v>30</v>
      </c>
      <c r="N66" s="7">
        <v>155000</v>
      </c>
      <c r="O66" s="7">
        <f>Tabla2[[#This Row],[VALOR]]-15000</f>
        <v>140000</v>
      </c>
      <c r="P66" s="75">
        <f>Tabla2[[#This Row],[VALOR]]-15000</f>
        <v>140000</v>
      </c>
      <c r="Q66" s="75"/>
    </row>
    <row r="67" spans="1:17" x14ac:dyDescent="0.25">
      <c r="A67">
        <v>1</v>
      </c>
      <c r="B67" s="1">
        <v>64</v>
      </c>
      <c r="C67" s="19" t="s">
        <v>93</v>
      </c>
      <c r="D67" s="1" t="s">
        <v>12</v>
      </c>
      <c r="E67" s="9">
        <v>20871590</v>
      </c>
      <c r="F67" s="20">
        <v>25440</v>
      </c>
      <c r="G67" s="1">
        <f>2023-1969</f>
        <v>54</v>
      </c>
      <c r="I67" s="6" t="s">
        <v>13</v>
      </c>
      <c r="J67" s="1" t="s">
        <v>94</v>
      </c>
      <c r="K67" s="6" t="s">
        <v>62</v>
      </c>
      <c r="L67" s="1" t="s">
        <v>142</v>
      </c>
      <c r="M67" s="1">
        <v>31</v>
      </c>
      <c r="N67" s="7">
        <v>155000</v>
      </c>
      <c r="O67" s="7">
        <f>Tabla2[[#This Row],[VALOR]]-15000</f>
        <v>140000</v>
      </c>
      <c r="P67" s="75">
        <f>Tabla2[[#This Row],[VALOR]]-15000</f>
        <v>140000</v>
      </c>
      <c r="Q67" s="75"/>
    </row>
    <row r="68" spans="1:17" x14ac:dyDescent="0.25">
      <c r="A68">
        <v>2</v>
      </c>
      <c r="B68" s="1">
        <v>65</v>
      </c>
      <c r="C68" s="4" t="s">
        <v>95</v>
      </c>
      <c r="D68" s="1" t="s">
        <v>12</v>
      </c>
      <c r="E68" s="7">
        <v>65739648</v>
      </c>
      <c r="F68" s="20">
        <v>24632</v>
      </c>
      <c r="G68" s="1">
        <f>2023-1967</f>
        <v>56</v>
      </c>
      <c r="I68" s="6" t="s">
        <v>13</v>
      </c>
      <c r="J68" s="1" t="s">
        <v>94</v>
      </c>
      <c r="K68" s="6" t="s">
        <v>62</v>
      </c>
      <c r="M68" s="1">
        <v>32</v>
      </c>
      <c r="N68" s="7">
        <v>155000</v>
      </c>
      <c r="O68" s="7">
        <f>Tabla2[[#This Row],[VALOR]]-15000</f>
        <v>140000</v>
      </c>
      <c r="P68" s="75">
        <f>Tabla2[[#This Row],[VALOR]]-15000</f>
        <v>140000</v>
      </c>
      <c r="Q68" s="75"/>
    </row>
    <row r="69" spans="1:17" x14ac:dyDescent="0.25">
      <c r="A69">
        <v>3</v>
      </c>
      <c r="B69" s="1">
        <v>66</v>
      </c>
      <c r="C69" s="4" t="s">
        <v>224</v>
      </c>
      <c r="D69" s="1" t="s">
        <v>12</v>
      </c>
      <c r="E69" s="7">
        <v>18910334</v>
      </c>
      <c r="F69" s="20">
        <v>17635</v>
      </c>
      <c r="G69" s="1">
        <f>2024-1948</f>
        <v>76</v>
      </c>
      <c r="I69" s="6" t="s">
        <v>13</v>
      </c>
      <c r="J69" s="1" t="s">
        <v>94</v>
      </c>
      <c r="K69" s="6" t="s">
        <v>62</v>
      </c>
      <c r="N69" s="7">
        <v>155000</v>
      </c>
      <c r="O69" s="7">
        <f>Tabla2[[#This Row],[VALOR]]-15000</f>
        <v>140000</v>
      </c>
      <c r="P69" s="75">
        <f>Tabla2[[#This Row],[VALOR]]-15000</f>
        <v>140000</v>
      </c>
      <c r="Q69" s="75"/>
    </row>
    <row r="70" spans="1:17" x14ac:dyDescent="0.25">
      <c r="A70">
        <v>4</v>
      </c>
      <c r="B70" s="1">
        <v>67</v>
      </c>
      <c r="C70" s="4" t="s">
        <v>175</v>
      </c>
      <c r="D70" s="1" t="s">
        <v>12</v>
      </c>
      <c r="E70" s="7">
        <v>20869989</v>
      </c>
      <c r="F70" s="21">
        <v>13998</v>
      </c>
      <c r="G70" s="1">
        <f>2024-1938</f>
        <v>86</v>
      </c>
      <c r="I70" s="6" t="s">
        <v>13</v>
      </c>
      <c r="J70" s="1" t="s">
        <v>94</v>
      </c>
      <c r="K70" s="6" t="s">
        <v>62</v>
      </c>
      <c r="L70" s="7">
        <v>110000</v>
      </c>
      <c r="M70" s="1">
        <v>33</v>
      </c>
      <c r="N70" s="7">
        <v>155000</v>
      </c>
      <c r="O70" s="7">
        <f>Tabla2[[#This Row],[VALOR]]-15000</f>
        <v>140000</v>
      </c>
      <c r="P70" s="75">
        <f>Tabla2[[#This Row],[VALOR]]-15000</f>
        <v>140000</v>
      </c>
      <c r="Q70" s="75"/>
    </row>
    <row r="71" spans="1:17" x14ac:dyDescent="0.25">
      <c r="A71">
        <v>5</v>
      </c>
      <c r="B71" s="1">
        <v>68</v>
      </c>
      <c r="C71" s="4" t="s">
        <v>96</v>
      </c>
      <c r="D71" s="1" t="s">
        <v>12</v>
      </c>
      <c r="E71" s="22">
        <v>39561291</v>
      </c>
      <c r="F71" s="20">
        <v>24141</v>
      </c>
      <c r="G71" s="1">
        <f>2024-1966</f>
        <v>58</v>
      </c>
      <c r="I71" s="6" t="s">
        <v>13</v>
      </c>
      <c r="J71" s="1" t="s">
        <v>94</v>
      </c>
      <c r="K71" s="6" t="s">
        <v>62</v>
      </c>
      <c r="L71" s="7">
        <v>100000</v>
      </c>
      <c r="M71" s="1">
        <v>34</v>
      </c>
      <c r="N71" s="7">
        <v>155000</v>
      </c>
      <c r="O71" s="7">
        <f>Tabla2[[#This Row],[VALOR]]-15000</f>
        <v>140000</v>
      </c>
      <c r="P71" s="75">
        <f>Tabla2[[#This Row],[VALOR]]-15000</f>
        <v>140000</v>
      </c>
      <c r="Q71" s="75"/>
    </row>
    <row r="72" spans="1:17" x14ac:dyDescent="0.25">
      <c r="A72">
        <v>6</v>
      </c>
      <c r="B72" s="1">
        <v>69</v>
      </c>
      <c r="C72" s="4" t="s">
        <v>97</v>
      </c>
      <c r="D72" s="1" t="s">
        <v>12</v>
      </c>
      <c r="E72" s="7">
        <v>41331947</v>
      </c>
      <c r="F72" s="20">
        <v>15896</v>
      </c>
      <c r="G72" s="1">
        <f>2023-1943</f>
        <v>80</v>
      </c>
      <c r="I72" s="6" t="s">
        <v>13</v>
      </c>
      <c r="J72" s="1" t="s">
        <v>94</v>
      </c>
      <c r="K72" s="6" t="s">
        <v>62</v>
      </c>
      <c r="L72" s="7">
        <v>100000</v>
      </c>
      <c r="M72" s="1">
        <v>35</v>
      </c>
      <c r="N72" s="7">
        <v>155000</v>
      </c>
      <c r="O72" s="7">
        <f>Tabla2[[#This Row],[VALOR]]-15000</f>
        <v>140000</v>
      </c>
      <c r="P72" s="75">
        <f>Tabla2[[#This Row],[VALOR]]-15000</f>
        <v>140000</v>
      </c>
      <c r="Q72" s="75"/>
    </row>
    <row r="73" spans="1:17" x14ac:dyDescent="0.25">
      <c r="A73">
        <v>7</v>
      </c>
      <c r="B73" s="1">
        <v>70</v>
      </c>
      <c r="C73" s="4" t="s">
        <v>98</v>
      </c>
      <c r="D73" s="1" t="s">
        <v>12</v>
      </c>
      <c r="E73" s="7">
        <v>27971839</v>
      </c>
      <c r="F73" s="20">
        <v>15398</v>
      </c>
      <c r="G73" s="1">
        <f>2024-1942</f>
        <v>82</v>
      </c>
      <c r="I73" s="6" t="s">
        <v>13</v>
      </c>
      <c r="J73" s="1" t="s">
        <v>94</v>
      </c>
      <c r="K73" s="6" t="s">
        <v>62</v>
      </c>
      <c r="L73" s="7" t="s">
        <v>142</v>
      </c>
      <c r="M73" s="1">
        <v>36</v>
      </c>
      <c r="N73" s="7">
        <v>155000</v>
      </c>
      <c r="O73" s="7">
        <f>Tabla2[[#This Row],[VALOR]]-15000</f>
        <v>140000</v>
      </c>
      <c r="P73" s="75">
        <f>Tabla2[[#This Row],[VALOR]]-15000</f>
        <v>140000</v>
      </c>
      <c r="Q73" s="75"/>
    </row>
    <row r="74" spans="1:17" x14ac:dyDescent="0.25">
      <c r="A74">
        <v>8</v>
      </c>
      <c r="B74" s="1">
        <v>71</v>
      </c>
      <c r="C74" s="4" t="s">
        <v>99</v>
      </c>
      <c r="D74" s="1" t="s">
        <v>12</v>
      </c>
      <c r="E74" s="7">
        <v>20278409</v>
      </c>
      <c r="F74" s="20">
        <v>13297</v>
      </c>
      <c r="G74" s="1">
        <f>2023-1936</f>
        <v>87</v>
      </c>
      <c r="I74" s="6" t="s">
        <v>13</v>
      </c>
      <c r="J74" s="1" t="s">
        <v>94</v>
      </c>
      <c r="K74" s="6" t="s">
        <v>62</v>
      </c>
      <c r="L74" s="7" t="s">
        <v>142</v>
      </c>
      <c r="M74" s="1">
        <v>37</v>
      </c>
      <c r="N74" s="7">
        <v>155000</v>
      </c>
      <c r="O74" s="7">
        <f>Tabla2[[#This Row],[VALOR]]-15000</f>
        <v>140000</v>
      </c>
      <c r="P74" s="75">
        <f>Tabla2[[#This Row],[VALOR]]-15000</f>
        <v>140000</v>
      </c>
      <c r="Q74" s="75"/>
    </row>
    <row r="75" spans="1:17" x14ac:dyDescent="0.25">
      <c r="A75">
        <v>9</v>
      </c>
      <c r="B75" s="1">
        <v>72</v>
      </c>
      <c r="C75" s="4" t="s">
        <v>100</v>
      </c>
      <c r="D75" s="1" t="s">
        <v>12</v>
      </c>
      <c r="E75" s="7">
        <v>20871360</v>
      </c>
      <c r="F75" s="20">
        <v>23413</v>
      </c>
      <c r="G75" s="1">
        <f>2024-1964</f>
        <v>60</v>
      </c>
      <c r="I75" s="6" t="s">
        <v>13</v>
      </c>
      <c r="J75" s="1" t="s">
        <v>94</v>
      </c>
      <c r="K75" s="6" t="s">
        <v>62</v>
      </c>
      <c r="L75" s="7" t="s">
        <v>142</v>
      </c>
      <c r="M75" s="1">
        <v>38</v>
      </c>
      <c r="N75" s="7">
        <v>155000</v>
      </c>
      <c r="O75" s="7">
        <f>Tabla2[[#This Row],[VALOR]]-15000</f>
        <v>140000</v>
      </c>
      <c r="P75" s="75">
        <f>Tabla2[[#This Row],[VALOR]]-15000</f>
        <v>140000</v>
      </c>
      <c r="Q75" s="75"/>
    </row>
    <row r="76" spans="1:17" x14ac:dyDescent="0.25">
      <c r="A76">
        <v>10</v>
      </c>
      <c r="B76" s="1">
        <v>73</v>
      </c>
      <c r="C76" s="4" t="s">
        <v>101</v>
      </c>
      <c r="D76" s="1" t="s">
        <v>12</v>
      </c>
      <c r="E76" s="22">
        <v>41432259</v>
      </c>
      <c r="F76" s="20">
        <v>17943</v>
      </c>
      <c r="G76" s="1">
        <f>2024-1949</f>
        <v>75</v>
      </c>
      <c r="I76" s="6" t="s">
        <v>13</v>
      </c>
      <c r="J76" s="1" t="s">
        <v>94</v>
      </c>
      <c r="K76" s="6" t="s">
        <v>62</v>
      </c>
      <c r="L76" s="7" t="s">
        <v>142</v>
      </c>
      <c r="M76" s="1">
        <v>39</v>
      </c>
      <c r="N76" s="7">
        <v>155000</v>
      </c>
      <c r="O76" s="7">
        <f>Tabla2[[#This Row],[VALOR]]-15000</f>
        <v>140000</v>
      </c>
      <c r="P76" s="75">
        <f>Tabla2[[#This Row],[VALOR]]-15000</f>
        <v>140000</v>
      </c>
      <c r="Q76" s="75"/>
    </row>
    <row r="77" spans="1:17" x14ac:dyDescent="0.25">
      <c r="A77">
        <v>11</v>
      </c>
      <c r="B77" s="1">
        <v>74</v>
      </c>
      <c r="C77" s="19" t="s">
        <v>102</v>
      </c>
      <c r="D77" s="1" t="s">
        <v>12</v>
      </c>
      <c r="E77" s="7">
        <v>10248545</v>
      </c>
      <c r="F77" s="20">
        <v>21427</v>
      </c>
      <c r="G77" s="1">
        <f>2023-1958</f>
        <v>65</v>
      </c>
      <c r="I77" s="6" t="s">
        <v>13</v>
      </c>
      <c r="J77" s="1" t="s">
        <v>94</v>
      </c>
      <c r="K77" s="6" t="s">
        <v>62</v>
      </c>
      <c r="L77" s="7" t="s">
        <v>142</v>
      </c>
      <c r="M77" s="1">
        <v>40</v>
      </c>
      <c r="N77" s="7">
        <v>155000</v>
      </c>
      <c r="O77" s="7">
        <f>Tabla2[[#This Row],[VALOR]]-15000</f>
        <v>140000</v>
      </c>
      <c r="P77" s="75">
        <f>Tabla2[[#This Row],[VALOR]]-15000</f>
        <v>140000</v>
      </c>
      <c r="Q77" s="75"/>
    </row>
    <row r="78" spans="1:17" x14ac:dyDescent="0.25">
      <c r="A78">
        <v>12</v>
      </c>
      <c r="B78" s="1">
        <v>75</v>
      </c>
      <c r="C78" s="4" t="s">
        <v>128</v>
      </c>
      <c r="D78" s="1" t="s">
        <v>12</v>
      </c>
      <c r="E78" s="7">
        <v>20614682</v>
      </c>
      <c r="F78" s="21">
        <v>16452</v>
      </c>
      <c r="G78" s="1">
        <f>2024-1945</f>
        <v>79</v>
      </c>
      <c r="I78" s="6" t="s">
        <v>13</v>
      </c>
      <c r="J78" s="1" t="s">
        <v>94</v>
      </c>
      <c r="K78" s="6" t="s">
        <v>62</v>
      </c>
      <c r="L78" s="7" t="s">
        <v>142</v>
      </c>
      <c r="M78" s="1">
        <v>41</v>
      </c>
      <c r="N78" s="7">
        <v>155000</v>
      </c>
      <c r="O78" s="7">
        <f>Tabla2[[#This Row],[VALOR]]-15000</f>
        <v>140000</v>
      </c>
      <c r="P78" s="75">
        <f>Tabla2[[#This Row],[VALOR]]-15000</f>
        <v>140000</v>
      </c>
      <c r="Q78" s="75"/>
    </row>
    <row r="79" spans="1:17" x14ac:dyDescent="0.25">
      <c r="A79">
        <v>13</v>
      </c>
      <c r="B79" s="1">
        <v>76</v>
      </c>
      <c r="C79" s="4" t="s">
        <v>103</v>
      </c>
      <c r="D79" s="1" t="s">
        <v>12</v>
      </c>
      <c r="E79" s="7">
        <v>20871799</v>
      </c>
      <c r="F79" s="20">
        <v>22957</v>
      </c>
      <c r="G79" s="1">
        <f>2023-1962</f>
        <v>61</v>
      </c>
      <c r="I79" s="6" t="s">
        <v>13</v>
      </c>
      <c r="J79" s="1" t="s">
        <v>94</v>
      </c>
      <c r="K79" s="6" t="s">
        <v>62</v>
      </c>
      <c r="L79" s="7" t="s">
        <v>142</v>
      </c>
      <c r="M79" s="1">
        <v>42</v>
      </c>
      <c r="N79" s="7">
        <v>155000</v>
      </c>
      <c r="O79" s="7">
        <f>Tabla2[[#This Row],[VALOR]]-15000</f>
        <v>140000</v>
      </c>
      <c r="P79" s="75">
        <f>Tabla2[[#This Row],[VALOR]]-15000</f>
        <v>140000</v>
      </c>
      <c r="Q79" s="75"/>
    </row>
    <row r="80" spans="1:17" x14ac:dyDescent="0.25">
      <c r="A80">
        <v>14</v>
      </c>
      <c r="B80" s="1">
        <v>77</v>
      </c>
      <c r="C80" s="4" t="s">
        <v>104</v>
      </c>
      <c r="D80" s="1" t="s">
        <v>12</v>
      </c>
      <c r="E80" s="7">
        <v>1030645467</v>
      </c>
      <c r="F80" s="20">
        <v>34489</v>
      </c>
      <c r="G80" s="1">
        <f>2023-1994</f>
        <v>29</v>
      </c>
      <c r="I80" s="6" t="s">
        <v>13</v>
      </c>
      <c r="J80" s="1" t="s">
        <v>94</v>
      </c>
      <c r="K80" s="53" t="s">
        <v>61</v>
      </c>
      <c r="L80" s="7" t="s">
        <v>142</v>
      </c>
      <c r="N80" s="7">
        <v>155000</v>
      </c>
      <c r="O80" s="7">
        <f>Tabla2[[#This Row],[VALOR]]-15000</f>
        <v>140000</v>
      </c>
      <c r="P80" s="75">
        <f>Tabla2[[#This Row],[VALOR]]-15000</f>
        <v>140000</v>
      </c>
      <c r="Q80" s="75"/>
    </row>
    <row r="81" spans="1:17" x14ac:dyDescent="0.25">
      <c r="A81">
        <v>15</v>
      </c>
      <c r="B81" s="1">
        <v>78</v>
      </c>
      <c r="C81" s="4" t="s">
        <v>105</v>
      </c>
      <c r="D81" s="1" t="s">
        <v>31</v>
      </c>
      <c r="E81" s="7">
        <v>1188215947</v>
      </c>
      <c r="F81" s="20">
        <v>40779</v>
      </c>
      <c r="G81" s="1">
        <f>2023-2011</f>
        <v>12</v>
      </c>
      <c r="I81" s="6" t="s">
        <v>13</v>
      </c>
      <c r="J81" s="1" t="s">
        <v>94</v>
      </c>
      <c r="K81" s="57" t="s">
        <v>129</v>
      </c>
      <c r="L81" s="7" t="s">
        <v>142</v>
      </c>
      <c r="N81" s="7">
        <v>155000</v>
      </c>
      <c r="O81" s="7">
        <f>Tabla2[[#This Row],[VALOR]]-15000</f>
        <v>140000</v>
      </c>
      <c r="P81" s="75">
        <f>Tabla2[[#This Row],[VALOR]]-15000</f>
        <v>140000</v>
      </c>
      <c r="Q81" s="75"/>
    </row>
    <row r="82" spans="1:17" x14ac:dyDescent="0.25">
      <c r="A82">
        <v>16</v>
      </c>
      <c r="B82" s="1">
        <v>79</v>
      </c>
      <c r="C82" s="4" t="s">
        <v>106</v>
      </c>
      <c r="D82" s="1" t="s">
        <v>12</v>
      </c>
      <c r="E82" s="22">
        <v>1030554290</v>
      </c>
      <c r="F82" s="20">
        <v>32541</v>
      </c>
      <c r="G82" s="1">
        <f>2024-1989</f>
        <v>35</v>
      </c>
      <c r="I82" s="6" t="s">
        <v>13</v>
      </c>
      <c r="J82" s="1" t="s">
        <v>94</v>
      </c>
      <c r="K82" s="6" t="s">
        <v>62</v>
      </c>
      <c r="L82" s="7" t="s">
        <v>142</v>
      </c>
      <c r="M82" s="1">
        <v>43</v>
      </c>
      <c r="N82" s="7">
        <v>155000</v>
      </c>
      <c r="O82" s="7">
        <f>Tabla2[[#This Row],[VALOR]]-15000</f>
        <v>140000</v>
      </c>
      <c r="P82" s="75">
        <f>Tabla2[[#This Row],[VALOR]]-15000</f>
        <v>140000</v>
      </c>
      <c r="Q82" s="75"/>
    </row>
    <row r="83" spans="1:17" x14ac:dyDescent="0.25">
      <c r="A83">
        <v>17</v>
      </c>
      <c r="B83" s="1">
        <v>80</v>
      </c>
      <c r="C83" s="4" t="s">
        <v>107</v>
      </c>
      <c r="D83" s="1" t="s">
        <v>31</v>
      </c>
      <c r="E83" s="22">
        <v>1023410143</v>
      </c>
      <c r="F83" s="20">
        <v>42629</v>
      </c>
      <c r="G83" s="1">
        <f>2023-2016</f>
        <v>7</v>
      </c>
      <c r="I83" s="6" t="s">
        <v>13</v>
      </c>
      <c r="J83" s="1" t="s">
        <v>94</v>
      </c>
      <c r="K83" s="57" t="s">
        <v>129</v>
      </c>
      <c r="L83" s="7">
        <v>76000</v>
      </c>
      <c r="N83" s="7">
        <v>155000</v>
      </c>
      <c r="O83" s="7">
        <f>Tabla2[[#This Row],[VALOR]]-15000</f>
        <v>140000</v>
      </c>
      <c r="P83" s="75">
        <f>Tabla2[[#This Row],[VALOR]]-15000</f>
        <v>140000</v>
      </c>
      <c r="Q83" s="75"/>
    </row>
    <row r="84" spans="1:17" x14ac:dyDescent="0.25">
      <c r="A84">
        <v>18</v>
      </c>
      <c r="B84" s="1">
        <v>81</v>
      </c>
      <c r="C84" s="4" t="s">
        <v>108</v>
      </c>
      <c r="D84" s="1" t="s">
        <v>12</v>
      </c>
      <c r="E84" s="7">
        <v>6333891</v>
      </c>
      <c r="F84" s="20">
        <v>31231</v>
      </c>
      <c r="G84" s="1">
        <f>2023-1985</f>
        <v>38</v>
      </c>
      <c r="I84" s="6" t="s">
        <v>13</v>
      </c>
      <c r="J84" s="1" t="s">
        <v>94</v>
      </c>
      <c r="K84" s="53" t="s">
        <v>61</v>
      </c>
      <c r="L84" s="7">
        <v>50000</v>
      </c>
      <c r="N84" s="7">
        <v>155000</v>
      </c>
      <c r="O84" s="7">
        <f>Tabla2[[#This Row],[VALOR]]-15000</f>
        <v>140000</v>
      </c>
      <c r="P84" s="75">
        <f>Tabla2[[#This Row],[VALOR]]-15000</f>
        <v>140000</v>
      </c>
      <c r="Q84" s="75"/>
    </row>
    <row r="85" spans="1:17" x14ac:dyDescent="0.25">
      <c r="A85">
        <v>19</v>
      </c>
      <c r="B85" s="1">
        <v>82</v>
      </c>
      <c r="C85" s="19" t="s">
        <v>109</v>
      </c>
      <c r="D85" s="1" t="s">
        <v>12</v>
      </c>
      <c r="E85" s="7">
        <v>20872348</v>
      </c>
      <c r="F85" s="20">
        <v>31066</v>
      </c>
      <c r="G85" s="1">
        <f>2024-1985</f>
        <v>39</v>
      </c>
      <c r="I85" s="6" t="s">
        <v>13</v>
      </c>
      <c r="J85" s="1" t="s">
        <v>94</v>
      </c>
      <c r="K85" s="53" t="s">
        <v>61</v>
      </c>
      <c r="L85" s="7">
        <v>50000</v>
      </c>
      <c r="N85" s="7">
        <v>155000</v>
      </c>
      <c r="O85" s="7">
        <f>Tabla2[[#This Row],[VALOR]]-15000</f>
        <v>140000</v>
      </c>
      <c r="P85" s="75">
        <f>Tabla2[[#This Row],[VALOR]]-15000</f>
        <v>140000</v>
      </c>
      <c r="Q85" s="75"/>
    </row>
    <row r="86" spans="1:17" x14ac:dyDescent="0.25">
      <c r="A86">
        <v>20</v>
      </c>
      <c r="B86" s="1">
        <v>83</v>
      </c>
      <c r="C86" s="19" t="s">
        <v>169</v>
      </c>
      <c r="D86" s="1" t="s">
        <v>31</v>
      </c>
      <c r="E86" s="7">
        <v>1030593363</v>
      </c>
      <c r="F86" s="20">
        <v>39954</v>
      </c>
      <c r="G86" s="1">
        <f>2023-2009</f>
        <v>14</v>
      </c>
      <c r="I86" s="6" t="s">
        <v>13</v>
      </c>
      <c r="J86" s="1" t="s">
        <v>94</v>
      </c>
      <c r="K86" s="53" t="s">
        <v>61</v>
      </c>
      <c r="L86" s="7" t="s">
        <v>142</v>
      </c>
      <c r="N86" s="7">
        <v>155000</v>
      </c>
      <c r="O86" s="7">
        <f>Tabla2[[#This Row],[VALOR]]-15000</f>
        <v>140000</v>
      </c>
      <c r="P86" s="75">
        <f>Tabla2[[#This Row],[VALOR]]-15000</f>
        <v>140000</v>
      </c>
      <c r="Q86" s="75"/>
    </row>
    <row r="87" spans="1:17" x14ac:dyDescent="0.25">
      <c r="A87">
        <v>21</v>
      </c>
      <c r="B87" s="1">
        <v>84</v>
      </c>
      <c r="C87" s="4" t="s">
        <v>110</v>
      </c>
      <c r="D87" s="1" t="s">
        <v>12</v>
      </c>
      <c r="E87" s="7">
        <v>20871480</v>
      </c>
      <c r="F87" s="20">
        <v>24952</v>
      </c>
      <c r="G87" s="1">
        <f>2024-1968</f>
        <v>56</v>
      </c>
      <c r="I87" s="6" t="s">
        <v>13</v>
      </c>
      <c r="J87" s="1" t="s">
        <v>94</v>
      </c>
      <c r="K87" s="6" t="s">
        <v>189</v>
      </c>
      <c r="L87" s="7" t="s">
        <v>142</v>
      </c>
      <c r="M87" s="1">
        <v>44</v>
      </c>
      <c r="N87" s="7">
        <v>155000</v>
      </c>
      <c r="O87" s="7">
        <f>Tabla2[[#This Row],[VALOR]]-15000</f>
        <v>140000</v>
      </c>
      <c r="P87" s="75">
        <f>Tabla2[[#This Row],[VALOR]]-15000</f>
        <v>140000</v>
      </c>
      <c r="Q87" s="75"/>
    </row>
    <row r="88" spans="1:17" x14ac:dyDescent="0.25">
      <c r="A88">
        <v>22</v>
      </c>
      <c r="B88" s="1">
        <v>85</v>
      </c>
      <c r="C88" s="4" t="s">
        <v>111</v>
      </c>
      <c r="D88" s="1" t="s">
        <v>12</v>
      </c>
      <c r="E88" s="7">
        <v>28626506</v>
      </c>
      <c r="F88" s="20">
        <v>14651</v>
      </c>
      <c r="G88" s="1">
        <f>2024-1940</f>
        <v>84</v>
      </c>
      <c r="I88" s="6" t="s">
        <v>13</v>
      </c>
      <c r="J88" s="1" t="s">
        <v>94</v>
      </c>
      <c r="K88" s="6" t="s">
        <v>62</v>
      </c>
      <c r="L88" s="7">
        <v>100000</v>
      </c>
      <c r="M88" s="1">
        <v>45</v>
      </c>
      <c r="N88" s="7">
        <v>155000</v>
      </c>
      <c r="O88" s="7">
        <f>Tabla2[[#This Row],[VALOR]]-15000</f>
        <v>140000</v>
      </c>
      <c r="P88" s="75">
        <f>Tabla2[[#This Row],[VALOR]]-15000</f>
        <v>140000</v>
      </c>
      <c r="Q88" s="75"/>
    </row>
    <row r="89" spans="1:17" x14ac:dyDescent="0.25">
      <c r="A89">
        <v>23</v>
      </c>
      <c r="B89" s="1">
        <v>86</v>
      </c>
      <c r="C89" s="4" t="s">
        <v>112</v>
      </c>
      <c r="D89" s="1" t="s">
        <v>31</v>
      </c>
      <c r="E89" s="7">
        <v>1073629444</v>
      </c>
      <c r="F89" s="20">
        <v>40603</v>
      </c>
      <c r="G89" s="1">
        <f>2024-2011</f>
        <v>13</v>
      </c>
      <c r="I89" s="6" t="s">
        <v>13</v>
      </c>
      <c r="J89" s="1" t="s">
        <v>94</v>
      </c>
      <c r="K89" s="57" t="s">
        <v>129</v>
      </c>
      <c r="L89" s="7">
        <v>100000</v>
      </c>
      <c r="N89" s="7">
        <v>155000</v>
      </c>
      <c r="O89" s="7">
        <f>Tabla2[[#This Row],[VALOR]]-15000</f>
        <v>140000</v>
      </c>
      <c r="P89" s="75">
        <f>Tabla2[[#This Row],[VALOR]]-15000</f>
        <v>140000</v>
      </c>
      <c r="Q89" s="75"/>
    </row>
    <row r="90" spans="1:17" x14ac:dyDescent="0.25">
      <c r="A90">
        <v>24</v>
      </c>
      <c r="B90" s="1">
        <v>87</v>
      </c>
      <c r="C90" s="4" t="s">
        <v>113</v>
      </c>
      <c r="D90" s="1" t="s">
        <v>12</v>
      </c>
      <c r="E90" s="7">
        <v>11451728</v>
      </c>
      <c r="F90" s="20">
        <v>29804</v>
      </c>
      <c r="G90" s="1">
        <f>2023-1981</f>
        <v>42</v>
      </c>
      <c r="I90" s="6" t="s">
        <v>13</v>
      </c>
      <c r="J90" s="1" t="s">
        <v>94</v>
      </c>
      <c r="K90" s="10" t="s">
        <v>60</v>
      </c>
      <c r="L90" s="7">
        <v>100000</v>
      </c>
      <c r="N90" s="7">
        <v>155000</v>
      </c>
      <c r="O90" s="7">
        <f>Tabla2[[#This Row],[VALOR]]-15000</f>
        <v>140000</v>
      </c>
      <c r="P90" s="75">
        <f>Tabla2[[#This Row],[VALOR]]-15000</f>
        <v>140000</v>
      </c>
      <c r="Q90" s="75"/>
    </row>
    <row r="91" spans="1:17" x14ac:dyDescent="0.25">
      <c r="A91">
        <v>25</v>
      </c>
      <c r="B91" s="1">
        <v>88</v>
      </c>
      <c r="C91" s="4" t="s">
        <v>114</v>
      </c>
      <c r="D91" s="1" t="s">
        <v>12</v>
      </c>
      <c r="E91" s="7">
        <v>20872366</v>
      </c>
      <c r="F91" s="18" t="s">
        <v>115</v>
      </c>
      <c r="G91" s="1">
        <f>2023-1985</f>
        <v>38</v>
      </c>
      <c r="I91" s="6" t="s">
        <v>13</v>
      </c>
      <c r="J91" s="1" t="s">
        <v>94</v>
      </c>
      <c r="K91" s="15" t="s">
        <v>130</v>
      </c>
      <c r="L91" s="7">
        <v>100000</v>
      </c>
      <c r="N91" s="7">
        <v>155000</v>
      </c>
      <c r="O91" s="7">
        <f>Tabla2[[#This Row],[VALOR]]-15000</f>
        <v>140000</v>
      </c>
      <c r="P91" s="75">
        <f>Tabla2[[#This Row],[VALOR]]-15000</f>
        <v>140000</v>
      </c>
      <c r="Q91" s="75"/>
    </row>
    <row r="92" spans="1:17" x14ac:dyDescent="0.25">
      <c r="A92">
        <v>26</v>
      </c>
      <c r="B92" s="1">
        <v>89</v>
      </c>
      <c r="C92" s="4" t="s">
        <v>116</v>
      </c>
      <c r="D92" s="1" t="s">
        <v>12</v>
      </c>
      <c r="E92" s="7">
        <v>51651341</v>
      </c>
      <c r="F92" s="20">
        <v>22405</v>
      </c>
      <c r="G92" s="1">
        <f>2024-1961</f>
        <v>63</v>
      </c>
      <c r="I92" s="6" t="s">
        <v>13</v>
      </c>
      <c r="J92" s="1" t="s">
        <v>94</v>
      </c>
      <c r="K92" s="6" t="s">
        <v>62</v>
      </c>
      <c r="M92" s="1">
        <v>46</v>
      </c>
      <c r="N92" s="7">
        <v>155000</v>
      </c>
      <c r="O92" s="7">
        <f>Tabla2[[#This Row],[VALOR]]-15000</f>
        <v>140000</v>
      </c>
      <c r="P92" s="75">
        <f>Tabla2[[#This Row],[VALOR]]-15000</f>
        <v>140000</v>
      </c>
      <c r="Q92" s="75"/>
    </row>
    <row r="93" spans="1:17" x14ac:dyDescent="0.25">
      <c r="A93">
        <v>27</v>
      </c>
      <c r="B93" s="1">
        <v>90</v>
      </c>
      <c r="C93" s="4" t="s">
        <v>117</v>
      </c>
      <c r="D93" s="1" t="s">
        <v>12</v>
      </c>
      <c r="E93" s="22">
        <v>51954742</v>
      </c>
      <c r="F93" s="20">
        <v>25474</v>
      </c>
      <c r="G93" s="1">
        <f>2023-1969</f>
        <v>54</v>
      </c>
      <c r="I93" s="6" t="s">
        <v>13</v>
      </c>
      <c r="J93" s="1" t="s">
        <v>94</v>
      </c>
      <c r="K93" s="6" t="s">
        <v>62</v>
      </c>
      <c r="L93" s="7" t="s">
        <v>142</v>
      </c>
      <c r="M93" s="1">
        <v>47</v>
      </c>
      <c r="N93" s="7">
        <v>155000</v>
      </c>
      <c r="O93" s="7">
        <f>Tabla2[[#This Row],[VALOR]]-15000</f>
        <v>140000</v>
      </c>
      <c r="P93" s="75">
        <f>Tabla2[[#This Row],[VALOR]]-15000</f>
        <v>140000</v>
      </c>
      <c r="Q93" s="75"/>
    </row>
    <row r="94" spans="1:17" x14ac:dyDescent="0.25">
      <c r="A94">
        <v>28</v>
      </c>
      <c r="B94" s="1">
        <v>91</v>
      </c>
      <c r="C94" s="19" t="s">
        <v>118</v>
      </c>
      <c r="D94" s="1" t="s">
        <v>12</v>
      </c>
      <c r="E94" s="7">
        <v>39558486</v>
      </c>
      <c r="F94" s="20">
        <v>23826</v>
      </c>
      <c r="G94" s="1">
        <f>2024-1965</f>
        <v>59</v>
      </c>
      <c r="I94" s="6" t="s">
        <v>13</v>
      </c>
      <c r="J94" s="1" t="s">
        <v>94</v>
      </c>
      <c r="K94" s="6" t="s">
        <v>62</v>
      </c>
      <c r="L94" s="7" t="s">
        <v>142</v>
      </c>
      <c r="M94" s="1">
        <v>48</v>
      </c>
      <c r="N94" s="7">
        <v>155000</v>
      </c>
      <c r="O94" s="7">
        <f>Tabla2[[#This Row],[VALOR]]-15000</f>
        <v>140000</v>
      </c>
      <c r="P94" s="75">
        <f>Tabla2[[#This Row],[VALOR]]-15000</f>
        <v>140000</v>
      </c>
      <c r="Q94" s="75"/>
    </row>
    <row r="95" spans="1:17" x14ac:dyDescent="0.25">
      <c r="A95">
        <v>29</v>
      </c>
      <c r="B95" s="1">
        <v>92</v>
      </c>
      <c r="C95" s="4" t="s">
        <v>119</v>
      </c>
      <c r="D95" s="1" t="s">
        <v>12</v>
      </c>
      <c r="E95" s="7">
        <v>41727190</v>
      </c>
      <c r="F95" s="20">
        <v>21310</v>
      </c>
      <c r="G95" s="1">
        <f>2024-1958</f>
        <v>66</v>
      </c>
      <c r="I95" s="6" t="s">
        <v>13</v>
      </c>
      <c r="J95" s="1" t="s">
        <v>94</v>
      </c>
      <c r="K95" s="6" t="s">
        <v>62</v>
      </c>
      <c r="L95" s="7" t="s">
        <v>142</v>
      </c>
      <c r="M95" s="1">
        <v>49</v>
      </c>
      <c r="N95" s="7">
        <v>155000</v>
      </c>
      <c r="O95" s="7">
        <f>Tabla2[[#This Row],[VALOR]]-15000</f>
        <v>140000</v>
      </c>
      <c r="P95" s="75">
        <f>Tabla2[[#This Row],[VALOR]]-15000</f>
        <v>140000</v>
      </c>
      <c r="Q95" s="75"/>
    </row>
    <row r="96" spans="1:17" x14ac:dyDescent="0.25">
      <c r="A96">
        <v>30</v>
      </c>
      <c r="B96" s="1">
        <v>93</v>
      </c>
      <c r="C96" s="4" t="s">
        <v>190</v>
      </c>
      <c r="D96" s="1" t="s">
        <v>12</v>
      </c>
      <c r="E96" s="7">
        <v>20617525</v>
      </c>
      <c r="F96" s="20">
        <v>18909</v>
      </c>
      <c r="G96" s="1">
        <f>2023-1951</f>
        <v>72</v>
      </c>
      <c r="I96" s="6" t="s">
        <v>13</v>
      </c>
      <c r="J96" s="1" t="s">
        <v>94</v>
      </c>
      <c r="K96" s="6" t="s">
        <v>62</v>
      </c>
      <c r="L96" s="1" t="s">
        <v>142</v>
      </c>
      <c r="M96" s="1">
        <v>50</v>
      </c>
      <c r="N96" s="7">
        <v>155000</v>
      </c>
      <c r="O96" s="7">
        <f>Tabla2[[#This Row],[VALOR]]-15000</f>
        <v>140000</v>
      </c>
      <c r="P96" s="75">
        <f>Tabla2[[#This Row],[VALOR]]-15000</f>
        <v>140000</v>
      </c>
      <c r="Q96" s="75"/>
    </row>
    <row r="97" spans="1:24" x14ac:dyDescent="0.25">
      <c r="A97">
        <v>31</v>
      </c>
      <c r="B97" s="1">
        <v>94</v>
      </c>
      <c r="C97" s="19" t="s">
        <v>120</v>
      </c>
      <c r="D97" s="1" t="s">
        <v>12</v>
      </c>
      <c r="E97" s="7">
        <v>43043664</v>
      </c>
      <c r="F97" s="20">
        <v>23086</v>
      </c>
      <c r="G97" s="1">
        <f>2024-1963</f>
        <v>61</v>
      </c>
      <c r="I97" s="6" t="s">
        <v>13</v>
      </c>
      <c r="J97" s="1" t="s">
        <v>94</v>
      </c>
      <c r="K97" s="15" t="s">
        <v>130</v>
      </c>
      <c r="L97" s="7">
        <v>100000</v>
      </c>
      <c r="N97" s="7">
        <v>155000</v>
      </c>
      <c r="O97" s="7">
        <f>Tabla2[[#This Row],[VALOR]]-15000</f>
        <v>140000</v>
      </c>
      <c r="P97" s="75">
        <f>Tabla2[[#This Row],[VALOR]]-15000</f>
        <v>140000</v>
      </c>
      <c r="Q97" s="75"/>
    </row>
    <row r="98" spans="1:24" x14ac:dyDescent="0.25">
      <c r="A98">
        <v>32</v>
      </c>
      <c r="B98" s="1">
        <v>95</v>
      </c>
      <c r="C98" s="4" t="s">
        <v>121</v>
      </c>
      <c r="D98" s="1" t="s">
        <v>12</v>
      </c>
      <c r="E98" s="7">
        <v>41600310</v>
      </c>
      <c r="F98" s="1" t="s">
        <v>82</v>
      </c>
      <c r="G98" s="1">
        <v>72</v>
      </c>
      <c r="I98" s="6" t="s">
        <v>13</v>
      </c>
      <c r="J98" s="1" t="s">
        <v>94</v>
      </c>
      <c r="K98" s="6" t="s">
        <v>62</v>
      </c>
      <c r="L98" s="1" t="s">
        <v>142</v>
      </c>
      <c r="M98" s="1">
        <v>51</v>
      </c>
      <c r="N98" s="7">
        <v>155000</v>
      </c>
      <c r="O98" s="7">
        <f>Tabla2[[#This Row],[VALOR]]-15000</f>
        <v>140000</v>
      </c>
      <c r="P98" s="75">
        <f>Tabla2[[#This Row],[VALOR]]-15000</f>
        <v>140000</v>
      </c>
      <c r="Q98" s="75"/>
    </row>
    <row r="99" spans="1:24" x14ac:dyDescent="0.25">
      <c r="A99">
        <v>33</v>
      </c>
      <c r="B99" s="1">
        <v>96</v>
      </c>
      <c r="C99" s="4" t="s">
        <v>122</v>
      </c>
      <c r="D99" s="1" t="s">
        <v>12</v>
      </c>
      <c r="E99" s="7">
        <v>14248202</v>
      </c>
      <c r="F99" s="1" t="s">
        <v>83</v>
      </c>
      <c r="G99" s="1">
        <v>78</v>
      </c>
      <c r="I99" s="6" t="s">
        <v>13</v>
      </c>
      <c r="J99" s="1" t="s">
        <v>94</v>
      </c>
      <c r="K99" s="6" t="s">
        <v>62</v>
      </c>
      <c r="L99" s="1" t="s">
        <v>142</v>
      </c>
      <c r="M99" s="1">
        <v>52</v>
      </c>
      <c r="N99" s="7">
        <v>155000</v>
      </c>
      <c r="O99" s="7">
        <f>Tabla2[[#This Row],[VALOR]]-15000</f>
        <v>140000</v>
      </c>
      <c r="P99" s="75">
        <f>Tabla2[[#This Row],[VALOR]]-15000</f>
        <v>140000</v>
      </c>
      <c r="Q99" s="75"/>
    </row>
    <row r="100" spans="1:24" x14ac:dyDescent="0.25">
      <c r="A100">
        <v>34</v>
      </c>
      <c r="B100" s="1">
        <v>97</v>
      </c>
      <c r="C100" s="4" t="s">
        <v>123</v>
      </c>
      <c r="D100" s="1" t="s">
        <v>12</v>
      </c>
      <c r="E100" s="7">
        <v>21017230</v>
      </c>
      <c r="F100" t="s">
        <v>124</v>
      </c>
      <c r="G100" s="1">
        <v>58</v>
      </c>
      <c r="I100" s="6" t="s">
        <v>13</v>
      </c>
      <c r="J100" s="1" t="s">
        <v>94</v>
      </c>
      <c r="K100" s="53" t="s">
        <v>61</v>
      </c>
      <c r="L100" s="1" t="s">
        <v>142</v>
      </c>
      <c r="N100" s="7">
        <v>155000</v>
      </c>
      <c r="O100" s="7">
        <f>Tabla2[[#This Row],[VALOR]]-15000</f>
        <v>140000</v>
      </c>
      <c r="P100" s="75">
        <f>Tabla2[[#This Row],[VALOR]]-15000</f>
        <v>140000</v>
      </c>
      <c r="Q100" s="75"/>
    </row>
    <row r="101" spans="1:24" x14ac:dyDescent="0.25">
      <c r="A101">
        <v>35</v>
      </c>
      <c r="B101" s="1">
        <v>98</v>
      </c>
      <c r="C101" s="4" t="s">
        <v>125</v>
      </c>
      <c r="D101" s="1" t="s">
        <v>12</v>
      </c>
      <c r="E101" s="7">
        <v>1193518169</v>
      </c>
      <c r="F101" s="20">
        <v>37040</v>
      </c>
      <c r="G101" s="1">
        <f>2023-2001</f>
        <v>22</v>
      </c>
      <c r="I101" s="6" t="s">
        <v>13</v>
      </c>
      <c r="J101" s="1" t="s">
        <v>94</v>
      </c>
      <c r="K101" s="53" t="s">
        <v>61</v>
      </c>
      <c r="L101" s="1" t="s">
        <v>142</v>
      </c>
      <c r="N101" s="7">
        <v>155000</v>
      </c>
      <c r="O101" s="7">
        <f>Tabla2[[#This Row],[VALOR]]-15000</f>
        <v>140000</v>
      </c>
      <c r="P101" s="75">
        <f>Tabla2[[#This Row],[VALOR]]-15000</f>
        <v>140000</v>
      </c>
      <c r="Q101" s="75"/>
    </row>
    <row r="102" spans="1:24" x14ac:dyDescent="0.25">
      <c r="A102">
        <v>36</v>
      </c>
      <c r="B102" s="1">
        <v>99</v>
      </c>
      <c r="C102" s="8" t="s">
        <v>131</v>
      </c>
      <c r="D102" s="1" t="s">
        <v>12</v>
      </c>
      <c r="E102" s="7">
        <v>39424382</v>
      </c>
      <c r="F102" s="20">
        <v>30124</v>
      </c>
      <c r="G102" s="1">
        <f>2023-1982</f>
        <v>41</v>
      </c>
      <c r="I102" s="48" t="s">
        <v>212</v>
      </c>
      <c r="J102" s="1" t="s">
        <v>94</v>
      </c>
      <c r="K102" s="6" t="s">
        <v>62</v>
      </c>
      <c r="L102" s="1" t="s">
        <v>142</v>
      </c>
      <c r="M102" s="1">
        <v>53</v>
      </c>
      <c r="N102" s="7">
        <v>155000</v>
      </c>
      <c r="O102" s="7">
        <f>Tabla2[[#This Row],[VALOR]]-15000</f>
        <v>140000</v>
      </c>
      <c r="P102" s="75">
        <f>Tabla2[[#This Row],[VALOR]]-15000</f>
        <v>140000</v>
      </c>
      <c r="Q102" s="75"/>
    </row>
    <row r="103" spans="1:24" x14ac:dyDescent="0.25">
      <c r="A103">
        <v>37</v>
      </c>
      <c r="B103" s="1">
        <v>100</v>
      </c>
      <c r="C103" s="8" t="s">
        <v>188</v>
      </c>
      <c r="D103" s="1" t="s">
        <v>12</v>
      </c>
      <c r="E103" s="7">
        <v>7128185</v>
      </c>
      <c r="F103" s="20">
        <v>28827</v>
      </c>
      <c r="G103" s="1">
        <f>2023-1978</f>
        <v>45</v>
      </c>
      <c r="I103" s="48" t="s">
        <v>212</v>
      </c>
      <c r="J103" s="1" t="s">
        <v>94</v>
      </c>
      <c r="K103" s="53" t="s">
        <v>61</v>
      </c>
      <c r="N103" s="7">
        <v>155000</v>
      </c>
      <c r="O103" s="7">
        <f>Tabla2[[#This Row],[VALOR]]-15000</f>
        <v>140000</v>
      </c>
      <c r="P103" s="75">
        <f>Tabla2[[#This Row],[VALOR]]-15000</f>
        <v>140000</v>
      </c>
      <c r="Q103" s="75"/>
    </row>
    <row r="104" spans="1:24" x14ac:dyDescent="0.25">
      <c r="A104">
        <v>38</v>
      </c>
      <c r="B104" s="1">
        <v>101</v>
      </c>
      <c r="C104" s="8" t="s">
        <v>229</v>
      </c>
      <c r="D104" s="1" t="s">
        <v>31</v>
      </c>
      <c r="E104" s="7">
        <v>1072101477</v>
      </c>
      <c r="F104" s="20">
        <v>39841</v>
      </c>
      <c r="G104" s="1">
        <f>2024-2009</f>
        <v>15</v>
      </c>
      <c r="I104" s="48" t="s">
        <v>212</v>
      </c>
      <c r="J104" s="1" t="s">
        <v>94</v>
      </c>
      <c r="K104" s="57" t="s">
        <v>129</v>
      </c>
      <c r="N104" s="7">
        <v>155000</v>
      </c>
      <c r="O104" s="7">
        <f>Tabla2[[#This Row],[VALOR]]-15000</f>
        <v>140000</v>
      </c>
      <c r="P104" s="75">
        <f>Tabla2[[#This Row],[VALOR]]-15000</f>
        <v>140000</v>
      </c>
      <c r="Q104" s="75"/>
    </row>
    <row r="105" spans="1:24" x14ac:dyDescent="0.25">
      <c r="A105">
        <v>39</v>
      </c>
      <c r="B105" s="1">
        <v>102</v>
      </c>
      <c r="C105" s="8" t="s">
        <v>214</v>
      </c>
      <c r="D105" s="1" t="s">
        <v>31</v>
      </c>
      <c r="E105" s="7">
        <v>1073630258</v>
      </c>
      <c r="F105" s="20">
        <v>42176</v>
      </c>
      <c r="G105" s="1">
        <f>2023-2015</f>
        <v>8</v>
      </c>
      <c r="I105" s="48" t="s">
        <v>212</v>
      </c>
      <c r="J105" s="1" t="s">
        <v>94</v>
      </c>
      <c r="K105" s="53" t="s">
        <v>61</v>
      </c>
      <c r="M105" s="1">
        <v>54</v>
      </c>
      <c r="N105" s="7">
        <v>155000</v>
      </c>
      <c r="O105" s="7">
        <f>Tabla2[[#This Row],[VALOR]]-15000</f>
        <v>140000</v>
      </c>
      <c r="P105" s="75">
        <f>Tabla2[[#This Row],[VALOR]]-15000</f>
        <v>140000</v>
      </c>
      <c r="Q105" s="75"/>
    </row>
    <row r="106" spans="1:24" x14ac:dyDescent="0.25">
      <c r="A106">
        <v>40</v>
      </c>
      <c r="B106" s="1">
        <v>103</v>
      </c>
      <c r="C106" s="8" t="s">
        <v>213</v>
      </c>
      <c r="D106" s="1" t="s">
        <v>31</v>
      </c>
      <c r="E106" s="7">
        <v>1073629758</v>
      </c>
      <c r="F106" s="20">
        <v>41250</v>
      </c>
      <c r="G106" s="1">
        <f>2023-2012</f>
        <v>11</v>
      </c>
      <c r="I106" s="48" t="s">
        <v>212</v>
      </c>
      <c r="J106" s="1" t="s">
        <v>94</v>
      </c>
      <c r="K106" s="53" t="s">
        <v>61</v>
      </c>
      <c r="N106" s="7">
        <v>155000</v>
      </c>
      <c r="O106" s="7">
        <f>Tabla2[[#This Row],[VALOR]]-15000</f>
        <v>140000</v>
      </c>
      <c r="P106" s="75">
        <f>Tabla2[[#This Row],[VALOR]]-15000</f>
        <v>140000</v>
      </c>
      <c r="Q106" s="75"/>
    </row>
    <row r="107" spans="1:24" x14ac:dyDescent="0.25">
      <c r="A107">
        <v>41</v>
      </c>
      <c r="B107" s="1">
        <v>104</v>
      </c>
      <c r="C107" s="11" t="s">
        <v>126</v>
      </c>
      <c r="D107" s="1" t="s">
        <v>12</v>
      </c>
      <c r="E107" s="7">
        <v>39420287</v>
      </c>
      <c r="F107" s="20">
        <v>29063</v>
      </c>
      <c r="G107" s="1">
        <f>2023-1979</f>
        <v>44</v>
      </c>
      <c r="I107" s="12" t="s">
        <v>22</v>
      </c>
      <c r="J107" s="1" t="s">
        <v>94</v>
      </c>
      <c r="K107" s="6" t="s">
        <v>62</v>
      </c>
      <c r="L107" s="1" t="s">
        <v>142</v>
      </c>
      <c r="M107" s="1">
        <v>55</v>
      </c>
      <c r="N107" s="7">
        <v>155000</v>
      </c>
      <c r="O107" s="7">
        <f>Tabla2[[#This Row],[VALOR]]-15000</f>
        <v>140000</v>
      </c>
      <c r="P107" s="75">
        <f>Tabla2[[#This Row],[VALOR]]-15000</f>
        <v>140000</v>
      </c>
      <c r="Q107" s="75"/>
    </row>
    <row r="108" spans="1:24" x14ac:dyDescent="0.25">
      <c r="A108">
        <v>42</v>
      </c>
      <c r="B108" s="1">
        <v>105</v>
      </c>
      <c r="C108" s="11" t="s">
        <v>127</v>
      </c>
      <c r="D108" s="1" t="s">
        <v>31</v>
      </c>
      <c r="E108" s="7">
        <v>1028014237</v>
      </c>
      <c r="F108" s="20">
        <v>40759</v>
      </c>
      <c r="G108" s="1">
        <f>2023-2011</f>
        <v>12</v>
      </c>
      <c r="I108" s="12" t="s">
        <v>22</v>
      </c>
      <c r="J108" s="1" t="s">
        <v>94</v>
      </c>
      <c r="K108" s="57" t="s">
        <v>129</v>
      </c>
      <c r="L108" s="1" t="s">
        <v>142</v>
      </c>
      <c r="N108" s="7">
        <v>155000</v>
      </c>
      <c r="O108" s="7">
        <f>Tabla2[[#This Row],[VALOR]]-15000</f>
        <v>140000</v>
      </c>
      <c r="P108" s="75">
        <f>Tabla2[[#This Row],[VALOR]]-15000</f>
        <v>140000</v>
      </c>
      <c r="Q108" s="75"/>
    </row>
    <row r="109" spans="1:24" x14ac:dyDescent="0.25">
      <c r="A109">
        <v>43</v>
      </c>
      <c r="B109" s="1">
        <v>106</v>
      </c>
      <c r="C109" s="19" t="s">
        <v>170</v>
      </c>
      <c r="D109" s="1" t="s">
        <v>12</v>
      </c>
      <c r="E109" s="22">
        <v>39656450</v>
      </c>
      <c r="F109" s="21">
        <v>25962</v>
      </c>
      <c r="G109" s="1">
        <f>2024-1971</f>
        <v>53</v>
      </c>
      <c r="I109" s="6" t="s">
        <v>13</v>
      </c>
      <c r="J109" s="1" t="s">
        <v>94</v>
      </c>
      <c r="K109" s="6" t="s">
        <v>62</v>
      </c>
      <c r="L109" s="1" t="s">
        <v>142</v>
      </c>
      <c r="M109" s="1">
        <v>56</v>
      </c>
      <c r="N109" s="7">
        <v>155000</v>
      </c>
      <c r="O109" s="7">
        <f>Tabla2[[#This Row],[VALOR]]-15000</f>
        <v>140000</v>
      </c>
      <c r="P109" s="75">
        <f>Tabla2[[#This Row],[VALOR]]-15000</f>
        <v>140000</v>
      </c>
      <c r="Q109" s="75"/>
    </row>
    <row r="110" spans="1:24" x14ac:dyDescent="0.25">
      <c r="A110">
        <v>44</v>
      </c>
      <c r="B110" s="1">
        <v>107</v>
      </c>
      <c r="C110" s="19" t="s">
        <v>171</v>
      </c>
      <c r="D110" s="1" t="s">
        <v>12</v>
      </c>
      <c r="E110" s="9">
        <v>19488559</v>
      </c>
      <c r="F110" s="5">
        <v>22678</v>
      </c>
      <c r="G110" s="1">
        <f>2024-1962</f>
        <v>62</v>
      </c>
      <c r="I110" s="6" t="s">
        <v>13</v>
      </c>
      <c r="J110" s="1" t="s">
        <v>94</v>
      </c>
      <c r="K110" s="6" t="s">
        <v>62</v>
      </c>
      <c r="L110" s="1" t="s">
        <v>142</v>
      </c>
      <c r="M110" s="1">
        <v>57</v>
      </c>
      <c r="N110" s="7">
        <v>155000</v>
      </c>
      <c r="O110" s="7">
        <f>Tabla2[[#This Row],[VALOR]]-15000</f>
        <v>140000</v>
      </c>
      <c r="P110" s="75">
        <f>Tabla2[[#This Row],[VALOR]]-15000</f>
        <v>140000</v>
      </c>
      <c r="Q110" s="75"/>
      <c r="T110" s="69"/>
      <c r="U110" s="69"/>
      <c r="X110" s="73"/>
    </row>
    <row r="111" spans="1:24" x14ac:dyDescent="0.25">
      <c r="A111">
        <v>45</v>
      </c>
      <c r="B111" s="1">
        <v>108</v>
      </c>
      <c r="C111" s="38" t="s">
        <v>176</v>
      </c>
      <c r="D111" s="1" t="s">
        <v>12</v>
      </c>
      <c r="E111" s="9">
        <v>19442454</v>
      </c>
      <c r="F111" s="5">
        <v>21996</v>
      </c>
      <c r="G111" s="1">
        <f>2024-1960</f>
        <v>64</v>
      </c>
      <c r="I111" s="6" t="s">
        <v>13</v>
      </c>
      <c r="J111" s="1" t="s">
        <v>94</v>
      </c>
      <c r="K111" s="10" t="s">
        <v>60</v>
      </c>
      <c r="L111" s="7">
        <v>100000</v>
      </c>
      <c r="N111" s="7">
        <v>155000</v>
      </c>
      <c r="O111" s="7">
        <f>Tabla2[[#This Row],[VALOR]]-15000</f>
        <v>140000</v>
      </c>
      <c r="P111" s="75">
        <f>Tabla2[[#This Row],[VALOR]]-15000</f>
        <v>140000</v>
      </c>
      <c r="Q111" s="75"/>
      <c r="T111" s="69"/>
      <c r="U111" s="69"/>
      <c r="X111" s="73"/>
    </row>
    <row r="112" spans="1:24" x14ac:dyDescent="0.25">
      <c r="A112">
        <v>46</v>
      </c>
      <c r="B112" s="1">
        <v>109</v>
      </c>
      <c r="C112" s="38" t="s">
        <v>177</v>
      </c>
      <c r="D112" s="1" t="s">
        <v>12</v>
      </c>
      <c r="E112" s="9">
        <v>20871909</v>
      </c>
      <c r="F112" s="5">
        <v>26886</v>
      </c>
      <c r="G112" s="1">
        <f>2023-1973</f>
        <v>50</v>
      </c>
      <c r="I112" s="6" t="s">
        <v>13</v>
      </c>
      <c r="J112" s="1" t="s">
        <v>94</v>
      </c>
      <c r="K112" s="6" t="s">
        <v>62</v>
      </c>
      <c r="L112" s="1" t="s">
        <v>142</v>
      </c>
      <c r="M112" s="1">
        <v>58</v>
      </c>
      <c r="N112" s="7">
        <v>155000</v>
      </c>
      <c r="O112" s="7">
        <f>Tabla2[[#This Row],[VALOR]]-15000</f>
        <v>140000</v>
      </c>
      <c r="P112" s="75">
        <f>Tabla2[[#This Row],[VALOR]]-15000</f>
        <v>140000</v>
      </c>
      <c r="Q112" s="75"/>
      <c r="T112" s="69"/>
      <c r="U112" s="69"/>
      <c r="X112" s="73"/>
    </row>
    <row r="113" spans="1:28" x14ac:dyDescent="0.25">
      <c r="A113">
        <v>47</v>
      </c>
      <c r="B113" s="1">
        <v>110</v>
      </c>
      <c r="C113" s="38" t="s">
        <v>215</v>
      </c>
      <c r="D113" s="1" t="s">
        <v>187</v>
      </c>
      <c r="E113" s="9">
        <v>20871311</v>
      </c>
      <c r="F113" s="5">
        <v>23666</v>
      </c>
      <c r="G113" s="1">
        <f>2023-1964</f>
        <v>59</v>
      </c>
      <c r="I113" s="6" t="s">
        <v>13</v>
      </c>
      <c r="J113" s="1" t="s">
        <v>94</v>
      </c>
      <c r="K113" s="6" t="s">
        <v>62</v>
      </c>
      <c r="M113" s="1">
        <v>59</v>
      </c>
      <c r="N113" s="7">
        <v>155000</v>
      </c>
      <c r="O113" s="7">
        <f>Tabla2[[#This Row],[VALOR]]-15000</f>
        <v>140000</v>
      </c>
      <c r="P113" s="75">
        <f>Tabla2[[#This Row],[VALOR]]-15000</f>
        <v>140000</v>
      </c>
      <c r="Q113" s="75"/>
      <c r="T113" s="69"/>
      <c r="U113" s="69"/>
      <c r="X113" s="73"/>
    </row>
    <row r="114" spans="1:28" x14ac:dyDescent="0.25">
      <c r="A114">
        <v>48</v>
      </c>
      <c r="B114" s="1">
        <v>111</v>
      </c>
      <c r="C114" s="38" t="s">
        <v>225</v>
      </c>
      <c r="D114" s="1" t="s">
        <v>187</v>
      </c>
      <c r="E114" s="9">
        <v>21016560</v>
      </c>
      <c r="F114" s="5">
        <v>25997</v>
      </c>
      <c r="G114" s="1">
        <f>2024-1971</f>
        <v>53</v>
      </c>
      <c r="I114" s="6" t="s">
        <v>13</v>
      </c>
      <c r="J114" s="1" t="s">
        <v>94</v>
      </c>
      <c r="K114" s="6" t="s">
        <v>62</v>
      </c>
      <c r="M114" s="1">
        <v>60</v>
      </c>
      <c r="N114" s="7">
        <v>155000</v>
      </c>
      <c r="O114" s="7">
        <f>Tabla2[[#This Row],[VALOR]]-15000</f>
        <v>140000</v>
      </c>
      <c r="P114" s="75">
        <f>Tabla2[[#This Row],[VALOR]]-15000</f>
        <v>140000</v>
      </c>
      <c r="Q114" s="75"/>
      <c r="T114" s="69"/>
      <c r="U114" s="69"/>
      <c r="X114" s="73"/>
    </row>
    <row r="115" spans="1:28" s="34" customFormat="1" ht="15.75" thickBot="1" x14ac:dyDescent="0.3">
      <c r="A115">
        <v>49</v>
      </c>
      <c r="B115" s="1">
        <v>112</v>
      </c>
      <c r="C115" s="39" t="s">
        <v>178</v>
      </c>
      <c r="D115" s="26" t="s">
        <v>12</v>
      </c>
      <c r="E115" s="31">
        <v>20871462</v>
      </c>
      <c r="F115" s="29">
        <v>24788</v>
      </c>
      <c r="G115" s="26">
        <f>2023-1967</f>
        <v>56</v>
      </c>
      <c r="H115" s="26"/>
      <c r="I115" s="33" t="s">
        <v>13</v>
      </c>
      <c r="J115" s="26" t="s">
        <v>94</v>
      </c>
      <c r="K115" s="30" t="s">
        <v>60</v>
      </c>
      <c r="L115" s="40">
        <v>40000</v>
      </c>
      <c r="M115" s="26"/>
      <c r="N115" s="7">
        <v>155000</v>
      </c>
      <c r="O115" s="40">
        <f>Tabla2[[#This Row],[VALOR]]-15000</f>
        <v>140000</v>
      </c>
      <c r="P115" s="75">
        <f>Tabla2[[#This Row],[VALOR]]-15000</f>
        <v>140000</v>
      </c>
      <c r="Q115" s="81"/>
      <c r="R115"/>
      <c r="S115"/>
      <c r="T115" s="69"/>
      <c r="U115" s="69"/>
      <c r="V115"/>
      <c r="W115"/>
      <c r="X115" s="73"/>
      <c r="Y115"/>
      <c r="Z115"/>
      <c r="AA115"/>
      <c r="AB115"/>
    </row>
    <row r="116" spans="1:28" x14ac:dyDescent="0.25">
      <c r="B116" s="1">
        <v>113</v>
      </c>
      <c r="C116" s="4" t="s">
        <v>132</v>
      </c>
      <c r="D116" s="1" t="s">
        <v>12</v>
      </c>
      <c r="E116" s="3">
        <v>20871803</v>
      </c>
      <c r="G116" s="1">
        <v>51</v>
      </c>
      <c r="H116" s="1">
        <v>3143457528</v>
      </c>
      <c r="I116" s="6" t="s">
        <v>13</v>
      </c>
      <c r="J116" s="1" t="s">
        <v>14</v>
      </c>
      <c r="K116" s="53" t="s">
        <v>61</v>
      </c>
      <c r="L116" s="7">
        <v>60000</v>
      </c>
      <c r="N116" s="7">
        <v>155000</v>
      </c>
      <c r="O116" s="7">
        <f>Tabla2[[#This Row],[VALOR]]-15000</f>
        <v>140000</v>
      </c>
      <c r="P116" s="75">
        <f>Tabla2[[#This Row],[VALOR]]-15000</f>
        <v>140000</v>
      </c>
      <c r="Q116" s="75"/>
      <c r="T116" s="69"/>
      <c r="U116" s="69"/>
      <c r="X116" s="73"/>
    </row>
    <row r="117" spans="1:28" x14ac:dyDescent="0.25">
      <c r="B117" s="1">
        <v>114</v>
      </c>
      <c r="C117" s="4" t="s">
        <v>135</v>
      </c>
      <c r="D117" s="1" t="s">
        <v>12</v>
      </c>
      <c r="E117" s="9">
        <v>63455837</v>
      </c>
      <c r="F117" s="13">
        <v>25692</v>
      </c>
      <c r="G117" s="1">
        <f>2024-1970</f>
        <v>54</v>
      </c>
      <c r="I117" s="6" t="s">
        <v>13</v>
      </c>
      <c r="J117" s="1" t="s">
        <v>14</v>
      </c>
      <c r="K117" s="6" t="s">
        <v>62</v>
      </c>
      <c r="L117" s="1" t="s">
        <v>142</v>
      </c>
      <c r="M117" s="1">
        <v>61</v>
      </c>
      <c r="N117" s="7">
        <v>155000</v>
      </c>
      <c r="O117" s="7">
        <f>Tabla2[[#This Row],[VALOR]]-15000</f>
        <v>140000</v>
      </c>
      <c r="P117" s="75">
        <f>Tabla2[[#This Row],[VALOR]]-15000</f>
        <v>140000</v>
      </c>
      <c r="Q117" s="75"/>
      <c r="T117" s="69"/>
      <c r="U117" s="69"/>
      <c r="X117" s="73"/>
    </row>
    <row r="118" spans="1:28" x14ac:dyDescent="0.25">
      <c r="B118" s="1">
        <v>115</v>
      </c>
      <c r="C118" s="4" t="s">
        <v>136</v>
      </c>
      <c r="D118" s="1" t="s">
        <v>12</v>
      </c>
      <c r="E118" s="9">
        <v>1072970119</v>
      </c>
      <c r="F118" s="5">
        <v>31265</v>
      </c>
      <c r="G118" s="1">
        <f>2023-1985</f>
        <v>38</v>
      </c>
      <c r="I118" s="6" t="s">
        <v>13</v>
      </c>
      <c r="J118" s="1" t="s">
        <v>14</v>
      </c>
      <c r="K118" s="10" t="s">
        <v>60</v>
      </c>
      <c r="L118" s="1" t="s">
        <v>142</v>
      </c>
      <c r="N118" s="7">
        <v>155000</v>
      </c>
      <c r="O118" s="7">
        <f>Tabla2[[#This Row],[VALOR]]-15000</f>
        <v>140000</v>
      </c>
      <c r="P118" s="75">
        <f>Tabla2[[#This Row],[VALOR]]-15000</f>
        <v>140000</v>
      </c>
      <c r="Q118" s="75"/>
    </row>
    <row r="119" spans="1:28" x14ac:dyDescent="0.25">
      <c r="B119" s="1">
        <v>116</v>
      </c>
      <c r="C119" s="4" t="s">
        <v>137</v>
      </c>
      <c r="D119" s="1" t="s">
        <v>12</v>
      </c>
      <c r="E119" s="9">
        <v>35324024</v>
      </c>
      <c r="F119" s="5">
        <v>21625</v>
      </c>
      <c r="G119" s="1">
        <f>2024-1959</f>
        <v>65</v>
      </c>
      <c r="I119" s="6" t="s">
        <v>13</v>
      </c>
      <c r="J119" s="1" t="s">
        <v>14</v>
      </c>
      <c r="K119" s="10" t="s">
        <v>60</v>
      </c>
      <c r="L119" s="1" t="s">
        <v>142</v>
      </c>
      <c r="N119" s="7">
        <v>155000</v>
      </c>
      <c r="O119" s="7">
        <f>Tabla2[[#This Row],[VALOR]]-15000</f>
        <v>140000</v>
      </c>
      <c r="P119" s="75">
        <f>Tabla2[[#This Row],[VALOR]]-15000</f>
        <v>140000</v>
      </c>
      <c r="Q119" s="75"/>
    </row>
    <row r="120" spans="1:28" x14ac:dyDescent="0.25">
      <c r="B120" s="1">
        <v>117</v>
      </c>
      <c r="C120" s="42" t="s">
        <v>139</v>
      </c>
      <c r="D120" s="1" t="s">
        <v>12</v>
      </c>
      <c r="E120" s="9">
        <v>20871593</v>
      </c>
      <c r="F120" s="5">
        <v>22682</v>
      </c>
      <c r="G120" s="1">
        <f>2024-1962</f>
        <v>62</v>
      </c>
      <c r="H120" s="1" t="s">
        <v>165</v>
      </c>
      <c r="I120" s="41" t="s">
        <v>138</v>
      </c>
      <c r="J120" s="1" t="s">
        <v>20</v>
      </c>
      <c r="K120" s="6" t="s">
        <v>62</v>
      </c>
      <c r="L120" s="1" t="s">
        <v>142</v>
      </c>
      <c r="M120" s="1">
        <v>62</v>
      </c>
      <c r="N120" s="7">
        <v>155000</v>
      </c>
      <c r="O120" s="7">
        <f>Tabla2[[#This Row],[VALOR]]-15000</f>
        <v>140000</v>
      </c>
      <c r="P120" s="75">
        <f>Tabla2[[#This Row],[VALOR]]-15000</f>
        <v>140000</v>
      </c>
      <c r="Q120" s="75"/>
    </row>
    <row r="121" spans="1:28" x14ac:dyDescent="0.25">
      <c r="B121" s="1">
        <v>118</v>
      </c>
      <c r="C121" s="42" t="s">
        <v>140</v>
      </c>
      <c r="D121" s="1" t="s">
        <v>12</v>
      </c>
      <c r="E121" s="9">
        <v>1073628129</v>
      </c>
      <c r="F121" s="5">
        <v>31671</v>
      </c>
      <c r="G121" s="1">
        <f>2023-1986</f>
        <v>37</v>
      </c>
      <c r="H121" s="1" t="s">
        <v>165</v>
      </c>
      <c r="I121" s="41" t="s">
        <v>138</v>
      </c>
      <c r="J121" s="1" t="s">
        <v>20</v>
      </c>
      <c r="K121" s="53" t="s">
        <v>61</v>
      </c>
      <c r="L121" s="7" t="s">
        <v>142</v>
      </c>
      <c r="N121" s="7">
        <v>155000</v>
      </c>
      <c r="O121" s="7">
        <f>Tabla2[[#This Row],[VALOR]]-15000</f>
        <v>140000</v>
      </c>
      <c r="P121" s="75">
        <f>Tabla2[[#This Row],[VALOR]]-15000</f>
        <v>140000</v>
      </c>
      <c r="Q121" s="75"/>
    </row>
    <row r="122" spans="1:28" x14ac:dyDescent="0.25">
      <c r="B122" s="1">
        <v>119</v>
      </c>
      <c r="C122" s="4" t="s">
        <v>145</v>
      </c>
      <c r="D122" s="1" t="s">
        <v>12</v>
      </c>
      <c r="E122" s="9">
        <v>39523509</v>
      </c>
      <c r="G122" s="1">
        <v>62</v>
      </c>
      <c r="H122" s="1">
        <v>3213589883</v>
      </c>
      <c r="I122" s="6" t="s">
        <v>13</v>
      </c>
      <c r="J122" s="1" t="s">
        <v>148</v>
      </c>
      <c r="K122" s="6" t="s">
        <v>62</v>
      </c>
      <c r="L122" s="1" t="s">
        <v>142</v>
      </c>
      <c r="M122" s="1">
        <v>63</v>
      </c>
      <c r="N122" s="7">
        <v>155000</v>
      </c>
      <c r="O122" s="7">
        <f>Tabla2[[#This Row],[VALOR]]-15000</f>
        <v>140000</v>
      </c>
      <c r="P122" s="75">
        <f>Tabla2[[#This Row],[VALOR]]-15000</f>
        <v>140000</v>
      </c>
      <c r="Q122" s="75"/>
    </row>
    <row r="123" spans="1:28" x14ac:dyDescent="0.25">
      <c r="B123" s="1">
        <v>120</v>
      </c>
      <c r="C123" s="4" t="s">
        <v>146</v>
      </c>
      <c r="D123" s="1" t="s">
        <v>12</v>
      </c>
      <c r="E123" s="9">
        <v>51914877</v>
      </c>
      <c r="G123" s="1">
        <v>56</v>
      </c>
      <c r="H123" s="1">
        <v>3041697071</v>
      </c>
      <c r="I123" s="6" t="s">
        <v>13</v>
      </c>
      <c r="J123" s="1" t="s">
        <v>148</v>
      </c>
      <c r="K123" s="53" t="s">
        <v>61</v>
      </c>
      <c r="L123" s="1" t="s">
        <v>142</v>
      </c>
      <c r="N123" s="7">
        <v>155000</v>
      </c>
      <c r="O123" s="7">
        <f>Tabla2[[#This Row],[VALOR]]-15000</f>
        <v>140000</v>
      </c>
      <c r="P123" s="75">
        <f>Tabla2[[#This Row],[VALOR]]-15000</f>
        <v>140000</v>
      </c>
      <c r="Q123" s="75"/>
    </row>
    <row r="124" spans="1:28" x14ac:dyDescent="0.25">
      <c r="B124" s="1">
        <v>121</v>
      </c>
      <c r="C124" s="4" t="s">
        <v>147</v>
      </c>
      <c r="D124" s="1" t="s">
        <v>12</v>
      </c>
      <c r="E124" s="9">
        <v>20501336</v>
      </c>
      <c r="G124" s="1">
        <v>59</v>
      </c>
      <c r="H124" s="1">
        <v>3112033935</v>
      </c>
      <c r="I124" s="6" t="s">
        <v>13</v>
      </c>
      <c r="J124" s="1" t="s">
        <v>148</v>
      </c>
      <c r="K124" s="10" t="s">
        <v>60</v>
      </c>
      <c r="L124" s="1" t="s">
        <v>142</v>
      </c>
      <c r="N124" s="7">
        <v>155000</v>
      </c>
      <c r="O124" s="7">
        <f>Tabla2[[#This Row],[VALOR]]-15000</f>
        <v>140000</v>
      </c>
      <c r="P124" s="75">
        <f>Tabla2[[#This Row],[VALOR]]-15000</f>
        <v>140000</v>
      </c>
      <c r="Q124" s="75"/>
    </row>
    <row r="125" spans="1:28" x14ac:dyDescent="0.25">
      <c r="B125" s="1">
        <v>122</v>
      </c>
      <c r="C125" s="4" t="s">
        <v>205</v>
      </c>
      <c r="D125" s="1" t="s">
        <v>12</v>
      </c>
      <c r="E125" s="9">
        <v>39612927</v>
      </c>
      <c r="G125" s="1">
        <v>62</v>
      </c>
      <c r="H125" s="1">
        <v>3213181566</v>
      </c>
      <c r="I125" s="6" t="s">
        <v>13</v>
      </c>
      <c r="J125" s="1" t="s">
        <v>148</v>
      </c>
      <c r="K125" s="6" t="s">
        <v>62</v>
      </c>
      <c r="L125" s="1" t="s">
        <v>142</v>
      </c>
      <c r="M125" s="1">
        <v>64</v>
      </c>
      <c r="N125" s="7">
        <v>155000</v>
      </c>
      <c r="O125" s="7">
        <f>Tabla2[[#This Row],[VALOR]]-15000</f>
        <v>140000</v>
      </c>
      <c r="P125" s="75">
        <f>Tabla2[[#This Row],[VALOR]]-15000</f>
        <v>140000</v>
      </c>
      <c r="Q125" s="75"/>
    </row>
    <row r="126" spans="1:28" x14ac:dyDescent="0.25">
      <c r="B126" s="1">
        <v>123</v>
      </c>
      <c r="C126" s="11" t="s">
        <v>155</v>
      </c>
      <c r="D126" s="1" t="s">
        <v>12</v>
      </c>
      <c r="E126" s="9">
        <v>21012620</v>
      </c>
      <c r="F126" s="5">
        <v>19389</v>
      </c>
      <c r="G126" s="1">
        <f>2024-1953</f>
        <v>71</v>
      </c>
      <c r="H126" s="1" t="s">
        <v>154</v>
      </c>
      <c r="I126" s="12" t="s">
        <v>22</v>
      </c>
      <c r="J126" s="1" t="s">
        <v>149</v>
      </c>
      <c r="K126" s="6" t="s">
        <v>62</v>
      </c>
      <c r="L126" s="7">
        <v>200000</v>
      </c>
      <c r="M126" s="1">
        <v>65</v>
      </c>
      <c r="N126" s="7">
        <v>155000</v>
      </c>
      <c r="O126" s="7">
        <f>Tabla2[[#This Row],[VALOR]]-15000</f>
        <v>140000</v>
      </c>
      <c r="P126" s="75">
        <f>Tabla2[[#This Row],[VALOR]]-15000</f>
        <v>140000</v>
      </c>
      <c r="Q126" s="75"/>
    </row>
    <row r="127" spans="1:28" x14ac:dyDescent="0.25">
      <c r="B127" s="1">
        <v>124</v>
      </c>
      <c r="C127" s="11" t="s">
        <v>168</v>
      </c>
      <c r="D127" s="1" t="s">
        <v>12</v>
      </c>
      <c r="E127" s="9">
        <v>21056217</v>
      </c>
      <c r="F127" s="5">
        <v>21290</v>
      </c>
      <c r="G127" s="1">
        <f>2024-1958</f>
        <v>66</v>
      </c>
      <c r="I127" s="12" t="s">
        <v>22</v>
      </c>
      <c r="J127" s="1" t="s">
        <v>149</v>
      </c>
      <c r="K127" s="6" t="s">
        <v>62</v>
      </c>
      <c r="L127" s="1" t="s">
        <v>21</v>
      </c>
      <c r="M127" s="1">
        <v>66</v>
      </c>
      <c r="N127" s="7">
        <v>155000</v>
      </c>
      <c r="O127" s="7">
        <f>Tabla2[[#This Row],[VALOR]]-15000</f>
        <v>140000</v>
      </c>
      <c r="P127" s="75">
        <f>Tabla2[[#This Row],[VALOR]]-15000</f>
        <v>140000</v>
      </c>
      <c r="Q127" s="75"/>
    </row>
    <row r="128" spans="1:28" x14ac:dyDescent="0.25">
      <c r="B128" s="1">
        <v>125</v>
      </c>
      <c r="C128" s="11" t="s">
        <v>156</v>
      </c>
      <c r="D128" s="1" t="s">
        <v>12</v>
      </c>
      <c r="E128" s="9">
        <v>19375825</v>
      </c>
      <c r="F128" s="5">
        <v>21704</v>
      </c>
      <c r="G128" s="1">
        <f>2023-1959</f>
        <v>64</v>
      </c>
      <c r="I128" s="12" t="s">
        <v>22</v>
      </c>
      <c r="J128" s="1" t="s">
        <v>149</v>
      </c>
      <c r="K128" s="6" t="s">
        <v>62</v>
      </c>
      <c r="L128" s="1" t="s">
        <v>21</v>
      </c>
      <c r="M128" s="1">
        <v>67</v>
      </c>
      <c r="N128" s="7">
        <v>155000</v>
      </c>
      <c r="O128" s="7">
        <f>Tabla2[[#This Row],[VALOR]]-15000</f>
        <v>140000</v>
      </c>
      <c r="P128" s="75">
        <f>Tabla2[[#This Row],[VALOR]]-15000</f>
        <v>140000</v>
      </c>
      <c r="Q128" s="75"/>
    </row>
    <row r="129" spans="2:36" x14ac:dyDescent="0.25">
      <c r="B129" s="1">
        <v>126</v>
      </c>
      <c r="C129" s="11" t="s">
        <v>157</v>
      </c>
      <c r="D129" s="1" t="s">
        <v>12</v>
      </c>
      <c r="E129" s="9">
        <v>21012699</v>
      </c>
      <c r="F129" s="5">
        <v>19237</v>
      </c>
      <c r="G129" s="1">
        <f>2023-1952</f>
        <v>71</v>
      </c>
      <c r="H129" s="1">
        <v>3012184308</v>
      </c>
      <c r="I129" s="12" t="s">
        <v>22</v>
      </c>
      <c r="J129" s="1" t="s">
        <v>149</v>
      </c>
      <c r="K129" s="6" t="s">
        <v>62</v>
      </c>
      <c r="L129" s="1" t="s">
        <v>21</v>
      </c>
      <c r="M129" s="1">
        <v>68</v>
      </c>
      <c r="N129" s="7">
        <v>155000</v>
      </c>
      <c r="O129" s="7">
        <f>Tabla2[[#This Row],[VALOR]]-15000</f>
        <v>140000</v>
      </c>
      <c r="P129" s="75">
        <f>Tabla2[[#This Row],[VALOR]]-15000</f>
        <v>140000</v>
      </c>
      <c r="Q129" s="75"/>
    </row>
    <row r="130" spans="2:36" x14ac:dyDescent="0.25">
      <c r="B130" s="1">
        <v>127</v>
      </c>
      <c r="C130" s="11" t="s">
        <v>166</v>
      </c>
      <c r="D130" s="1" t="s">
        <v>12</v>
      </c>
      <c r="E130" s="9">
        <v>21014236</v>
      </c>
      <c r="F130" s="5">
        <v>21234</v>
      </c>
      <c r="G130" s="1">
        <f>2024-1958</f>
        <v>66</v>
      </c>
      <c r="I130" s="12" t="s">
        <v>22</v>
      </c>
      <c r="J130" s="1" t="s">
        <v>149</v>
      </c>
      <c r="K130" s="6" t="s">
        <v>62</v>
      </c>
      <c r="L130" s="7">
        <v>100000</v>
      </c>
      <c r="M130" s="1">
        <v>69</v>
      </c>
      <c r="N130" s="7">
        <v>155000</v>
      </c>
      <c r="O130" s="7">
        <f>Tabla2[[#This Row],[VALOR]]-15000</f>
        <v>140000</v>
      </c>
      <c r="P130" s="75">
        <f>Tabla2[[#This Row],[VALOR]]-15000</f>
        <v>140000</v>
      </c>
      <c r="Q130" s="75"/>
    </row>
    <row r="131" spans="2:36" x14ac:dyDescent="0.25">
      <c r="B131" s="1">
        <v>128</v>
      </c>
      <c r="C131" s="11" t="s">
        <v>167</v>
      </c>
      <c r="D131" s="1" t="s">
        <v>12</v>
      </c>
      <c r="E131" s="9">
        <v>21015380</v>
      </c>
      <c r="F131" s="5">
        <v>23787</v>
      </c>
      <c r="G131" s="1">
        <f>2024-1965</f>
        <v>59</v>
      </c>
      <c r="I131" s="12" t="s">
        <v>22</v>
      </c>
      <c r="J131" s="1" t="s">
        <v>149</v>
      </c>
      <c r="K131" s="6" t="s">
        <v>62</v>
      </c>
      <c r="L131" s="1" t="s">
        <v>21</v>
      </c>
      <c r="M131" s="1">
        <v>70</v>
      </c>
      <c r="N131" s="7">
        <v>155000</v>
      </c>
      <c r="O131" s="7">
        <f>Tabla2[[#This Row],[VALOR]]-15000</f>
        <v>140000</v>
      </c>
      <c r="P131" s="75">
        <f>Tabla2[[#This Row],[VALOR]]-15000</f>
        <v>140000</v>
      </c>
      <c r="Q131" s="75"/>
    </row>
    <row r="132" spans="2:36" x14ac:dyDescent="0.25">
      <c r="B132" s="1">
        <v>129</v>
      </c>
      <c r="C132" s="4" t="s">
        <v>150</v>
      </c>
      <c r="D132" s="1" t="s">
        <v>12</v>
      </c>
      <c r="E132" s="3" t="s">
        <v>196</v>
      </c>
      <c r="G132" s="1">
        <v>74</v>
      </c>
      <c r="I132" s="6" t="s">
        <v>13</v>
      </c>
      <c r="J132" s="1" t="s">
        <v>14</v>
      </c>
      <c r="K132" s="6" t="s">
        <v>62</v>
      </c>
      <c r="L132" s="1" t="s">
        <v>142</v>
      </c>
      <c r="M132" s="1">
        <v>71</v>
      </c>
      <c r="N132" s="7">
        <v>155000</v>
      </c>
      <c r="O132" s="7">
        <f>Tabla2[[#This Row],[VALOR]]-15000</f>
        <v>140000</v>
      </c>
      <c r="P132" s="75">
        <f>Tabla2[[#This Row],[VALOR]]-15000</f>
        <v>140000</v>
      </c>
      <c r="Q132" s="75"/>
    </row>
    <row r="133" spans="2:36" x14ac:dyDescent="0.25">
      <c r="B133" s="1">
        <v>130</v>
      </c>
      <c r="C133" s="4" t="s">
        <v>151</v>
      </c>
      <c r="D133" s="1" t="s">
        <v>12</v>
      </c>
      <c r="E133" s="3" t="s">
        <v>195</v>
      </c>
      <c r="G133" s="1">
        <v>71</v>
      </c>
      <c r="I133" s="6" t="s">
        <v>13</v>
      </c>
      <c r="J133" s="1" t="s">
        <v>14</v>
      </c>
      <c r="K133" s="6" t="s">
        <v>62</v>
      </c>
      <c r="L133" s="1" t="s">
        <v>142</v>
      </c>
      <c r="M133" s="1">
        <v>72</v>
      </c>
      <c r="N133" s="7">
        <v>155000</v>
      </c>
      <c r="O133" s="7">
        <f>Tabla2[[#This Row],[VALOR]]-15000</f>
        <v>140000</v>
      </c>
      <c r="P133" s="75">
        <f>Tabla2[[#This Row],[VALOR]]-15000</f>
        <v>140000</v>
      </c>
      <c r="Q133" s="75"/>
    </row>
    <row r="134" spans="2:36" x14ac:dyDescent="0.25">
      <c r="B134" s="1">
        <v>131</v>
      </c>
      <c r="C134" s="4" t="s">
        <v>152</v>
      </c>
      <c r="D134" s="1" t="s">
        <v>12</v>
      </c>
      <c r="E134" s="3" t="s">
        <v>194</v>
      </c>
      <c r="G134" s="1">
        <v>47</v>
      </c>
      <c r="I134" s="6" t="s">
        <v>13</v>
      </c>
      <c r="J134" s="1" t="s">
        <v>14</v>
      </c>
      <c r="K134" s="6" t="s">
        <v>62</v>
      </c>
      <c r="L134" s="1" t="s">
        <v>142</v>
      </c>
      <c r="M134" s="1">
        <v>73</v>
      </c>
      <c r="N134" s="7">
        <v>155000</v>
      </c>
      <c r="O134" s="7">
        <f>Tabla2[[#This Row],[VALOR]]-15000</f>
        <v>140000</v>
      </c>
      <c r="P134" s="75">
        <f>Tabla2[[#This Row],[VALOR]]-15000</f>
        <v>140000</v>
      </c>
      <c r="Q134" s="75"/>
    </row>
    <row r="135" spans="2:36" x14ac:dyDescent="0.25">
      <c r="B135" s="1">
        <v>132</v>
      </c>
      <c r="C135" s="4" t="s">
        <v>153</v>
      </c>
      <c r="D135" s="1" t="s">
        <v>12</v>
      </c>
      <c r="E135" s="3" t="s">
        <v>193</v>
      </c>
      <c r="G135" s="1">
        <v>49</v>
      </c>
      <c r="I135" s="6" t="s">
        <v>13</v>
      </c>
      <c r="J135" s="1" t="s">
        <v>14</v>
      </c>
      <c r="K135" s="53" t="s">
        <v>61</v>
      </c>
      <c r="L135" s="1" t="s">
        <v>142</v>
      </c>
      <c r="N135" s="7">
        <v>155000</v>
      </c>
      <c r="O135" s="7">
        <f>Tabla2[[#This Row],[VALOR]]-15000</f>
        <v>140000</v>
      </c>
      <c r="P135" s="75">
        <f>Tabla2[[#This Row],[VALOR]]-15000</f>
        <v>140000</v>
      </c>
      <c r="Q135" s="75"/>
    </row>
    <row r="136" spans="2:36" x14ac:dyDescent="0.25">
      <c r="B136" s="1">
        <v>133</v>
      </c>
      <c r="C136" s="4" t="s">
        <v>172</v>
      </c>
      <c r="D136" s="1" t="s">
        <v>12</v>
      </c>
      <c r="E136" s="9">
        <v>51728120</v>
      </c>
      <c r="G136" s="1">
        <v>60</v>
      </c>
      <c r="H136" s="1">
        <v>3204746691</v>
      </c>
      <c r="I136" s="6" t="s">
        <v>13</v>
      </c>
      <c r="J136" s="1" t="s">
        <v>14</v>
      </c>
      <c r="K136" s="6" t="s">
        <v>62</v>
      </c>
      <c r="M136" s="1">
        <v>74</v>
      </c>
      <c r="N136" s="7">
        <v>155000</v>
      </c>
      <c r="O136" s="7">
        <f>Tabla2[[#This Row],[VALOR]]-15000</f>
        <v>140000</v>
      </c>
      <c r="P136" s="75">
        <f>Tabla2[[#This Row],[VALOR]]-15000</f>
        <v>140000</v>
      </c>
      <c r="Q136" s="75"/>
    </row>
    <row r="137" spans="2:36" x14ac:dyDescent="0.25">
      <c r="B137" s="1">
        <v>134</v>
      </c>
      <c r="C137" s="4" t="s">
        <v>173</v>
      </c>
      <c r="D137" s="1" t="s">
        <v>12</v>
      </c>
      <c r="E137" s="9">
        <v>1010005588</v>
      </c>
      <c r="G137" s="1">
        <v>23</v>
      </c>
      <c r="H137" s="1">
        <v>3134417557</v>
      </c>
      <c r="I137" s="6" t="s">
        <v>13</v>
      </c>
      <c r="J137" s="1" t="s">
        <v>14</v>
      </c>
      <c r="K137" s="6" t="s">
        <v>62</v>
      </c>
      <c r="M137" s="1">
        <v>75</v>
      </c>
      <c r="N137" s="7">
        <v>155000</v>
      </c>
      <c r="O137" s="7">
        <f>Tabla2[[#This Row],[VALOR]]-15000</f>
        <v>140000</v>
      </c>
      <c r="P137" s="75">
        <f>Tabla2[[#This Row],[VALOR]]-15000</f>
        <v>140000</v>
      </c>
      <c r="Q137" s="75"/>
    </row>
    <row r="138" spans="2:36" x14ac:dyDescent="0.25">
      <c r="B138" s="1">
        <v>135</v>
      </c>
      <c r="C138" s="4" t="s">
        <v>174</v>
      </c>
      <c r="D138" s="1" t="s">
        <v>12</v>
      </c>
      <c r="E138" s="9">
        <v>41467849</v>
      </c>
      <c r="F138" s="5">
        <v>18259</v>
      </c>
      <c r="G138" s="1">
        <f>2023-1949</f>
        <v>74</v>
      </c>
      <c r="I138" s="6" t="s">
        <v>13</v>
      </c>
      <c r="J138" s="1" t="s">
        <v>20</v>
      </c>
      <c r="K138" s="53" t="s">
        <v>61</v>
      </c>
      <c r="L138" s="1" t="s">
        <v>142</v>
      </c>
      <c r="N138" s="7">
        <v>155000</v>
      </c>
      <c r="O138" s="7">
        <f>Tabla2[[#This Row],[VALOR]]-15000</f>
        <v>140000</v>
      </c>
      <c r="P138" s="75">
        <f>Tabla2[[#This Row],[VALOR]]-15000</f>
        <v>140000</v>
      </c>
      <c r="Q138" s="75"/>
    </row>
    <row r="139" spans="2:36" x14ac:dyDescent="0.25">
      <c r="B139" s="1">
        <v>136</v>
      </c>
      <c r="C139" s="11" t="s">
        <v>179</v>
      </c>
      <c r="D139" s="1" t="s">
        <v>12</v>
      </c>
      <c r="E139" s="9">
        <v>28558180</v>
      </c>
      <c r="G139" s="1">
        <v>41</v>
      </c>
      <c r="H139" s="1">
        <v>3214913800</v>
      </c>
      <c r="I139" s="12" t="s">
        <v>22</v>
      </c>
      <c r="J139" s="1" t="s">
        <v>14</v>
      </c>
      <c r="K139" s="10" t="s">
        <v>60</v>
      </c>
      <c r="N139" s="7">
        <v>155000</v>
      </c>
      <c r="O139" s="7">
        <f>Tabla2[[#This Row],[VALOR]]-15000</f>
        <v>140000</v>
      </c>
      <c r="P139" s="75">
        <f>Tabla2[[#This Row],[VALOR]]-15000</f>
        <v>140000</v>
      </c>
      <c r="Q139" s="75"/>
    </row>
    <row r="140" spans="2:36" s="2" customFormat="1" x14ac:dyDescent="0.25">
      <c r="B140" s="15"/>
      <c r="C140" s="2" t="s">
        <v>231</v>
      </c>
      <c r="D140" s="15" t="s">
        <v>31</v>
      </c>
      <c r="E140" s="16">
        <v>1075629888</v>
      </c>
      <c r="F140" s="15"/>
      <c r="G140" s="15">
        <v>7</v>
      </c>
      <c r="H140" s="15"/>
      <c r="I140" s="15"/>
      <c r="J140" s="15"/>
      <c r="K140" s="15"/>
      <c r="L140" s="15"/>
      <c r="M140" s="15"/>
      <c r="N140" s="74">
        <v>60000</v>
      </c>
      <c r="O140" s="74">
        <v>60000</v>
      </c>
      <c r="P140" s="75">
        <v>60000</v>
      </c>
      <c r="Q140" s="80"/>
      <c r="R140"/>
      <c r="S140"/>
      <c r="T140" s="65"/>
      <c r="U140" s="65"/>
      <c r="V140"/>
      <c r="W140"/>
      <c r="X140" s="71"/>
      <c r="Y140"/>
      <c r="Z140"/>
      <c r="AA140"/>
      <c r="AB140"/>
      <c r="AC140"/>
      <c r="AD140"/>
      <c r="AE140"/>
      <c r="AF140"/>
      <c r="AG140"/>
      <c r="AH140"/>
      <c r="AI140"/>
      <c r="AJ140"/>
    </row>
    <row r="141" spans="2:36" x14ac:dyDescent="0.25">
      <c r="B141" s="1">
        <v>137</v>
      </c>
      <c r="C141" s="11" t="s">
        <v>230</v>
      </c>
      <c r="D141" s="1" t="s">
        <v>31</v>
      </c>
      <c r="E141" s="9">
        <v>1072104731</v>
      </c>
      <c r="G141" s="1">
        <v>13</v>
      </c>
      <c r="I141" s="12" t="s">
        <v>22</v>
      </c>
      <c r="J141" s="1" t="s">
        <v>14</v>
      </c>
      <c r="K141" s="53" t="s">
        <v>61</v>
      </c>
      <c r="N141" s="7">
        <v>155000</v>
      </c>
      <c r="O141" s="7">
        <f>Tabla2[[#This Row],[VALOR]]-15000</f>
        <v>140000</v>
      </c>
      <c r="P141" s="75">
        <f>Tabla2[[#This Row],[VALOR]]-15000</f>
        <v>140000</v>
      </c>
      <c r="Q141" s="75"/>
    </row>
    <row r="142" spans="2:36" x14ac:dyDescent="0.25">
      <c r="B142" s="1">
        <v>138</v>
      </c>
      <c r="C142" s="60" t="s">
        <v>180</v>
      </c>
      <c r="D142" s="1" t="s">
        <v>12</v>
      </c>
      <c r="E142" s="9">
        <v>1003658868</v>
      </c>
      <c r="G142" s="1">
        <v>21</v>
      </c>
      <c r="I142" s="47" t="s">
        <v>138</v>
      </c>
      <c r="J142" s="6" t="s">
        <v>81</v>
      </c>
      <c r="K142" s="6" t="s">
        <v>61</v>
      </c>
      <c r="L142" s="6"/>
      <c r="M142" s="6"/>
      <c r="N142" s="79">
        <v>0</v>
      </c>
      <c r="O142" s="79">
        <v>0</v>
      </c>
      <c r="P142" s="75">
        <v>0</v>
      </c>
      <c r="Q142" s="75"/>
    </row>
    <row r="143" spans="2:36" x14ac:dyDescent="0.25">
      <c r="B143" s="1">
        <v>139</v>
      </c>
      <c r="C143" s="4" t="s">
        <v>181</v>
      </c>
      <c r="D143" s="1" t="s">
        <v>12</v>
      </c>
      <c r="E143" s="9">
        <v>21015482</v>
      </c>
      <c r="G143" s="1">
        <v>58</v>
      </c>
      <c r="H143" s="1">
        <v>3112624413</v>
      </c>
      <c r="I143" s="6" t="s">
        <v>13</v>
      </c>
      <c r="J143" s="1" t="s">
        <v>14</v>
      </c>
      <c r="K143" s="53" t="s">
        <v>61</v>
      </c>
      <c r="N143" s="7">
        <v>155000</v>
      </c>
      <c r="O143" s="7">
        <f>Tabla2[[#This Row],[VALOR]]-15000</f>
        <v>140000</v>
      </c>
      <c r="P143" s="75">
        <f>Tabla2[[#This Row],[VALOR]]-15000</f>
        <v>140000</v>
      </c>
      <c r="Q143" s="75"/>
    </row>
    <row r="144" spans="2:36" x14ac:dyDescent="0.25">
      <c r="B144" s="1">
        <v>140</v>
      </c>
      <c r="C144" s="8" t="s">
        <v>182</v>
      </c>
      <c r="D144" s="1" t="s">
        <v>12</v>
      </c>
      <c r="E144" s="9">
        <v>20357616</v>
      </c>
      <c r="G144" s="1">
        <v>62</v>
      </c>
      <c r="I144" s="10" t="s">
        <v>15</v>
      </c>
      <c r="J144" s="1" t="s">
        <v>14</v>
      </c>
      <c r="K144" s="59" t="s">
        <v>60</v>
      </c>
      <c r="N144" s="7">
        <v>155000</v>
      </c>
      <c r="O144" s="7">
        <f>Tabla2[[#This Row],[VALOR]]-15000</f>
        <v>140000</v>
      </c>
      <c r="P144" s="75">
        <f>Tabla2[[#This Row],[VALOR]]-15000</f>
        <v>140000</v>
      </c>
      <c r="Q144" s="75"/>
    </row>
    <row r="145" spans="1:17" x14ac:dyDescent="0.25">
      <c r="A145" s="44"/>
      <c r="B145" s="1">
        <v>141</v>
      </c>
      <c r="C145" s="11" t="s">
        <v>183</v>
      </c>
      <c r="D145" s="1" t="s">
        <v>12</v>
      </c>
      <c r="E145" s="9">
        <v>1075629194</v>
      </c>
      <c r="G145" s="1">
        <v>27</v>
      </c>
      <c r="H145" s="1">
        <v>3118826220</v>
      </c>
      <c r="I145" s="12" t="s">
        <v>22</v>
      </c>
      <c r="J145" s="1" t="s">
        <v>33</v>
      </c>
      <c r="K145" s="53" t="s">
        <v>61</v>
      </c>
      <c r="N145" s="7">
        <v>155000</v>
      </c>
      <c r="O145" s="7">
        <f>Tabla2[[#This Row],[VALOR]]-15000</f>
        <v>140000</v>
      </c>
      <c r="P145" s="75">
        <f>Tabla2[[#This Row],[VALOR]]-15000</f>
        <v>140000</v>
      </c>
      <c r="Q145" s="75"/>
    </row>
    <row r="146" spans="1:17" x14ac:dyDescent="0.25">
      <c r="A146" s="44" t="s">
        <v>221</v>
      </c>
      <c r="B146" s="1">
        <v>142</v>
      </c>
      <c r="C146" s="11" t="s">
        <v>184</v>
      </c>
      <c r="D146" s="1" t="s">
        <v>12</v>
      </c>
      <c r="E146" s="9">
        <v>41681426</v>
      </c>
      <c r="G146" s="1">
        <v>67</v>
      </c>
      <c r="H146" s="1" t="s">
        <v>185</v>
      </c>
      <c r="I146" s="12" t="s">
        <v>22</v>
      </c>
      <c r="J146" s="1" t="s">
        <v>33</v>
      </c>
      <c r="K146" s="53" t="s">
        <v>61</v>
      </c>
      <c r="N146" s="7">
        <v>155000</v>
      </c>
      <c r="O146" s="7">
        <f>Tabla2[[#This Row],[VALOR]]-15000</f>
        <v>140000</v>
      </c>
      <c r="P146" s="75">
        <f>Tabla2[[#This Row],[VALOR]]-15000</f>
        <v>140000</v>
      </c>
      <c r="Q146" s="75"/>
    </row>
    <row r="147" spans="1:17" x14ac:dyDescent="0.25">
      <c r="A147" s="44"/>
      <c r="B147" s="1">
        <v>143</v>
      </c>
      <c r="C147" s="11" t="s">
        <v>186</v>
      </c>
      <c r="D147" s="1" t="s">
        <v>187</v>
      </c>
      <c r="E147" s="9">
        <v>4211176</v>
      </c>
      <c r="G147" s="1">
        <v>66</v>
      </c>
      <c r="H147" s="1" t="s">
        <v>185</v>
      </c>
      <c r="I147" s="12" t="s">
        <v>22</v>
      </c>
      <c r="J147" s="1" t="s">
        <v>33</v>
      </c>
      <c r="K147" s="6" t="s">
        <v>62</v>
      </c>
      <c r="M147" s="1">
        <v>76</v>
      </c>
      <c r="N147" s="7">
        <v>155000</v>
      </c>
      <c r="O147" s="7">
        <f>Tabla2[[#This Row],[VALOR]]-15000</f>
        <v>140000</v>
      </c>
      <c r="P147" s="75">
        <f>Tabla2[[#This Row],[VALOR]]-15000</f>
        <v>140000</v>
      </c>
      <c r="Q147" s="75"/>
    </row>
    <row r="148" spans="1:17" x14ac:dyDescent="0.25">
      <c r="B148" s="1">
        <v>144</v>
      </c>
      <c r="C148" s="11" t="s">
        <v>191</v>
      </c>
      <c r="D148" s="1" t="s">
        <v>187</v>
      </c>
      <c r="E148" s="9">
        <v>79346819</v>
      </c>
      <c r="G148" s="1">
        <v>59</v>
      </c>
      <c r="I148" s="12" t="s">
        <v>22</v>
      </c>
      <c r="J148" s="1" t="s">
        <v>14</v>
      </c>
      <c r="K148" s="6" t="s">
        <v>62</v>
      </c>
      <c r="M148" s="1">
        <v>77</v>
      </c>
      <c r="N148" s="7">
        <v>155000</v>
      </c>
      <c r="O148" s="7">
        <f>Tabla2[[#This Row],[VALOR]]-15000</f>
        <v>140000</v>
      </c>
      <c r="P148" s="75">
        <f>Tabla2[[#This Row],[VALOR]]-15000</f>
        <v>140000</v>
      </c>
      <c r="Q148" s="75"/>
    </row>
    <row r="149" spans="1:17" x14ac:dyDescent="0.25">
      <c r="B149" s="1">
        <v>145</v>
      </c>
      <c r="C149" s="11" t="s">
        <v>197</v>
      </c>
      <c r="D149" s="1" t="s">
        <v>187</v>
      </c>
      <c r="E149" s="3">
        <v>51697265</v>
      </c>
      <c r="G149" s="1">
        <v>61</v>
      </c>
      <c r="I149" s="12" t="s">
        <v>22</v>
      </c>
      <c r="J149" s="1" t="s">
        <v>14</v>
      </c>
      <c r="K149" s="6" t="s">
        <v>62</v>
      </c>
      <c r="M149" s="1">
        <v>78</v>
      </c>
      <c r="N149" s="7">
        <v>155000</v>
      </c>
      <c r="O149" s="7">
        <f>Tabla2[[#This Row],[VALOR]]-15000</f>
        <v>140000</v>
      </c>
      <c r="P149" s="75">
        <f>Tabla2[[#This Row],[VALOR]]-15000</f>
        <v>140000</v>
      </c>
      <c r="Q149" s="75"/>
    </row>
    <row r="150" spans="1:17" x14ac:dyDescent="0.25">
      <c r="B150" s="1">
        <v>146</v>
      </c>
      <c r="C150" s="11" t="s">
        <v>227</v>
      </c>
      <c r="D150" s="1" t="s">
        <v>187</v>
      </c>
      <c r="E150" s="9">
        <v>21018645</v>
      </c>
      <c r="G150" s="1">
        <v>42</v>
      </c>
      <c r="I150" s="12" t="s">
        <v>22</v>
      </c>
      <c r="J150" s="1" t="s">
        <v>14</v>
      </c>
      <c r="K150" s="6" t="s">
        <v>62</v>
      </c>
      <c r="N150" s="7">
        <v>155000</v>
      </c>
      <c r="O150" s="7">
        <f>Tabla2[[#This Row],[VALOR]]-15000</f>
        <v>140000</v>
      </c>
      <c r="P150" s="75">
        <f>Tabla2[[#This Row],[VALOR]]-15000</f>
        <v>140000</v>
      </c>
      <c r="Q150" s="75"/>
    </row>
    <row r="151" spans="1:17" x14ac:dyDescent="0.25">
      <c r="B151" s="1">
        <v>147</v>
      </c>
      <c r="C151" s="11" t="s">
        <v>228</v>
      </c>
      <c r="D151" s="1" t="s">
        <v>187</v>
      </c>
      <c r="E151" s="9">
        <v>80355026</v>
      </c>
      <c r="G151" s="1">
        <v>59</v>
      </c>
      <c r="I151" s="12" t="s">
        <v>22</v>
      </c>
      <c r="J151" s="1" t="s">
        <v>33</v>
      </c>
      <c r="K151" s="6" t="s">
        <v>62</v>
      </c>
      <c r="N151" s="7">
        <v>155000</v>
      </c>
      <c r="O151" s="7">
        <f>Tabla2[[#This Row],[VALOR]]-15000</f>
        <v>140000</v>
      </c>
      <c r="P151" s="75">
        <f>Tabla2[[#This Row],[VALOR]]-15000</f>
        <v>140000</v>
      </c>
      <c r="Q151" s="75"/>
    </row>
    <row r="152" spans="1:17" x14ac:dyDescent="0.25">
      <c r="B152" s="1">
        <v>148</v>
      </c>
      <c r="C152" s="11" t="s">
        <v>232</v>
      </c>
      <c r="D152" s="1" t="s">
        <v>187</v>
      </c>
      <c r="E152" s="9">
        <v>21016659</v>
      </c>
      <c r="G152" s="1">
        <v>54</v>
      </c>
      <c r="I152" s="12" t="s">
        <v>22</v>
      </c>
      <c r="J152" s="1" t="s">
        <v>33</v>
      </c>
      <c r="K152" s="6" t="s">
        <v>62</v>
      </c>
      <c r="N152" s="7">
        <v>155000</v>
      </c>
      <c r="O152" s="7">
        <f>Tabla2[[#This Row],[VALOR]]-15000</f>
        <v>140000</v>
      </c>
      <c r="P152" s="75">
        <f>Tabla2[[#This Row],[VALOR]]-15000</f>
        <v>140000</v>
      </c>
      <c r="Q152" s="75"/>
    </row>
    <row r="153" spans="1:17" x14ac:dyDescent="0.25">
      <c r="B153" s="1">
        <v>149</v>
      </c>
      <c r="C153" s="78" t="s">
        <v>233</v>
      </c>
      <c r="D153" s="1" t="s">
        <v>187</v>
      </c>
      <c r="E153" s="9">
        <v>21016967</v>
      </c>
      <c r="G153" s="1">
        <v>52</v>
      </c>
      <c r="I153" s="12" t="s">
        <v>22</v>
      </c>
      <c r="J153" s="1" t="s">
        <v>33</v>
      </c>
      <c r="K153" s="10" t="s">
        <v>60</v>
      </c>
      <c r="N153" s="7">
        <v>155000</v>
      </c>
      <c r="O153" s="7">
        <f>Tabla2[[#This Row],[VALOR]]-15000</f>
        <v>140000</v>
      </c>
      <c r="P153" s="75">
        <f>Tabla2[[#This Row],[VALOR]]-15000</f>
        <v>140000</v>
      </c>
      <c r="Q153" s="75"/>
    </row>
    <row r="154" spans="1:17" x14ac:dyDescent="0.25">
      <c r="C154" s="11"/>
      <c r="E154" s="9"/>
      <c r="I154" s="12"/>
      <c r="K154" s="10"/>
      <c r="N154" s="7">
        <v>155000</v>
      </c>
      <c r="O154" s="7">
        <f>Tabla2[[#This Row],[VALOR]]-15000</f>
        <v>140000</v>
      </c>
      <c r="P154" s="75">
        <f>Tabla2[[#This Row],[VALOR]]-15000</f>
        <v>140000</v>
      </c>
      <c r="Q154" s="75"/>
    </row>
    <row r="155" spans="1:17" x14ac:dyDescent="0.25">
      <c r="C155" s="11"/>
      <c r="E155" s="9"/>
      <c r="I155" s="12"/>
      <c r="K155" s="10"/>
      <c r="N155" s="7">
        <v>155000</v>
      </c>
      <c r="O155" s="7">
        <f>Tabla2[[#This Row],[VALOR]]-15000</f>
        <v>140000</v>
      </c>
      <c r="P155" s="75">
        <f>Tabla2[[#This Row],[VALOR]]-15000</f>
        <v>140000</v>
      </c>
      <c r="Q155" s="75"/>
    </row>
    <row r="156" spans="1:17" x14ac:dyDescent="0.25">
      <c r="C156" s="11"/>
      <c r="E156" s="9"/>
      <c r="I156" s="12"/>
      <c r="K156" s="10"/>
      <c r="N156" s="7">
        <v>155000</v>
      </c>
      <c r="O156" s="7">
        <f>Tabla2[[#This Row],[VALOR]]-15000</f>
        <v>140000</v>
      </c>
      <c r="P156" s="75">
        <f>Tabla2[[#This Row],[VALOR]]-15000</f>
        <v>140000</v>
      </c>
      <c r="Q156" s="75"/>
    </row>
    <row r="157" spans="1:17" x14ac:dyDescent="0.25">
      <c r="C157" s="4"/>
      <c r="N157" s="77">
        <f>SUBTOTAL(109,Tabla2[VALOR])</f>
        <v>23070000</v>
      </c>
      <c r="O157" s="7">
        <f>SUBTOTAL(109,Tabla2[COMISIÓN])</f>
        <v>20850000</v>
      </c>
      <c r="P157" s="75">
        <f>SUBTOTAL(109,Tabla2[Columna1])</f>
        <v>20850000</v>
      </c>
      <c r="Q157" s="70">
        <f>Tabla2[[#Totals],[VALOR]]-Tabla2[[#Totals],[COMISIÓN]]</f>
        <v>2220000</v>
      </c>
    </row>
    <row r="158" spans="1:17" x14ac:dyDescent="0.25">
      <c r="F158" s="46" t="s">
        <v>13</v>
      </c>
      <c r="G158" s="43">
        <f>COUNTIF(I2:I157,"APULO")</f>
        <v>72</v>
      </c>
      <c r="I158" s="43" t="s">
        <v>62</v>
      </c>
      <c r="J158" s="43">
        <f>COUNTIF(K2:K152,"MOJARRA FRITA")</f>
        <v>81</v>
      </c>
      <c r="K158" s="1">
        <v>78</v>
      </c>
      <c r="N158"/>
      <c r="O158" s="76">
        <f>Tabla2[[#Totals],[COMISIÓN]]+U18+45000</f>
        <v>23070000</v>
      </c>
      <c r="P158" s="70">
        <f>O158-T23</f>
        <v>20895000</v>
      </c>
      <c r="Q158" s="70" t="s">
        <v>245</v>
      </c>
    </row>
    <row r="159" spans="1:17" x14ac:dyDescent="0.25">
      <c r="F159" s="61" t="s">
        <v>15</v>
      </c>
      <c r="G159" s="43">
        <f>COUNTIF(Tabla2[MUNICIPIO],"ANAPOIMA")</f>
        <v>14</v>
      </c>
      <c r="I159" s="43" t="s">
        <v>60</v>
      </c>
      <c r="J159" s="43">
        <f>COUNTIF(K2:K152,"MOJARRA SUDADA")</f>
        <v>21</v>
      </c>
      <c r="K159" s="1">
        <v>22</v>
      </c>
      <c r="N159"/>
      <c r="O159" s="76">
        <f>O158-P158</f>
        <v>2175000</v>
      </c>
    </row>
    <row r="160" spans="1:17" x14ac:dyDescent="0.25">
      <c r="F160" s="62" t="s">
        <v>22</v>
      </c>
      <c r="G160" s="43">
        <f>COUNTIF(Tabla2[MUNICIPIO],"TOCAIMA")</f>
        <v>51</v>
      </c>
      <c r="I160" s="43" t="s">
        <v>203</v>
      </c>
      <c r="J160" s="43">
        <f>COUNTIF(K2:K152,"LOMO DE CERDO")</f>
        <v>5</v>
      </c>
      <c r="K160" s="1">
        <v>6</v>
      </c>
      <c r="N160"/>
    </row>
    <row r="161" spans="3:16" x14ac:dyDescent="0.25">
      <c r="F161" s="61" t="s">
        <v>138</v>
      </c>
      <c r="G161" s="43">
        <f>COUNTIF(Tabla2[MUNICIPIO],"HULANDAS")</f>
        <v>3</v>
      </c>
      <c r="I161" s="43" t="s">
        <v>218</v>
      </c>
      <c r="J161" s="43">
        <f>COUNTIF(K2:K150,"COSTILLAS BBQ")</f>
        <v>32</v>
      </c>
      <c r="K161" s="1">
        <v>29</v>
      </c>
      <c r="N161"/>
      <c r="P161" s="70">
        <f>O159+P140+P23+P12</f>
        <v>2305000</v>
      </c>
    </row>
    <row r="162" spans="3:16" x14ac:dyDescent="0.25">
      <c r="F162" s="46" t="s">
        <v>212</v>
      </c>
      <c r="G162" s="43">
        <f>COUNTIF(Tabla2[MUNICIPIO],"PALOQUEMAO")</f>
        <v>5</v>
      </c>
      <c r="I162" s="43" t="s">
        <v>66</v>
      </c>
      <c r="J162" s="43">
        <f>COUNTIF(K2:K152,"PECHUGA A LA PLANCHA")</f>
        <v>9</v>
      </c>
      <c r="K162" s="1">
        <v>10</v>
      </c>
      <c r="L162" s="43" t="s">
        <v>14</v>
      </c>
      <c r="M162" s="49">
        <f>COUNTIF(Tabla2[COMISIONISTAS],"LAD")</f>
        <v>35</v>
      </c>
      <c r="N162"/>
      <c r="P162" s="70">
        <f>P158</f>
        <v>20895000</v>
      </c>
    </row>
    <row r="163" spans="3:16" x14ac:dyDescent="0.25">
      <c r="F163" s="61" t="s">
        <v>216</v>
      </c>
      <c r="G163" s="43">
        <f>COUNTIF(Tabla2[MUNICIPIO],"MESETA")</f>
        <v>4</v>
      </c>
      <c r="I163" s="46"/>
      <c r="J163" s="43"/>
      <c r="K163" s="1">
        <f>SUM(K158:K162)</f>
        <v>145</v>
      </c>
      <c r="L163" s="43" t="s">
        <v>33</v>
      </c>
      <c r="M163" s="49">
        <f>COUNTIF(Tabla2[COMISIONISTAS],"MAFE")</f>
        <v>29</v>
      </c>
    </row>
    <row r="164" spans="3:16" x14ac:dyDescent="0.25">
      <c r="F164" s="52" t="s">
        <v>142</v>
      </c>
      <c r="G164" s="43">
        <f>SUM(G158:G163)</f>
        <v>149</v>
      </c>
      <c r="L164" s="43" t="s">
        <v>94</v>
      </c>
      <c r="M164" s="49">
        <f>COUNTIF(Tabla2[COMISIONISTAS],"EDITH")</f>
        <v>49</v>
      </c>
    </row>
    <row r="165" spans="3:16" x14ac:dyDescent="0.25">
      <c r="I165" s="43" t="s">
        <v>189</v>
      </c>
      <c r="J165" s="43">
        <v>83</v>
      </c>
      <c r="L165" s="43" t="s">
        <v>20</v>
      </c>
      <c r="M165" s="49">
        <f>COUNTIF(Tabla2[COMISIONISTAS],"TETE")</f>
        <v>22</v>
      </c>
    </row>
    <row r="166" spans="3:16" x14ac:dyDescent="0.25">
      <c r="I166" s="43" t="s">
        <v>60</v>
      </c>
      <c r="J166" s="43">
        <v>22</v>
      </c>
      <c r="L166" s="43" t="s">
        <v>149</v>
      </c>
      <c r="M166" s="50">
        <f>COUNTIF(Tabla2[COMISIONISTAS],"MIREYA")</f>
        <v>6</v>
      </c>
    </row>
    <row r="167" spans="3:16" x14ac:dyDescent="0.25">
      <c r="C167" t="s">
        <v>13</v>
      </c>
      <c r="D167" s="1">
        <f>G158+G162</f>
        <v>77</v>
      </c>
      <c r="I167" s="43" t="s">
        <v>203</v>
      </c>
      <c r="J167" s="43">
        <v>6</v>
      </c>
      <c r="L167" s="43" t="s">
        <v>148</v>
      </c>
      <c r="M167" s="50">
        <f>COUNTIF(Tabla2[COMISIONISTAS],"JHONATAN")</f>
        <v>4</v>
      </c>
    </row>
    <row r="168" spans="3:16" x14ac:dyDescent="0.25">
      <c r="C168" t="s">
        <v>15</v>
      </c>
      <c r="D168" s="1">
        <f>G159+G161+G163</f>
        <v>21</v>
      </c>
      <c r="G168" s="1">
        <f>G163+G161+G159</f>
        <v>21</v>
      </c>
      <c r="I168" s="43" t="s">
        <v>218</v>
      </c>
      <c r="J168" s="43">
        <v>30</v>
      </c>
      <c r="L168" s="43" t="s">
        <v>81</v>
      </c>
      <c r="M168" s="50">
        <f>COUNTIF(Tabla2[COMISIONISTAS],"EMPRESA")</f>
        <v>4</v>
      </c>
    </row>
    <row r="169" spans="3:16" x14ac:dyDescent="0.25">
      <c r="C169" t="s">
        <v>22</v>
      </c>
      <c r="D169" s="1">
        <v>49</v>
      </c>
      <c r="I169" s="43" t="s">
        <v>66</v>
      </c>
      <c r="J169" s="43">
        <v>9</v>
      </c>
      <c r="L169" s="51" t="s">
        <v>142</v>
      </c>
      <c r="M169" s="49">
        <f>SUM(M162:M168)</f>
        <v>149</v>
      </c>
    </row>
    <row r="170" spans="3:16" x14ac:dyDescent="0.25">
      <c r="D170" s="1">
        <f>SUM(D167:D169)</f>
        <v>147</v>
      </c>
      <c r="I170" s="46" t="s">
        <v>142</v>
      </c>
      <c r="J170" s="43">
        <f>SUM(J165:J169)</f>
        <v>150</v>
      </c>
    </row>
  </sheetData>
  <mergeCells count="2">
    <mergeCell ref="R10:U10"/>
    <mergeCell ref="W10:X10"/>
  </mergeCells>
  <phoneticPr fontId="4" type="noConversion"/>
  <conditionalFormatting sqref="C1:C1048576">
    <cfRule type="duplicateValues" dxfId="20" priority="4"/>
  </conditionalFormatting>
  <conditionalFormatting sqref="C2:C145">
    <cfRule type="duplicateValues" dxfId="19" priority="376"/>
  </conditionalFormatting>
  <conditionalFormatting sqref="E1:E1048576">
    <cfRule type="duplicateValues" dxfId="18" priority="3"/>
  </conditionalFormatting>
  <conditionalFormatting sqref="E2:E116">
    <cfRule type="duplicateValues" dxfId="17" priority="372"/>
  </conditionalFormatting>
  <conditionalFormatting sqref="E2:E145">
    <cfRule type="duplicateValues" dxfId="16" priority="374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Valery Natalia Duarte Gomez</cp:lastModifiedBy>
  <dcterms:created xsi:type="dcterms:W3CDTF">2024-02-28T13:15:28Z</dcterms:created>
  <dcterms:modified xsi:type="dcterms:W3CDTF">2024-12-19T16:27:40Z</dcterms:modified>
</cp:coreProperties>
</file>