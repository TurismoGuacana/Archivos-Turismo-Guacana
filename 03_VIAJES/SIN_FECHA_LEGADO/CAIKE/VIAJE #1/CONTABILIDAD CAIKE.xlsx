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1FD489F1-FA87-4600-8ED1-D0B4708B35B9}" xr6:coauthVersionLast="47" xr6:coauthVersionMax="47" xr10:uidLastSave="{00000000-0000-0000-0000-000000000000}"/>
  <bookViews>
    <workbookView xWindow="-120" yWindow="-120" windowWidth="20730" windowHeight="11040" xr2:uid="{19AC7B29-9DDE-42C6-BA66-4C6C90C416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E12" i="1"/>
</calcChain>
</file>

<file path=xl/sharedStrings.xml><?xml version="1.0" encoding="utf-8"?>
<sst xmlns="http://schemas.openxmlformats.org/spreadsheetml/2006/main" count="36" uniqueCount="27">
  <si>
    <t>N°</t>
  </si>
  <si>
    <t>NOMBRE</t>
  </si>
  <si>
    <t xml:space="preserve">TIPO DE DOCUMENTO </t>
  </si>
  <si>
    <t>NÚMERO DE DOCUMENTO</t>
  </si>
  <si>
    <t>Javier Nicolás Rodríguez Prada</t>
  </si>
  <si>
    <t>CC</t>
  </si>
  <si>
    <t>Adriana Lucia Rodriguez Sanchez</t>
  </si>
  <si>
    <t>Blanca Cecilia Reina</t>
  </si>
  <si>
    <t>Wendy Nayelis Uzcategui Moreno</t>
  </si>
  <si>
    <t>Daniel Santiago Galindo Robayo</t>
  </si>
  <si>
    <t xml:space="preserve">Fabian Andres Sarmiento Acosta </t>
  </si>
  <si>
    <t>Lean Saray  Duran Santoya</t>
  </si>
  <si>
    <t>Maria Magaly peña González</t>
  </si>
  <si>
    <t>Kendry Mercado Nuñez</t>
  </si>
  <si>
    <t>Luis Alberto Duarte Molina</t>
  </si>
  <si>
    <t>PRECIO</t>
  </si>
  <si>
    <t>COMISIÓN</t>
  </si>
  <si>
    <t>COSTOS Y GASTOS CAIKE</t>
  </si>
  <si>
    <t>TRANSPORTE</t>
  </si>
  <si>
    <t>SEGURO</t>
  </si>
  <si>
    <t>DESAYUNO</t>
  </si>
  <si>
    <t>ALMUERZO</t>
  </si>
  <si>
    <t>INGRES0</t>
  </si>
  <si>
    <t>REFRIGERIO</t>
  </si>
  <si>
    <t>TOTAL</t>
  </si>
  <si>
    <t>INGRESO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</si>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</sst>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44" fontId="0" fillId="2" borderId="1" xfId="0" applyNumberFormat="1" applyFill="1" applyBorder="1"/>
    <xf numFmtId="0" fontId="0" fillId="3" borderId="1" xfId="0" applyFill="1" applyBorder="1"/>
    <xf numFmtId="44" fontId="0" fillId="3" borderId="1" xfId="0" applyNumberFormat="1" applyFill="1" applyBorder="1"/>
    <xf numFmtId="0" fontId="0" fillId="4" borderId="1" xfId="0" applyFill="1" applyBorder="1"/>
    <xf numFmtId="44" fontId="0" fillId="4" borderId="1" xfId="0" applyNumberFormat="1" applyFill="1" applyBorder="1"/>
  </cellXfs>
  <cellStyles count="2">
    <cellStyle name="Moneda" xfId="1" builtinId="4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11CB8-CF87-4E6D-ABB0-41D97ADE7EB6}" name="Tabla1" displayName="Tabla1" ref="A1:F12" totalsRowCount="1" headerRowDxfId="13" dataDxfId="12">
  <autoFilter ref="A1:F11" xr:uid="{2D811CB8-CF87-4E6D-ABB0-41D97ADE7EB6}"/>
  <tableColumns count="6">
    <tableColumn id="1" xr3:uid="{71B15C6C-147F-44A3-9433-8F9F034A63E1}" name="N°" dataDxfId="11" totalsRowDxfId="5"/>
    <tableColumn id="2" xr3:uid="{8C787803-2A38-4EFC-B975-F98F6D53510B}" name="NOMBRE" dataDxfId="10" totalsRowDxfId="4"/>
    <tableColumn id="3" xr3:uid="{26B5DE31-0E2B-4843-BF4B-6664B23BBE0F}" name="TIPO DE DOCUMENTO " dataDxfId="9" totalsRowDxfId="3"/>
    <tableColumn id="4" xr3:uid="{DB18F68F-1F91-4F8A-8CFE-05C8BEBE602B}" name="NÚMERO DE DOCUMENTO" dataDxfId="8" totalsRowDxfId="2"/>
    <tableColumn id="5" xr3:uid="{F0BCBAC1-3BB5-4D17-BA77-B5CD2460142F}" name="PRECIO" totalsRowFunction="sum" dataDxfId="7" totalsRowDxfId="1" dataCellStyle="Moneda"/>
    <tableColumn id="6" xr3:uid="{4F7FD3CB-897C-4DD3-89FC-340D45E5B254}" name="COMISIÓN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0DC0-A7C8-4660-B2CB-88C75024CC13}">
  <dimension ref="A1:I12"/>
  <sheetViews>
    <sheetView tabSelected="1" workbookViewId="0">
      <selection activeCell="J15" sqref="J15"/>
    </sheetView>
  </sheetViews>
  <sheetFormatPr baseColWidth="10" defaultRowHeight="15" x14ac:dyDescent="0.25"/>
  <cols>
    <col min="1" max="1" width="5.28515625" style="2" customWidth="1"/>
    <col min="2" max="2" width="30" style="1" bestFit="1" customWidth="1"/>
    <col min="3" max="3" width="22.85546875" style="2" customWidth="1"/>
    <col min="4" max="4" width="26.5703125" style="2" customWidth="1"/>
    <col min="5" max="5" width="14.5703125" bestFit="1" customWidth="1"/>
    <col min="6" max="6" width="15" bestFit="1" customWidth="1"/>
    <col min="8" max="8" width="14.85546875" customWidth="1"/>
    <col min="9" max="9" width="16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2" t="s">
        <v>16</v>
      </c>
      <c r="H1" s="5" t="s">
        <v>17</v>
      </c>
      <c r="I1" s="5"/>
    </row>
    <row r="2" spans="1:9" x14ac:dyDescent="0.25">
      <c r="A2" s="2">
        <v>1</v>
      </c>
      <c r="B2" s="1" t="s">
        <v>4</v>
      </c>
      <c r="C2" s="2" t="s">
        <v>5</v>
      </c>
      <c r="D2" s="2">
        <v>1006729822</v>
      </c>
      <c r="E2" s="4">
        <v>150000</v>
      </c>
      <c r="F2" s="2"/>
      <c r="H2" s="6" t="s">
        <v>18</v>
      </c>
      <c r="I2" s="7">
        <v>750000</v>
      </c>
    </row>
    <row r="3" spans="1:9" x14ac:dyDescent="0.25">
      <c r="A3" s="2">
        <v>2</v>
      </c>
      <c r="B3" s="1" t="s">
        <v>6</v>
      </c>
      <c r="C3" s="2" t="s">
        <v>5</v>
      </c>
      <c r="D3" s="2">
        <v>1028400504</v>
      </c>
      <c r="E3" s="4">
        <v>150000</v>
      </c>
      <c r="F3" s="2"/>
      <c r="H3" s="6" t="s">
        <v>19</v>
      </c>
      <c r="I3" s="7">
        <v>10000</v>
      </c>
    </row>
    <row r="4" spans="1:9" x14ac:dyDescent="0.25">
      <c r="A4" s="2">
        <v>3</v>
      </c>
      <c r="B4" s="1" t="s">
        <v>8</v>
      </c>
      <c r="C4" s="2" t="s">
        <v>5</v>
      </c>
      <c r="D4" s="2">
        <v>5798550</v>
      </c>
      <c r="E4" s="4">
        <v>150000</v>
      </c>
      <c r="F4" s="2"/>
      <c r="H4" s="6" t="s">
        <v>20</v>
      </c>
      <c r="I4" s="7">
        <v>115000</v>
      </c>
    </row>
    <row r="5" spans="1:9" x14ac:dyDescent="0.25">
      <c r="A5" s="2">
        <v>4</v>
      </c>
      <c r="B5" s="1" t="s">
        <v>7</v>
      </c>
      <c r="C5" s="2" t="s">
        <v>5</v>
      </c>
      <c r="D5" s="2">
        <v>20823862</v>
      </c>
      <c r="E5" s="4">
        <v>150000</v>
      </c>
      <c r="F5" s="2"/>
      <c r="H5" s="6" t="s">
        <v>21</v>
      </c>
      <c r="I5" s="7">
        <v>180003</v>
      </c>
    </row>
    <row r="6" spans="1:9" x14ac:dyDescent="0.25">
      <c r="A6" s="2">
        <v>5</v>
      </c>
      <c r="B6" s="1" t="s">
        <v>9</v>
      </c>
      <c r="C6" s="2" t="s">
        <v>5</v>
      </c>
      <c r="D6" s="2">
        <v>1073628237</v>
      </c>
      <c r="E6" s="4">
        <v>150000</v>
      </c>
      <c r="F6" s="2"/>
      <c r="H6" s="6" t="s">
        <v>22</v>
      </c>
      <c r="I6" s="7">
        <v>350000</v>
      </c>
    </row>
    <row r="7" spans="1:9" x14ac:dyDescent="0.25">
      <c r="A7" s="2">
        <v>6</v>
      </c>
      <c r="B7" s="1" t="s">
        <v>10</v>
      </c>
      <c r="C7" s="2" t="s">
        <v>5</v>
      </c>
      <c r="D7" s="2">
        <v>1003822094</v>
      </c>
      <c r="E7" s="4">
        <v>150000</v>
      </c>
      <c r="F7" s="2"/>
      <c r="H7" s="6" t="s">
        <v>23</v>
      </c>
      <c r="I7" s="7">
        <v>40000</v>
      </c>
    </row>
    <row r="8" spans="1:9" x14ac:dyDescent="0.25">
      <c r="A8" s="2">
        <v>7</v>
      </c>
      <c r="B8" s="1" t="s">
        <v>11</v>
      </c>
      <c r="C8" s="2" t="s">
        <v>5</v>
      </c>
      <c r="D8" s="2">
        <v>1072099928</v>
      </c>
      <c r="E8" s="4">
        <v>150000</v>
      </c>
      <c r="F8" s="2"/>
      <c r="H8" s="8" t="s">
        <v>24</v>
      </c>
      <c r="I8" s="9">
        <f>SUM(I2:I7)</f>
        <v>1445003</v>
      </c>
    </row>
    <row r="9" spans="1:9" x14ac:dyDescent="0.25">
      <c r="A9" s="2">
        <v>8</v>
      </c>
      <c r="B9" s="1" t="s">
        <v>12</v>
      </c>
      <c r="C9" s="2" t="s">
        <v>5</v>
      </c>
      <c r="D9" s="2">
        <v>1053329333</v>
      </c>
      <c r="E9" s="4">
        <v>150000</v>
      </c>
      <c r="F9" s="2"/>
      <c r="H9" s="10" t="s">
        <v>25</v>
      </c>
      <c r="I9" s="11">
        <f>Tabla1[[#Totals],[PRECIO]]</f>
        <v>1350000</v>
      </c>
    </row>
    <row r="10" spans="1:9" x14ac:dyDescent="0.25">
      <c r="A10" s="2">
        <v>9</v>
      </c>
      <c r="B10" s="1" t="s">
        <v>13</v>
      </c>
      <c r="C10" s="2" t="s">
        <v>5</v>
      </c>
      <c r="D10" s="2">
        <v>1193099924</v>
      </c>
      <c r="E10" s="4">
        <v>150000</v>
      </c>
      <c r="F10" s="2"/>
      <c r="H10" s="12" t="s">
        <v>26</v>
      </c>
      <c r="I10" s="13">
        <f>I9-I8</f>
        <v>-95003</v>
      </c>
    </row>
    <row r="11" spans="1:9" x14ac:dyDescent="0.25">
      <c r="A11" s="2">
        <v>10</v>
      </c>
      <c r="B11" s="1" t="s">
        <v>14</v>
      </c>
      <c r="C11" s="2" t="s">
        <v>5</v>
      </c>
      <c r="D11" s="3">
        <v>79538678</v>
      </c>
      <c r="E11" s="4">
        <v>0</v>
      </c>
      <c r="F11" s="2"/>
    </row>
    <row r="12" spans="1:9" x14ac:dyDescent="0.25">
      <c r="E12" s="4">
        <f>SUBTOTAL(109,Tabla1[PRECIO])</f>
        <v>1350000</v>
      </c>
      <c r="F12" s="2"/>
    </row>
  </sheetData>
  <mergeCells count="1">
    <mergeCell ref="H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2023-11-02T23:07:06Z</dcterms:created>
  <dcterms:modified xsi:type="dcterms:W3CDTF">2023-11-07T21:43:04Z</dcterms:modified>
</cp:coreProperties>
</file>