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Turismo Guacana\SANTURIO DE LAS LAJAS\"/>
    </mc:Choice>
  </mc:AlternateContent>
  <xr:revisionPtr revIDLastSave="0" documentId="13_ncr:1_{56D89999-28FA-47CD-9516-975B4A579F02}" xr6:coauthVersionLast="47" xr6:coauthVersionMax="47" xr10:uidLastSave="{00000000-0000-0000-0000-000000000000}"/>
  <bookViews>
    <workbookView xWindow="-120" yWindow="-120" windowWidth="20730" windowHeight="11040" xr2:uid="{F231D84F-209A-4E29-8899-410DB4832E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5" i="1" l="1"/>
  <c r="P36" i="1"/>
  <c r="P34" i="1"/>
  <c r="P37" i="1" s="1"/>
  <c r="O37" i="1"/>
  <c r="J6" i="1"/>
  <c r="J7" i="1"/>
  <c r="J8" i="1"/>
  <c r="J9" i="1"/>
  <c r="J12" i="1"/>
  <c r="J13" i="1"/>
  <c r="J14" i="1"/>
  <c r="J15" i="1"/>
  <c r="J16" i="1"/>
  <c r="J17" i="1"/>
  <c r="J18" i="1"/>
  <c r="J21" i="1"/>
  <c r="J22" i="1"/>
  <c r="J23" i="1"/>
  <c r="J24" i="1"/>
  <c r="J25" i="1"/>
  <c r="J26" i="1"/>
  <c r="J27" i="1"/>
  <c r="J5" i="1"/>
  <c r="O28" i="1"/>
  <c r="O23" i="1"/>
  <c r="O24" i="1"/>
  <c r="J28" i="1"/>
  <c r="O29" i="1" s="1"/>
  <c r="I28" i="1"/>
  <c r="O39" i="1" l="1"/>
  <c r="O30" i="1"/>
</calcChain>
</file>

<file path=xl/sharedStrings.xml><?xml version="1.0" encoding="utf-8"?>
<sst xmlns="http://schemas.openxmlformats.org/spreadsheetml/2006/main" count="157" uniqueCount="87">
  <si>
    <t>LUZ AMPARO RIVERA HERNANDEZ</t>
  </si>
  <si>
    <t>C.C</t>
  </si>
  <si>
    <t>311 527 8122</t>
  </si>
  <si>
    <t>NOMBRE</t>
  </si>
  <si>
    <t>N°</t>
  </si>
  <si>
    <t>T.D</t>
  </si>
  <si>
    <t>N° DE DOCUMENTO</t>
  </si>
  <si>
    <t>FECHA DE NACIMIENTO</t>
  </si>
  <si>
    <t>TELEFÓNO</t>
  </si>
  <si>
    <t xml:space="preserve">COMISIONISTAS </t>
  </si>
  <si>
    <t>ABONO</t>
  </si>
  <si>
    <t>DEUDA</t>
  </si>
  <si>
    <t>JAIME EDUARDO ROZO</t>
  </si>
  <si>
    <t>NINFA RINCON SALCEDO</t>
  </si>
  <si>
    <t xml:space="preserve">ALEXANDRA ROZO </t>
  </si>
  <si>
    <t>LUIS HERNANDO TORRES</t>
  </si>
  <si>
    <t>313 346 9491</t>
  </si>
  <si>
    <t>MARIA FRANCENETH GRISALES</t>
  </si>
  <si>
    <t>322 252 0795</t>
  </si>
  <si>
    <t xml:space="preserve">YOMARI FARIAS </t>
  </si>
  <si>
    <t xml:space="preserve">MARIA GLORIA AMERICA FARIAS </t>
  </si>
  <si>
    <t xml:space="preserve">GABRIELA ALZATE </t>
  </si>
  <si>
    <t>ANA EDITH MORENO SILVA</t>
  </si>
  <si>
    <t>ROSA YOLANDA MORENO SILVA</t>
  </si>
  <si>
    <t>Luz Mary Carvajal Rodríguez</t>
  </si>
  <si>
    <t>apulo</t>
  </si>
  <si>
    <t>anapoima</t>
  </si>
  <si>
    <t>tocaima</t>
  </si>
  <si>
    <t>Said Peña munayar</t>
  </si>
  <si>
    <t>edith</t>
  </si>
  <si>
    <t>María Doris Alvarado Bolivar</t>
  </si>
  <si>
    <t>Rosalbina Rodríguez de Garnica</t>
  </si>
  <si>
    <t>María Leonor Ahumada de cortés</t>
  </si>
  <si>
    <t>MOSQUERA</t>
  </si>
  <si>
    <t>MERCEDES CORTEZ JIMENEZ</t>
  </si>
  <si>
    <t>GABRIEL CABRERA</t>
  </si>
  <si>
    <t>LUIS ALBERTO DUARTE</t>
  </si>
  <si>
    <t>Martha Cecilia Acosta Clavijo</t>
  </si>
  <si>
    <t>José del  Carmen Muñoz Saldana</t>
  </si>
  <si>
    <t>mafe</t>
  </si>
  <si>
    <t>BOGOTÁ</t>
  </si>
  <si>
    <t>APULO</t>
  </si>
  <si>
    <t>ANAPOIMA</t>
  </si>
  <si>
    <t>TOCAIMA</t>
  </si>
  <si>
    <t>LAD</t>
  </si>
  <si>
    <t>310 337 9181</t>
  </si>
  <si>
    <t>_</t>
  </si>
  <si>
    <t>300 247 1845</t>
  </si>
  <si>
    <t>Celular</t>
  </si>
  <si>
    <t>314 244 4796</t>
  </si>
  <si>
    <t>322 674 2903</t>
  </si>
  <si>
    <t>320 385 3311</t>
  </si>
  <si>
    <t>312 519 0682</t>
  </si>
  <si>
    <t xml:space="preserve">310 789 5346 </t>
  </si>
  <si>
    <t>Flor Elba Rodríguez</t>
  </si>
  <si>
    <t>LUZ MARINA FARIAS DE LOPEZ</t>
  </si>
  <si>
    <t>no</t>
  </si>
  <si>
    <t>NO</t>
  </si>
  <si>
    <t>Columna1</t>
  </si>
  <si>
    <t>Columna2</t>
  </si>
  <si>
    <t>TRANSPORTE</t>
  </si>
  <si>
    <t>ALOJAMIENTO 1 + DESAYUNO + CENA</t>
  </si>
  <si>
    <t>ALOJAMIENTO 2 + DESAYUNO</t>
  </si>
  <si>
    <t>SEGURO</t>
  </si>
  <si>
    <t>PASEO EN LAGO DE LA COCHA</t>
  </si>
  <si>
    <t>INGRESO A TERMALES</t>
  </si>
  <si>
    <t>GUÍA TURÍSTICO PASTO</t>
  </si>
  <si>
    <t>GUÍA TURÍSTICO POPAYAN</t>
  </si>
  <si>
    <t>CENA EN LAJAS</t>
  </si>
  <si>
    <t>ALMUERZO EN EL LAGO</t>
  </si>
  <si>
    <t>almuerzo en tulcan 96800</t>
  </si>
  <si>
    <t>ALMUERZOS EMPRESA</t>
  </si>
  <si>
    <t>Almuerzo 43000</t>
  </si>
  <si>
    <t>TOTAL</t>
  </si>
  <si>
    <t>INGRESO</t>
  </si>
  <si>
    <t>GASTOS DE REPRESENTACIÓN (Propina, licor)</t>
  </si>
  <si>
    <t xml:space="preserve">Gastos y costos </t>
  </si>
  <si>
    <t>COMISIONISTAS</t>
  </si>
  <si>
    <t>PAX</t>
  </si>
  <si>
    <t>VALOR</t>
  </si>
  <si>
    <t>MAFE</t>
  </si>
  <si>
    <t xml:space="preserve">EDITH </t>
  </si>
  <si>
    <t>UTILIDAD</t>
  </si>
  <si>
    <t>INMIGRACIÓN</t>
  </si>
  <si>
    <t>EXCEDENTE PASTO FRUTA</t>
  </si>
  <si>
    <t>ALMUERZO PARADOR NICO</t>
  </si>
  <si>
    <t>EXCEDENTE ALMUERZO EN EL LAGO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</si>
</sst>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30">
    <xf numFmtId="0" fontId="0" fillId="0" borderId="0" xfId="0"/>
    <xf numFmtId="3" fontId="0" fillId="0" borderId="0" xfId="0" applyNumberFormat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2" borderId="0" xfId="0" applyFont="1" applyFill="1"/>
    <xf numFmtId="3" fontId="0" fillId="0" borderId="1" xfId="0" applyNumberFormat="1" applyBorder="1" applyAlignment="1">
      <alignment horizontal="center"/>
    </xf>
    <xf numFmtId="0" fontId="1" fillId="4" borderId="0" xfId="0" applyFont="1" applyFill="1"/>
    <xf numFmtId="0" fontId="0" fillId="5" borderId="0" xfId="0" applyFill="1"/>
    <xf numFmtId="0" fontId="2" fillId="6" borderId="0" xfId="0" applyFont="1" applyFill="1"/>
    <xf numFmtId="44" fontId="0" fillId="0" borderId="0" xfId="1" applyFont="1" applyAlignment="1">
      <alignment horizontal="center"/>
    </xf>
    <xf numFmtId="44" fontId="0" fillId="0" borderId="0" xfId="1" applyFont="1"/>
    <xf numFmtId="44" fontId="0" fillId="0" borderId="0" xfId="0" applyNumberFormat="1"/>
    <xf numFmtId="44" fontId="3" fillId="0" borderId="0" xfId="0" applyNumberFormat="1" applyFont="1"/>
    <xf numFmtId="0" fontId="0" fillId="0" borderId="2" xfId="0" applyBorder="1"/>
    <xf numFmtId="44" fontId="0" fillId="0" borderId="2" xfId="1" applyFont="1" applyBorder="1"/>
    <xf numFmtId="0" fontId="0" fillId="0" borderId="2" xfId="1" applyNumberFormat="1" applyFont="1" applyBorder="1"/>
    <xf numFmtId="44" fontId="0" fillId="0" borderId="4" xfId="1" applyFont="1" applyBorder="1"/>
    <xf numFmtId="0" fontId="0" fillId="0" borderId="3" xfId="0" applyBorder="1"/>
    <xf numFmtId="44" fontId="0" fillId="0" borderId="3" xfId="1" applyFont="1" applyBorder="1"/>
    <xf numFmtId="44" fontId="0" fillId="0" borderId="5" xfId="1" applyFont="1" applyBorder="1"/>
    <xf numFmtId="0" fontId="0" fillId="5" borderId="5" xfId="0" applyFill="1" applyBorder="1"/>
    <xf numFmtId="0" fontId="0" fillId="3" borderId="4" xfId="0" applyFill="1" applyBorder="1"/>
    <xf numFmtId="0" fontId="0" fillId="0" borderId="2" xfId="0" applyBorder="1" applyAlignment="1">
      <alignment horizontal="center"/>
    </xf>
    <xf numFmtId="0" fontId="0" fillId="2" borderId="6" xfId="0" applyFill="1" applyBorder="1"/>
    <xf numFmtId="44" fontId="0" fillId="0" borderId="6" xfId="1" applyFont="1" applyBorder="1"/>
    <xf numFmtId="0" fontId="0" fillId="0" borderId="2" xfId="0" applyFill="1" applyBorder="1"/>
  </cellXfs>
  <cellStyles count="2">
    <cellStyle name="Moneda" xfId="1" builtinId="4"/>
    <cellStyle name="Normal" xfId="0" builtinId="0"/>
  </cellStyles>
  <dxfs count="12"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$&quot;\ * #,##0.00_-;\-&quot;$&quot;\ * #,##0.00_-;_-&quot;$&quot;\ * &quot;-&quot;??_-;_-@_-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347E8B-6310-4745-BA6C-F4507567BE71}" name="Tabla1" displayName="Tabla1" ref="B4:L28" totalsRowCount="1" headerRowDxfId="11">
  <autoFilter ref="B4:L27" xr:uid="{E6347E8B-6310-4745-BA6C-F4507567BE71}"/>
  <tableColumns count="11">
    <tableColumn id="1" xr3:uid="{6B851BA7-021C-4DDF-954A-DCD0A7769A0A}" name="N°" dataDxfId="10" totalsRowDxfId="9"/>
    <tableColumn id="2" xr3:uid="{13FC6257-5CEF-4289-9EB8-E759E7BE211E}" name="NOMBRE"/>
    <tableColumn id="3" xr3:uid="{A2DF27D9-46C6-4FC1-A78A-D389090D1091}" name="T.D"/>
    <tableColumn id="4" xr3:uid="{C53EEE21-EAE2-43D1-B204-AFE5F4563CB9}" name="N° DE DOCUMENTO" dataDxfId="8" totalsRowDxfId="7"/>
    <tableColumn id="5" xr3:uid="{C8586E56-9ABF-4CF1-8F76-3EAAE73BD6BF}" name="FECHA DE NACIMIENTO" dataDxfId="6" totalsRowDxfId="5"/>
    <tableColumn id="6" xr3:uid="{5E150EA3-2889-4FAE-B05C-91152DFC3FC3}" name="TELEFÓNO" dataDxfId="4" totalsRowDxfId="3"/>
    <tableColumn id="7" xr3:uid="{42BE5AAE-0A49-4AF5-9F6D-55934C23038C}" name="COMISIONISTAS "/>
    <tableColumn id="11" xr3:uid="{F63F7D0F-101D-47EA-BC0F-D3EB6EC1EE89}" name="Columna2" totalsRowFunction="sum" totalsRowDxfId="2" dataCellStyle="Moneda"/>
    <tableColumn id="10" xr3:uid="{FE1EE7EA-3484-494D-882A-F63EF152921D}" name="Columna1" totalsRowFunction="sum" dataDxfId="1" totalsRowDxfId="0">
      <calculatedColumnFormula>Tabla1[[#This Row],[Columna2]]-40000</calculatedColumnFormula>
    </tableColumn>
    <tableColumn id="8" xr3:uid="{21B73F67-35A2-418F-B79B-F33FDB2EAE2A}" name="ABONO"/>
    <tableColumn id="9" xr3:uid="{E8C54952-A09E-4723-A6F5-B524311B05BC}" name="DEU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57D33-A09B-4AA7-9D36-5EC6DAC280B9}">
  <dimension ref="B4:P39"/>
  <sheetViews>
    <sheetView tabSelected="1" topLeftCell="H11" zoomScale="83" workbookViewId="0">
      <selection activeCell="P31" sqref="P31"/>
    </sheetView>
  </sheetViews>
  <sheetFormatPr baseColWidth="10" defaultRowHeight="15" x14ac:dyDescent="0.25"/>
  <cols>
    <col min="2" max="2" width="5.42578125" style="2" bestFit="1" customWidth="1"/>
    <col min="3" max="3" width="31.140625" bestFit="1" customWidth="1"/>
    <col min="4" max="4" width="8.42578125" bestFit="1" customWidth="1"/>
    <col min="5" max="5" width="23" style="2" bestFit="1" customWidth="1"/>
    <col min="6" max="6" width="26.42578125" style="2" bestFit="1" customWidth="1"/>
    <col min="7" max="7" width="14.7109375" style="2" bestFit="1" customWidth="1"/>
    <col min="8" max="8" width="20.28515625" bestFit="1" customWidth="1"/>
    <col min="9" max="9" width="20.28515625" style="14" customWidth="1"/>
    <col min="10" max="10" width="20.28515625" customWidth="1"/>
    <col min="14" max="14" width="42.42578125" bestFit="1" customWidth="1"/>
    <col min="15" max="15" width="16" style="14" bestFit="1" customWidth="1"/>
    <col min="16" max="16" width="25.28515625" bestFit="1" customWidth="1"/>
  </cols>
  <sheetData>
    <row r="4" spans="2:15" s="2" customFormat="1" x14ac:dyDescent="0.25">
      <c r="B4" s="2" t="s">
        <v>4</v>
      </c>
      <c r="C4" s="2" t="s">
        <v>3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13" t="s">
        <v>59</v>
      </c>
      <c r="J4" s="2" t="s">
        <v>58</v>
      </c>
      <c r="K4" s="2" t="s">
        <v>10</v>
      </c>
      <c r="L4" s="2" t="s">
        <v>11</v>
      </c>
      <c r="O4" s="13"/>
    </row>
    <row r="5" spans="2:15" x14ac:dyDescent="0.25">
      <c r="B5" s="2">
        <v>1</v>
      </c>
      <c r="C5" s="5" t="s">
        <v>0</v>
      </c>
      <c r="D5" t="s">
        <v>1</v>
      </c>
      <c r="E5" s="3">
        <v>39630377</v>
      </c>
      <c r="F5" s="4">
        <v>21965</v>
      </c>
      <c r="G5" s="2" t="s">
        <v>2</v>
      </c>
      <c r="H5" t="s">
        <v>44</v>
      </c>
      <c r="I5" s="14">
        <v>890000</v>
      </c>
      <c r="J5" s="15">
        <f>Tabla1[[#This Row],[Columna2]]-40000</f>
        <v>850000</v>
      </c>
      <c r="K5" s="1">
        <v>200000</v>
      </c>
      <c r="L5" s="1">
        <v>690000</v>
      </c>
      <c r="N5" s="5" t="s">
        <v>25</v>
      </c>
    </row>
    <row r="6" spans="2:15" x14ac:dyDescent="0.25">
      <c r="B6" s="2">
        <v>2</v>
      </c>
      <c r="C6" s="5" t="s">
        <v>12</v>
      </c>
      <c r="D6" t="s">
        <v>1</v>
      </c>
      <c r="E6" s="3">
        <v>3268297</v>
      </c>
      <c r="F6" s="4" t="s">
        <v>41</v>
      </c>
      <c r="G6" s="2" t="s">
        <v>53</v>
      </c>
      <c r="H6" t="s">
        <v>29</v>
      </c>
      <c r="I6" s="14">
        <v>890000</v>
      </c>
      <c r="J6" s="15">
        <f>Tabla1[[#This Row],[Columna2]]-40000</f>
        <v>850000</v>
      </c>
      <c r="N6" s="6" t="s">
        <v>26</v>
      </c>
    </row>
    <row r="7" spans="2:15" x14ac:dyDescent="0.25">
      <c r="B7" s="2">
        <v>3</v>
      </c>
      <c r="C7" s="5" t="s">
        <v>13</v>
      </c>
      <c r="D7" t="s">
        <v>1</v>
      </c>
      <c r="E7" s="3">
        <v>21165471</v>
      </c>
      <c r="F7" s="4" t="s">
        <v>41</v>
      </c>
      <c r="G7" s="2" t="s">
        <v>46</v>
      </c>
      <c r="H7" t="s">
        <v>29</v>
      </c>
      <c r="I7" s="14">
        <v>890000</v>
      </c>
      <c r="J7" s="15">
        <f>Tabla1[[#This Row],[Columna2]]-40000</f>
        <v>850000</v>
      </c>
      <c r="N7" s="7" t="s">
        <v>27</v>
      </c>
    </row>
    <row r="8" spans="2:15" x14ac:dyDescent="0.25">
      <c r="B8" s="2">
        <v>4</v>
      </c>
      <c r="C8" s="11" t="s">
        <v>14</v>
      </c>
      <c r="D8" t="s">
        <v>1</v>
      </c>
      <c r="E8" s="3">
        <v>35418190</v>
      </c>
      <c r="F8" s="4" t="s">
        <v>41</v>
      </c>
      <c r="G8" s="2" t="s">
        <v>45</v>
      </c>
      <c r="H8" t="s">
        <v>44</v>
      </c>
      <c r="I8" s="14">
        <v>890000</v>
      </c>
      <c r="J8" s="15">
        <f>Tabla1[[#This Row],[Columna2]]-40000</f>
        <v>850000</v>
      </c>
    </row>
    <row r="9" spans="2:15" x14ac:dyDescent="0.25">
      <c r="B9" s="2">
        <v>5</v>
      </c>
      <c r="C9" s="6" t="s">
        <v>34</v>
      </c>
      <c r="D9" t="s">
        <v>1</v>
      </c>
      <c r="E9" s="3">
        <v>41391268</v>
      </c>
      <c r="F9" s="4" t="s">
        <v>42</v>
      </c>
      <c r="G9" s="2" t="s">
        <v>47</v>
      </c>
      <c r="H9" t="s">
        <v>44</v>
      </c>
      <c r="I9" s="14">
        <v>890000</v>
      </c>
      <c r="J9" s="15">
        <f>Tabla1[[#This Row],[Columna2]]-40000</f>
        <v>850000</v>
      </c>
    </row>
    <row r="10" spans="2:15" x14ac:dyDescent="0.25">
      <c r="B10" s="2">
        <v>6</v>
      </c>
      <c r="C10" s="5" t="s">
        <v>15</v>
      </c>
      <c r="D10" t="s">
        <v>1</v>
      </c>
      <c r="E10" s="3">
        <v>19470754</v>
      </c>
      <c r="F10" s="4" t="s">
        <v>41</v>
      </c>
      <c r="G10" s="2" t="s">
        <v>16</v>
      </c>
      <c r="H10" t="s">
        <v>57</v>
      </c>
      <c r="I10" s="14">
        <v>0</v>
      </c>
      <c r="J10" s="15">
        <v>0</v>
      </c>
    </row>
    <row r="11" spans="2:15" x14ac:dyDescent="0.25">
      <c r="B11" s="2">
        <v>7</v>
      </c>
      <c r="C11" s="5" t="s">
        <v>17</v>
      </c>
      <c r="D11" t="s">
        <v>1</v>
      </c>
      <c r="E11" s="3">
        <v>51767398</v>
      </c>
      <c r="F11" s="4" t="s">
        <v>41</v>
      </c>
      <c r="G11" s="2" t="s">
        <v>18</v>
      </c>
      <c r="H11" t="s">
        <v>57</v>
      </c>
      <c r="I11" s="14">
        <v>0</v>
      </c>
      <c r="J11" s="15">
        <v>0</v>
      </c>
      <c r="N11" s="26" t="s">
        <v>76</v>
      </c>
      <c r="O11" s="26"/>
    </row>
    <row r="12" spans="2:15" x14ac:dyDescent="0.25">
      <c r="B12" s="2">
        <v>8</v>
      </c>
      <c r="C12" s="5" t="s">
        <v>55</v>
      </c>
      <c r="D12" t="s">
        <v>1</v>
      </c>
      <c r="E12" s="3">
        <v>21056386</v>
      </c>
      <c r="F12" s="4" t="s">
        <v>41</v>
      </c>
      <c r="G12" s="2" t="s">
        <v>48</v>
      </c>
      <c r="H12" t="s">
        <v>29</v>
      </c>
      <c r="I12" s="14">
        <v>890000</v>
      </c>
      <c r="J12" s="15">
        <f>Tabla1[[#This Row],[Columna2]]-40000</f>
        <v>850000</v>
      </c>
      <c r="N12" s="17" t="s">
        <v>60</v>
      </c>
      <c r="O12" s="18">
        <v>7500000</v>
      </c>
    </row>
    <row r="13" spans="2:15" x14ac:dyDescent="0.25">
      <c r="B13" s="2">
        <v>9</v>
      </c>
      <c r="C13" s="5" t="s">
        <v>19</v>
      </c>
      <c r="D13" t="s">
        <v>1</v>
      </c>
      <c r="E13" s="3">
        <v>20871432</v>
      </c>
      <c r="F13" s="4" t="s">
        <v>41</v>
      </c>
      <c r="G13" s="2" t="s">
        <v>46</v>
      </c>
      <c r="H13" t="s">
        <v>29</v>
      </c>
      <c r="I13" s="14">
        <v>890000</v>
      </c>
      <c r="J13" s="15">
        <f>Tabla1[[#This Row],[Columna2]]-40000</f>
        <v>850000</v>
      </c>
      <c r="N13" s="17" t="s">
        <v>61</v>
      </c>
      <c r="O13" s="18">
        <v>2117000</v>
      </c>
    </row>
    <row r="14" spans="2:15" x14ac:dyDescent="0.25">
      <c r="B14" s="2">
        <v>10</v>
      </c>
      <c r="C14" s="5" t="s">
        <v>20</v>
      </c>
      <c r="D14" t="s">
        <v>1</v>
      </c>
      <c r="E14" s="3">
        <v>41607607</v>
      </c>
      <c r="F14" s="4" t="s">
        <v>41</v>
      </c>
      <c r="G14" s="2" t="s">
        <v>46</v>
      </c>
      <c r="H14" t="s">
        <v>29</v>
      </c>
      <c r="I14" s="14">
        <v>890000</v>
      </c>
      <c r="J14" s="15">
        <f>Tabla1[[#This Row],[Columna2]]-40000</f>
        <v>850000</v>
      </c>
      <c r="N14" s="17" t="s">
        <v>62</v>
      </c>
      <c r="O14" s="18">
        <v>1260000</v>
      </c>
    </row>
    <row r="15" spans="2:15" x14ac:dyDescent="0.25">
      <c r="B15" s="2">
        <v>11</v>
      </c>
      <c r="C15" s="5" t="s">
        <v>21</v>
      </c>
      <c r="D15" t="s">
        <v>1</v>
      </c>
      <c r="E15" s="3">
        <v>43043664</v>
      </c>
      <c r="F15" s="4" t="s">
        <v>41</v>
      </c>
      <c r="G15" s="2" t="s">
        <v>48</v>
      </c>
      <c r="H15" t="s">
        <v>29</v>
      </c>
      <c r="I15" s="14">
        <v>890000</v>
      </c>
      <c r="J15" s="15">
        <f>Tabla1[[#This Row],[Columna2]]-40000</f>
        <v>850000</v>
      </c>
      <c r="N15" s="17" t="s">
        <v>63</v>
      </c>
      <c r="O15" s="18">
        <v>145000</v>
      </c>
    </row>
    <row r="16" spans="2:15" x14ac:dyDescent="0.25">
      <c r="B16" s="2">
        <v>12</v>
      </c>
      <c r="C16" s="8" t="s">
        <v>54</v>
      </c>
      <c r="D16" t="s">
        <v>1</v>
      </c>
      <c r="E16" s="3">
        <v>28239599</v>
      </c>
      <c r="F16" s="4" t="s">
        <v>41</v>
      </c>
      <c r="G16" s="2" t="s">
        <v>46</v>
      </c>
      <c r="H16" t="s">
        <v>29</v>
      </c>
      <c r="I16" s="14">
        <v>890000</v>
      </c>
      <c r="J16" s="15">
        <f>Tabla1[[#This Row],[Columna2]]-40000</f>
        <v>850000</v>
      </c>
      <c r="K16" s="1">
        <v>700000</v>
      </c>
      <c r="L16" s="1">
        <v>190000</v>
      </c>
      <c r="N16" s="17" t="s">
        <v>64</v>
      </c>
      <c r="O16" s="18">
        <v>300000</v>
      </c>
    </row>
    <row r="17" spans="2:16" x14ac:dyDescent="0.25">
      <c r="B17" s="2">
        <v>13</v>
      </c>
      <c r="C17" s="5" t="s">
        <v>22</v>
      </c>
      <c r="D17" t="s">
        <v>1</v>
      </c>
      <c r="E17" s="3">
        <v>51651431</v>
      </c>
      <c r="F17" s="4" t="s">
        <v>41</v>
      </c>
      <c r="G17" s="2" t="s">
        <v>48</v>
      </c>
      <c r="H17" t="s">
        <v>29</v>
      </c>
      <c r="I17" s="14">
        <v>890000</v>
      </c>
      <c r="J17" s="15">
        <f>Tabla1[[#This Row],[Columna2]]-40000</f>
        <v>850000</v>
      </c>
      <c r="N17" s="17" t="s">
        <v>69</v>
      </c>
      <c r="O17" s="18">
        <v>440000</v>
      </c>
    </row>
    <row r="18" spans="2:16" x14ac:dyDescent="0.25">
      <c r="B18" s="2">
        <v>14</v>
      </c>
      <c r="C18" s="5" t="s">
        <v>23</v>
      </c>
      <c r="D18" t="s">
        <v>1</v>
      </c>
      <c r="E18" s="3">
        <v>20871242</v>
      </c>
      <c r="F18" s="4" t="s">
        <v>41</v>
      </c>
      <c r="G18" s="2" t="s">
        <v>49</v>
      </c>
      <c r="H18" t="s">
        <v>29</v>
      </c>
      <c r="I18" s="14">
        <v>890000</v>
      </c>
      <c r="J18" s="15">
        <f>Tabla1[[#This Row],[Columna2]]-40000</f>
        <v>850000</v>
      </c>
      <c r="N18" s="29" t="s">
        <v>86</v>
      </c>
      <c r="O18" s="18">
        <v>30000</v>
      </c>
    </row>
    <row r="19" spans="2:16" x14ac:dyDescent="0.25">
      <c r="B19" s="2">
        <v>15</v>
      </c>
      <c r="C19" s="8" t="s">
        <v>36</v>
      </c>
      <c r="D19" t="s">
        <v>1</v>
      </c>
      <c r="E19" s="3">
        <v>79538678</v>
      </c>
      <c r="F19" s="4" t="s">
        <v>41</v>
      </c>
      <c r="G19" s="2" t="s">
        <v>46</v>
      </c>
      <c r="H19" t="s">
        <v>56</v>
      </c>
      <c r="I19" s="14">
        <v>0</v>
      </c>
      <c r="J19" s="15">
        <v>0</v>
      </c>
      <c r="N19" s="17" t="s">
        <v>65</v>
      </c>
      <c r="O19" s="18">
        <v>665000</v>
      </c>
    </row>
    <row r="20" spans="2:16" x14ac:dyDescent="0.25">
      <c r="B20" s="2">
        <v>16</v>
      </c>
      <c r="C20" s="10" t="s">
        <v>35</v>
      </c>
      <c r="D20" t="s">
        <v>1</v>
      </c>
      <c r="E20" s="9">
        <v>79656808</v>
      </c>
      <c r="F20" s="4" t="s">
        <v>43</v>
      </c>
      <c r="G20" s="2" t="s">
        <v>46</v>
      </c>
      <c r="H20" t="s">
        <v>56</v>
      </c>
      <c r="I20" s="14">
        <v>0</v>
      </c>
      <c r="J20" s="15">
        <v>0</v>
      </c>
      <c r="N20" s="17" t="s">
        <v>66</v>
      </c>
      <c r="O20" s="18">
        <v>70000</v>
      </c>
    </row>
    <row r="21" spans="2:16" x14ac:dyDescent="0.25">
      <c r="B21" s="2">
        <v>17</v>
      </c>
      <c r="C21" s="11" t="s">
        <v>31</v>
      </c>
      <c r="D21" t="s">
        <v>1</v>
      </c>
      <c r="E21" s="3">
        <v>21163757</v>
      </c>
      <c r="F21" s="4" t="s">
        <v>33</v>
      </c>
      <c r="G21" s="2" t="s">
        <v>46</v>
      </c>
      <c r="H21" t="s">
        <v>44</v>
      </c>
      <c r="I21" s="14">
        <v>890000</v>
      </c>
      <c r="J21" s="15">
        <f>Tabla1[[#This Row],[Columna2]]-40000</f>
        <v>850000</v>
      </c>
      <c r="N21" s="17" t="s">
        <v>67</v>
      </c>
      <c r="O21" s="18">
        <v>150000</v>
      </c>
      <c r="P21" t="s">
        <v>70</v>
      </c>
    </row>
    <row r="22" spans="2:16" x14ac:dyDescent="0.25">
      <c r="B22" s="2">
        <v>18</v>
      </c>
      <c r="C22" s="11" t="s">
        <v>32</v>
      </c>
      <c r="D22" t="s">
        <v>1</v>
      </c>
      <c r="E22" s="3">
        <v>41665494</v>
      </c>
      <c r="F22" s="4" t="s">
        <v>33</v>
      </c>
      <c r="G22" s="2" t="s">
        <v>46</v>
      </c>
      <c r="H22" t="s">
        <v>44</v>
      </c>
      <c r="I22" s="14">
        <v>890000</v>
      </c>
      <c r="J22" s="15">
        <f>Tabla1[[#This Row],[Columna2]]-40000</f>
        <v>850000</v>
      </c>
      <c r="N22" s="17" t="s">
        <v>75</v>
      </c>
      <c r="O22" s="18">
        <v>260000</v>
      </c>
      <c r="P22" t="s">
        <v>72</v>
      </c>
    </row>
    <row r="23" spans="2:16" x14ac:dyDescent="0.25">
      <c r="B23" s="2">
        <v>19</v>
      </c>
      <c r="C23" s="7" t="s">
        <v>24</v>
      </c>
      <c r="D23" t="s">
        <v>1</v>
      </c>
      <c r="E23" s="3">
        <v>21016369</v>
      </c>
      <c r="F23" s="4" t="s">
        <v>43</v>
      </c>
      <c r="G23" s="2" t="s">
        <v>51</v>
      </c>
      <c r="H23" t="s">
        <v>44</v>
      </c>
      <c r="I23" s="14">
        <v>890000</v>
      </c>
      <c r="J23" s="15">
        <f>Tabla1[[#This Row],[Columna2]]-40000</f>
        <v>850000</v>
      </c>
      <c r="N23" s="17" t="s">
        <v>71</v>
      </c>
      <c r="O23" s="18">
        <f>43000+96800</f>
        <v>139800</v>
      </c>
    </row>
    <row r="24" spans="2:16" x14ac:dyDescent="0.25">
      <c r="B24" s="2">
        <v>20</v>
      </c>
      <c r="C24" s="7" t="s">
        <v>28</v>
      </c>
      <c r="D24" t="s">
        <v>1</v>
      </c>
      <c r="E24" s="3">
        <v>19370950</v>
      </c>
      <c r="F24" s="4" t="s">
        <v>43</v>
      </c>
      <c r="G24" s="2" t="s">
        <v>50</v>
      </c>
      <c r="H24" t="s">
        <v>44</v>
      </c>
      <c r="I24" s="14">
        <v>890000</v>
      </c>
      <c r="J24" s="15">
        <f>Tabla1[[#This Row],[Columna2]]-40000</f>
        <v>850000</v>
      </c>
      <c r="N24" s="17" t="s">
        <v>68</v>
      </c>
      <c r="O24" s="18">
        <f>24*17000</f>
        <v>408000</v>
      </c>
    </row>
    <row r="25" spans="2:16" x14ac:dyDescent="0.25">
      <c r="B25" s="2">
        <v>21</v>
      </c>
      <c r="C25" s="5" t="s">
        <v>30</v>
      </c>
      <c r="D25" t="s">
        <v>1</v>
      </c>
      <c r="E25" s="3">
        <v>21117116</v>
      </c>
      <c r="F25" s="4" t="s">
        <v>41</v>
      </c>
      <c r="G25" s="2" t="s">
        <v>46</v>
      </c>
      <c r="H25" t="s">
        <v>29</v>
      </c>
      <c r="I25" s="14">
        <v>890000</v>
      </c>
      <c r="J25" s="15">
        <f>Tabla1[[#This Row],[Columna2]]-40000</f>
        <v>850000</v>
      </c>
      <c r="N25" s="29" t="s">
        <v>83</v>
      </c>
      <c r="O25" s="18">
        <v>200000</v>
      </c>
    </row>
    <row r="26" spans="2:16" x14ac:dyDescent="0.25">
      <c r="B26" s="2">
        <v>22</v>
      </c>
      <c r="C26" s="12" t="s">
        <v>37</v>
      </c>
      <c r="D26" t="s">
        <v>1</v>
      </c>
      <c r="E26" s="3">
        <v>39656450</v>
      </c>
      <c r="F26" s="4" t="s">
        <v>40</v>
      </c>
      <c r="G26" s="2" t="s">
        <v>46</v>
      </c>
      <c r="H26" t="s">
        <v>39</v>
      </c>
      <c r="I26" s="14">
        <v>890000</v>
      </c>
      <c r="J26" s="15">
        <f>Tabla1[[#This Row],[Columna2]]-40000</f>
        <v>850000</v>
      </c>
      <c r="N26" s="29" t="s">
        <v>84</v>
      </c>
      <c r="O26" s="18">
        <v>42000</v>
      </c>
    </row>
    <row r="27" spans="2:16" ht="15.75" thickBot="1" x14ac:dyDescent="0.3">
      <c r="B27" s="2">
        <v>23</v>
      </c>
      <c r="C27" s="12" t="s">
        <v>38</v>
      </c>
      <c r="D27" t="s">
        <v>1</v>
      </c>
      <c r="E27" s="3">
        <v>19488559</v>
      </c>
      <c r="F27" s="4" t="s">
        <v>40</v>
      </c>
      <c r="G27" s="2" t="s">
        <v>52</v>
      </c>
      <c r="H27" t="s">
        <v>39</v>
      </c>
      <c r="I27" s="14">
        <v>890000</v>
      </c>
      <c r="J27" s="15">
        <f>Tabla1[[#This Row],[Columna2]]-40000</f>
        <v>850000</v>
      </c>
      <c r="N27" s="21" t="s">
        <v>85</v>
      </c>
      <c r="O27" s="22">
        <v>336000</v>
      </c>
    </row>
    <row r="28" spans="2:16" ht="15.75" thickBot="1" x14ac:dyDescent="0.3">
      <c r="E28" s="3"/>
      <c r="F28" s="4"/>
      <c r="I28" s="16">
        <f>SUBTOTAL(109,Tabla1[Columna2])</f>
        <v>16910000</v>
      </c>
      <c r="J28" s="15">
        <f>SUBTOTAL(109,Tabla1[Columna1])</f>
        <v>16150000</v>
      </c>
      <c r="N28" s="27" t="s">
        <v>73</v>
      </c>
      <c r="O28" s="28">
        <f>SUM(O12:O27)</f>
        <v>14062800</v>
      </c>
    </row>
    <row r="29" spans="2:16" ht="15.75" thickBot="1" x14ac:dyDescent="0.3">
      <c r="N29" s="24" t="s">
        <v>74</v>
      </c>
      <c r="O29" s="23">
        <f>Tabla1[[#Totals],[Columna1]]</f>
        <v>16150000</v>
      </c>
    </row>
    <row r="30" spans="2:16" x14ac:dyDescent="0.25">
      <c r="N30" s="25" t="s">
        <v>82</v>
      </c>
      <c r="O30" s="20">
        <f>O29-O28</f>
        <v>2087200</v>
      </c>
    </row>
    <row r="33" spans="14:16" x14ac:dyDescent="0.25">
      <c r="N33" s="17" t="s">
        <v>77</v>
      </c>
      <c r="O33" s="18" t="s">
        <v>78</v>
      </c>
      <c r="P33" s="17" t="s">
        <v>79</v>
      </c>
    </row>
    <row r="34" spans="14:16" x14ac:dyDescent="0.25">
      <c r="N34" s="17" t="s">
        <v>80</v>
      </c>
      <c r="O34" s="19">
        <v>2</v>
      </c>
      <c r="P34" s="18">
        <f>40000*O34</f>
        <v>80000</v>
      </c>
    </row>
    <row r="35" spans="14:16" x14ac:dyDescent="0.25">
      <c r="N35" s="17" t="s">
        <v>81</v>
      </c>
      <c r="O35" s="19">
        <v>10</v>
      </c>
      <c r="P35" s="18">
        <f t="shared" ref="P35:P36" si="0">40000*O35</f>
        <v>400000</v>
      </c>
    </row>
    <row r="36" spans="14:16" x14ac:dyDescent="0.25">
      <c r="N36" s="17" t="s">
        <v>44</v>
      </c>
      <c r="O36" s="19">
        <v>7</v>
      </c>
      <c r="P36" s="18">
        <f t="shared" si="0"/>
        <v>280000</v>
      </c>
    </row>
    <row r="37" spans="14:16" x14ac:dyDescent="0.25">
      <c r="N37" s="17" t="s">
        <v>73</v>
      </c>
      <c r="O37" s="19">
        <f>SUM(O34:O36)</f>
        <v>19</v>
      </c>
      <c r="P37" s="18">
        <f>SUM(P34:P36)</f>
        <v>760000</v>
      </c>
    </row>
    <row r="39" spans="14:16" x14ac:dyDescent="0.25">
      <c r="O39" s="14">
        <f>O29+P37</f>
        <v>16910000</v>
      </c>
    </row>
  </sheetData>
  <mergeCells count="1">
    <mergeCell ref="N11:O11"/>
  </mergeCell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STEFANI  CRUZ MORENO</dc:creator>
  <cp:lastModifiedBy>DANIELA STEFANI  CRUZ MORENO</cp:lastModifiedBy>
  <dcterms:created xsi:type="dcterms:W3CDTF">2024-01-12T15:09:58Z</dcterms:created>
  <dcterms:modified xsi:type="dcterms:W3CDTF">2024-03-12T18:59:16Z</dcterms:modified>
</cp:coreProperties>
</file>