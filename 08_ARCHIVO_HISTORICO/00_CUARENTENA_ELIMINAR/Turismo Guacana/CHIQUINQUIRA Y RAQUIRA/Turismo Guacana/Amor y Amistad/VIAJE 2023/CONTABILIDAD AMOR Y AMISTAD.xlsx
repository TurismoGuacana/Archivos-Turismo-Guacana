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"/>
    </mc:Choice>
  </mc:AlternateContent>
  <xr:revisionPtr revIDLastSave="0" documentId="13_ncr:1_{8814E73D-6DC7-48A9-8F36-7A7C3959F93B}" xr6:coauthVersionLast="47" xr6:coauthVersionMax="47" xr10:uidLastSave="{00000000-0000-0000-0000-000000000000}"/>
  <bookViews>
    <workbookView xWindow="-120" yWindow="-120" windowWidth="20730" windowHeight="11040" xr2:uid="{1FD6E370-0CE6-4EF3-945B-AD8063AB7053}"/>
  </bookViews>
  <sheets>
    <sheet name="LISTADO PASAJEROS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2" i="4" l="1"/>
  <c r="J21" i="4"/>
  <c r="J20" i="4"/>
  <c r="J19" i="4"/>
  <c r="J18" i="4"/>
  <c r="J17" i="4"/>
  <c r="J22" i="4" s="1"/>
  <c r="G4" i="4"/>
  <c r="J13" i="4"/>
  <c r="E104" i="4"/>
  <c r="G84" i="4"/>
  <c r="G103" i="4"/>
  <c r="G5" i="4"/>
  <c r="G104" i="4" s="1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9" i="4"/>
  <c r="G80" i="4"/>
  <c r="G81" i="4"/>
  <c r="G82" i="4"/>
  <c r="G83" i="4"/>
  <c r="G89" i="4"/>
  <c r="G90" i="4"/>
  <c r="G91" i="4"/>
  <c r="G92" i="4"/>
  <c r="G94" i="4"/>
  <c r="G95" i="4"/>
  <c r="G96" i="4"/>
  <c r="G97" i="4"/>
  <c r="G98" i="4"/>
  <c r="G99" i="4"/>
  <c r="G100" i="4"/>
  <c r="J10" i="4"/>
  <c r="J14" i="4" l="1"/>
</calcChain>
</file>

<file path=xl/sharedStrings.xml><?xml version="1.0" encoding="utf-8"?>
<sst xmlns="http://schemas.openxmlformats.org/spreadsheetml/2006/main" count="330" uniqueCount="134">
  <si>
    <t>NOMBRE COMPLETO</t>
  </si>
  <si>
    <t>TIPO DE DOCUMENTO</t>
  </si>
  <si>
    <t>DOCUMENTO DE IDENTIDAD</t>
  </si>
  <si>
    <t xml:space="preserve">GABRIEL CABRERA </t>
  </si>
  <si>
    <t>CC</t>
  </si>
  <si>
    <t xml:space="preserve">CONSUELO BAQUERO </t>
  </si>
  <si>
    <t>MARTHA DORIS RAMIREZ</t>
  </si>
  <si>
    <t xml:space="preserve">MARIAN VELASQUEZ DE SANTOYA </t>
  </si>
  <si>
    <t xml:space="preserve">LUIS ALBERTO DUARTE </t>
  </si>
  <si>
    <t xml:space="preserve">DIANA CAROLINA PATIÑO JIMENEZ </t>
  </si>
  <si>
    <t xml:space="preserve">JESUS HUMBERTO PATIÑO PASELLIN </t>
  </si>
  <si>
    <t xml:space="preserve">YOLANDA JIMENEZ RODRIGUEZ </t>
  </si>
  <si>
    <t xml:space="preserve">ANDRES FELIPE SERRANO PATIÑO </t>
  </si>
  <si>
    <t>TI</t>
  </si>
  <si>
    <t xml:space="preserve">SARA VALENTINA SERRANO PATIÑO </t>
  </si>
  <si>
    <t xml:space="preserve">TI </t>
  </si>
  <si>
    <t xml:space="preserve">GRACIELA SANTA MARIA </t>
  </si>
  <si>
    <t xml:space="preserve">ISIDRO CUERVO </t>
  </si>
  <si>
    <t xml:space="preserve">LUZ MARINA CAICA </t>
  </si>
  <si>
    <t xml:space="preserve">JAIRO MORENO </t>
  </si>
  <si>
    <t xml:space="preserve">ALICIA AMAYA BERNAL </t>
  </si>
  <si>
    <t xml:space="preserve">YANETH CASTRO AMAYA </t>
  </si>
  <si>
    <t xml:space="preserve">CLAUDIA PATRICIA PENAGOS </t>
  </si>
  <si>
    <t xml:space="preserve">THOMAS GAITAN CASTRO </t>
  </si>
  <si>
    <t xml:space="preserve">SOFIA CASTRO PENAGOS </t>
  </si>
  <si>
    <t xml:space="preserve">MARIA FERNANDA BENAVIDES </t>
  </si>
  <si>
    <t xml:space="preserve">LAUREANO GARCIA ESCOBAR </t>
  </si>
  <si>
    <t xml:space="preserve">ROSALBA OSMA DE GARCIA </t>
  </si>
  <si>
    <t xml:space="preserve">MARIA ALIX LICETH GARCIA OSMA </t>
  </si>
  <si>
    <t xml:space="preserve">LUIS MARTIN LEMUS </t>
  </si>
  <si>
    <t>MARIA BLADY CASTIBLANCO</t>
  </si>
  <si>
    <t xml:space="preserve">ALEJANDRA ESPINOSA GARCIA </t>
  </si>
  <si>
    <t xml:space="preserve">HORTENCIA ORJUELA </t>
  </si>
  <si>
    <t xml:space="preserve">ALICIA ORJUELA </t>
  </si>
  <si>
    <t xml:space="preserve">MARTHA CACILIA PARRA MUNAR </t>
  </si>
  <si>
    <t xml:space="preserve">LILIA CASTRO PAEZ </t>
  </si>
  <si>
    <t xml:space="preserve">JOSUE SANTIAGO BARRIOS SANCHEZ </t>
  </si>
  <si>
    <t>NICOLE KATERIN SANCHEZ CASTRO</t>
  </si>
  <si>
    <t xml:space="preserve">BECCI CECILIA SANCHEZ RODRIGUEZ </t>
  </si>
  <si>
    <t xml:space="preserve">OSCAR EDUARDO SANCHEZ RODRIGUEZ </t>
  </si>
  <si>
    <t xml:space="preserve">KAROL ESTEFANY SANCHEZ CASTRO </t>
  </si>
  <si>
    <t xml:space="preserve">RC </t>
  </si>
  <si>
    <t xml:space="preserve">NANCY ESPERANZA CSTRO MENDEZ </t>
  </si>
  <si>
    <t xml:space="preserve">BECCY GISELL SANCHEZ RODRIGUEZ </t>
  </si>
  <si>
    <t xml:space="preserve">ALCIDA TRINIDADURREGO GONZALEZ </t>
  </si>
  <si>
    <t xml:space="preserve">LUZ AMPARO LOPEZ RODRIGUEZ </t>
  </si>
  <si>
    <t xml:space="preserve">NANCY ESPERANZA ESPINOZA </t>
  </si>
  <si>
    <t xml:space="preserve">SOFIA GARCIA </t>
  </si>
  <si>
    <t xml:space="preserve">EVANGELISTA SANABRIA </t>
  </si>
  <si>
    <t xml:space="preserve">LEONOR DUARTE </t>
  </si>
  <si>
    <t xml:space="preserve">SONIA AYALA DE LOPEZ </t>
  </si>
  <si>
    <t xml:space="preserve">CENAIDA GARCIA REYES </t>
  </si>
  <si>
    <t xml:space="preserve">AMINTA REYES </t>
  </si>
  <si>
    <t xml:space="preserve">FERNANDO BENAVIDES </t>
  </si>
  <si>
    <t xml:space="preserve">EDWIN DAVID GOMEZ MORENO </t>
  </si>
  <si>
    <t xml:space="preserve">PATRICIA MORENO </t>
  </si>
  <si>
    <t xml:space="preserve">MATILDE GUZAMAN </t>
  </si>
  <si>
    <t xml:space="preserve">ANGIE BERNAL </t>
  </si>
  <si>
    <t>ESTHER JULIA MARTINEZ</t>
  </si>
  <si>
    <t xml:space="preserve">EVA VARGAS </t>
  </si>
  <si>
    <t xml:space="preserve">MIRIAM ESPINOSA </t>
  </si>
  <si>
    <t xml:space="preserve">CARMEN ROSA MARTINEZ </t>
  </si>
  <si>
    <t xml:space="preserve">LEONOR SANCHEZ </t>
  </si>
  <si>
    <t xml:space="preserve">MARIO ESPINOSA </t>
  </si>
  <si>
    <t xml:space="preserve">JULIA AREVALO </t>
  </si>
  <si>
    <t xml:space="preserve">GLORIA ESPINOSA </t>
  </si>
  <si>
    <t xml:space="preserve">ARNULFO SANCHEZ </t>
  </si>
  <si>
    <t xml:space="preserve">SARA JUILIA MARTINEZ </t>
  </si>
  <si>
    <t xml:space="preserve">MARIA POSADA </t>
  </si>
  <si>
    <t xml:space="preserve">JAVIER GONZALEZ </t>
  </si>
  <si>
    <t xml:space="preserve">MIGUEL ANGEL GONZALEZ </t>
  </si>
  <si>
    <t xml:space="preserve">SARA INES ESPINOSA </t>
  </si>
  <si>
    <t xml:space="preserve">MIGUEL ANGEL PEÑALOZA </t>
  </si>
  <si>
    <t xml:space="preserve">GRACIELA ARDILA </t>
  </si>
  <si>
    <t xml:space="preserve">GLADIS DIAZ </t>
  </si>
  <si>
    <t xml:space="preserve">MARTHA DIAZ </t>
  </si>
  <si>
    <t xml:space="preserve">OLGA LUCIA PASTO </t>
  </si>
  <si>
    <t xml:space="preserve">ROSA MALDONADO </t>
  </si>
  <si>
    <t xml:space="preserve">ESTHER MENDEZ </t>
  </si>
  <si>
    <t xml:space="preserve">GONZALO TORO </t>
  </si>
  <si>
    <t xml:space="preserve">JENNIFER CUDRIS </t>
  </si>
  <si>
    <t xml:space="preserve">ALICIA CUDRIS </t>
  </si>
  <si>
    <t xml:space="preserve">PT </t>
  </si>
  <si>
    <t xml:space="preserve">SANDRA ANDRADE </t>
  </si>
  <si>
    <t xml:space="preserve">ISABELA GARZON </t>
  </si>
  <si>
    <t xml:space="preserve">DIANA GONZALEZ </t>
  </si>
  <si>
    <t xml:space="preserve">STHEPANY PINZON </t>
  </si>
  <si>
    <t xml:space="preserve">JULIAN ALDANA </t>
  </si>
  <si>
    <t xml:space="preserve">AIDE PASTO </t>
  </si>
  <si>
    <t xml:space="preserve">FLOR ELBA RODRIGUEZ </t>
  </si>
  <si>
    <t>OLGA LUICIA CAMPOS</t>
  </si>
  <si>
    <t xml:space="preserve">YULIANA RODRIGUEZ </t>
  </si>
  <si>
    <t xml:space="preserve">NIA JULIANA ALDANA </t>
  </si>
  <si>
    <t xml:space="preserve">RAFAELA JIMENEZ </t>
  </si>
  <si>
    <t xml:space="preserve">JACOBO MARTINEZ </t>
  </si>
  <si>
    <t>MARINA MUÑOZ</t>
  </si>
  <si>
    <t>BERTHA MUÑOZ</t>
  </si>
  <si>
    <t xml:space="preserve">CECILIA MUÑOZ </t>
  </si>
  <si>
    <t xml:space="preserve">CAROL BARBOSA </t>
  </si>
  <si>
    <t xml:space="preserve">EMMANUEL BARBOSA </t>
  </si>
  <si>
    <t xml:space="preserve">JOHAN FERNEY HERNANDEZ </t>
  </si>
  <si>
    <t xml:space="preserve">JAVIER REINA </t>
  </si>
  <si>
    <t xml:space="preserve">ELIANA VILLADA </t>
  </si>
  <si>
    <t xml:space="preserve">CHRISNEL SANCHEZ </t>
  </si>
  <si>
    <t xml:space="preserve">LUIS FELIPE RIVERA </t>
  </si>
  <si>
    <t>HILDA CANO</t>
  </si>
  <si>
    <t xml:space="preserve">LINA SOFIA ESPINOSA </t>
  </si>
  <si>
    <t>Erika vanesa garcia romero</t>
  </si>
  <si>
    <t>VALOR</t>
  </si>
  <si>
    <t xml:space="preserve">TRANSPORTE </t>
  </si>
  <si>
    <t xml:space="preserve">COMISIONADOS </t>
  </si>
  <si>
    <t>SEGURO DE VIAJE</t>
  </si>
  <si>
    <t>MAFE</t>
  </si>
  <si>
    <t>LAD</t>
  </si>
  <si>
    <t>EDITH</t>
  </si>
  <si>
    <t>GLORIA</t>
  </si>
  <si>
    <t>GASTOS DE REPRESENTACIÓN</t>
  </si>
  <si>
    <t>ALMUERZO+INGRESO</t>
  </si>
  <si>
    <t>BEBIDAS Y LICORES</t>
  </si>
  <si>
    <t>PREMIOS Y REGALOS</t>
  </si>
  <si>
    <t xml:space="preserve">EVENTO MUSICAL RECREACIONISTA </t>
  </si>
  <si>
    <t>TOTAL</t>
  </si>
  <si>
    <t>INGRESOS</t>
  </si>
  <si>
    <t>ALMUERZO ADICIONAL</t>
  </si>
  <si>
    <t>UTILIDAD</t>
  </si>
  <si>
    <t>COSTOS Y GASTOS SALIDAD AMOR Y AMISTAD</t>
  </si>
  <si>
    <t>TOTAL INGRESOS</t>
  </si>
  <si>
    <t>NO</t>
  </si>
  <si>
    <t>ISABEL</t>
  </si>
  <si>
    <t>NOP</t>
  </si>
  <si>
    <t xml:space="preserve">VARLOR SIN COMISIONES </t>
  </si>
  <si>
    <t>TOMAS CIPRIANO</t>
  </si>
  <si>
    <t>T.I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</si>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</sst>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39">
    <xf numFmtId="0" fontId="0" fillId="0" borderId="0" xfId="0"/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0" xfId="0" applyFill="1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164" fontId="1" fillId="3" borderId="1" xfId="1" applyNumberFormat="1" applyFont="1" applyFill="1" applyBorder="1" applyAlignment="1">
      <alignment horizontal="center" vertical="center" wrapText="1"/>
    </xf>
    <xf numFmtId="164" fontId="0" fillId="3" borderId="1" xfId="1" applyNumberFormat="1" applyFont="1" applyFill="1" applyBorder="1" applyAlignment="1">
      <alignment horizontal="center"/>
    </xf>
    <xf numFmtId="164" fontId="0" fillId="3" borderId="0" xfId="1" applyNumberFormat="1" applyFont="1" applyFill="1"/>
    <xf numFmtId="0" fontId="0" fillId="2" borderId="0" xfId="0" applyFill="1"/>
    <xf numFmtId="164" fontId="0" fillId="2" borderId="1" xfId="1" applyNumberFormat="1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64" fontId="0" fillId="4" borderId="1" xfId="1" applyNumberFormat="1" applyFont="1" applyFill="1" applyBorder="1" applyAlignment="1">
      <alignment horizontal="center"/>
    </xf>
    <xf numFmtId="0" fontId="0" fillId="0" borderId="0" xfId="0" applyFill="1"/>
    <xf numFmtId="0" fontId="0" fillId="3" borderId="1" xfId="0" applyFill="1" applyBorder="1"/>
    <xf numFmtId="0" fontId="0" fillId="0" borderId="1" xfId="0" applyFill="1" applyBorder="1"/>
    <xf numFmtId="0" fontId="0" fillId="3" borderId="2" xfId="0" applyFill="1" applyBorder="1"/>
    <xf numFmtId="44" fontId="0" fillId="3" borderId="3" xfId="2" applyFont="1" applyFill="1" applyBorder="1"/>
    <xf numFmtId="0" fontId="0" fillId="3" borderId="4" xfId="0" applyFill="1" applyBorder="1"/>
    <xf numFmtId="44" fontId="0" fillId="3" borderId="5" xfId="2" applyFont="1" applyFill="1" applyBorder="1"/>
    <xf numFmtId="0" fontId="0" fillId="0" borderId="4" xfId="0" applyFill="1" applyBorder="1"/>
    <xf numFmtId="44" fontId="0" fillId="0" borderId="5" xfId="2" applyFont="1" applyFill="1" applyBorder="1"/>
    <xf numFmtId="0" fontId="0" fillId="3" borderId="6" xfId="0" applyFill="1" applyBorder="1"/>
    <xf numFmtId="44" fontId="0" fillId="3" borderId="7" xfId="2" applyFont="1" applyFill="1" applyBorder="1"/>
    <xf numFmtId="0" fontId="0" fillId="3" borderId="8" xfId="0" applyFill="1" applyBorder="1"/>
    <xf numFmtId="44" fontId="0" fillId="2" borderId="9" xfId="0" applyNumberFormat="1" applyFill="1" applyBorder="1"/>
    <xf numFmtId="44" fontId="0" fillId="6" borderId="11" xfId="0" applyNumberFormat="1" applyFill="1" applyBorder="1"/>
    <xf numFmtId="44" fontId="0" fillId="5" borderId="9" xfId="0" applyNumberFormat="1" applyFill="1" applyBorder="1"/>
    <xf numFmtId="0" fontId="4" fillId="3" borderId="10" xfId="0" applyFont="1" applyFill="1" applyBorder="1"/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44" fontId="0" fillId="2" borderId="1" xfId="2" applyFont="1" applyFill="1" applyBorder="1"/>
    <xf numFmtId="0" fontId="0" fillId="2" borderId="1" xfId="0" applyFill="1" applyBorder="1"/>
    <xf numFmtId="44" fontId="0" fillId="3" borderId="1" xfId="0" applyNumberFormat="1" applyFill="1" applyBorder="1"/>
    <xf numFmtId="0" fontId="0" fillId="3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44" fontId="0" fillId="3" borderId="1" xfId="2" applyFont="1" applyFill="1" applyBorder="1"/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F1C0D-22FC-4781-A7F5-D85C3E0DE99D}">
  <dimension ref="A1:V104"/>
  <sheetViews>
    <sheetView tabSelected="1" topLeftCell="D1" zoomScale="75" zoomScaleNormal="90" workbookViewId="0">
      <selection activeCell="I106" sqref="I106"/>
    </sheetView>
  </sheetViews>
  <sheetFormatPr baseColWidth="10" defaultColWidth="11.42578125" defaultRowHeight="15" x14ac:dyDescent="0.25"/>
  <cols>
    <col min="1" max="1" width="5.42578125" style="3" customWidth="1"/>
    <col min="2" max="2" width="37.42578125" style="3" customWidth="1"/>
    <col min="3" max="3" width="15.42578125" style="3" bestFit="1" customWidth="1"/>
    <col min="4" max="4" width="22.42578125" style="8" customWidth="1"/>
    <col min="5" max="5" width="17.140625" style="3" bestFit="1" customWidth="1"/>
    <col min="6" max="6" width="15.7109375" style="3" bestFit="1" customWidth="1"/>
    <col min="7" max="7" width="24.140625" style="3" bestFit="1" customWidth="1"/>
    <col min="8" max="8" width="11.42578125" style="3"/>
    <col min="9" max="9" width="33" style="3" bestFit="1" customWidth="1"/>
    <col min="10" max="10" width="17.140625" style="3" bestFit="1" customWidth="1"/>
    <col min="11" max="16384" width="11.42578125" style="3"/>
  </cols>
  <sheetData>
    <row r="1" spans="1:22" ht="30" x14ac:dyDescent="0.25">
      <c r="B1" s="4" t="s">
        <v>0</v>
      </c>
      <c r="C1" s="5" t="s">
        <v>1</v>
      </c>
      <c r="D1" s="6" t="s">
        <v>2</v>
      </c>
      <c r="E1" s="29" t="s">
        <v>108</v>
      </c>
      <c r="F1" s="30" t="s">
        <v>110</v>
      </c>
      <c r="G1" s="30" t="s">
        <v>130</v>
      </c>
    </row>
    <row r="2" spans="1:22" s="9" customFormat="1" x14ac:dyDescent="0.25">
      <c r="A2" s="9">
        <v>1</v>
      </c>
      <c r="B2" s="2" t="s">
        <v>3</v>
      </c>
      <c r="C2" s="2" t="s">
        <v>4</v>
      </c>
      <c r="D2" s="10">
        <v>79656808</v>
      </c>
      <c r="E2" s="31">
        <v>0</v>
      </c>
      <c r="F2" s="32"/>
      <c r="G2" s="15"/>
      <c r="H2" s="13"/>
      <c r="I2" s="35" t="s">
        <v>125</v>
      </c>
      <c r="J2" s="36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3">
        <v>2</v>
      </c>
      <c r="B3" s="1" t="s">
        <v>5</v>
      </c>
      <c r="C3" s="1" t="s">
        <v>4</v>
      </c>
      <c r="D3" s="7">
        <v>20617454</v>
      </c>
      <c r="E3" s="31">
        <v>125000</v>
      </c>
      <c r="F3" s="14" t="s">
        <v>112</v>
      </c>
      <c r="G3" s="33">
        <v>0</v>
      </c>
      <c r="I3" s="16" t="s">
        <v>109</v>
      </c>
      <c r="J3" s="17">
        <v>3900000</v>
      </c>
    </row>
    <row r="4" spans="1:22" x14ac:dyDescent="0.25">
      <c r="A4" s="3">
        <v>3</v>
      </c>
      <c r="B4" s="1" t="s">
        <v>6</v>
      </c>
      <c r="C4" s="1" t="s">
        <v>4</v>
      </c>
      <c r="D4" s="7">
        <v>21013189</v>
      </c>
      <c r="E4" s="31">
        <v>125000</v>
      </c>
      <c r="F4" s="14" t="s">
        <v>112</v>
      </c>
      <c r="G4" s="33">
        <f>E4-12500</f>
        <v>112500</v>
      </c>
      <c r="I4" s="18" t="s">
        <v>117</v>
      </c>
      <c r="J4" s="19">
        <v>3651000</v>
      </c>
    </row>
    <row r="5" spans="1:22" x14ac:dyDescent="0.25">
      <c r="A5" s="3">
        <v>4</v>
      </c>
      <c r="B5" s="1" t="s">
        <v>7</v>
      </c>
      <c r="C5" s="1" t="s">
        <v>4</v>
      </c>
      <c r="D5" s="7">
        <v>20872057</v>
      </c>
      <c r="E5" s="31">
        <v>125000</v>
      </c>
      <c r="F5" s="14" t="s">
        <v>114</v>
      </c>
      <c r="G5" s="33">
        <f t="shared" ref="G5:G67" si="0">E5-12500</f>
        <v>112500</v>
      </c>
      <c r="I5" s="18" t="s">
        <v>111</v>
      </c>
      <c r="J5" s="19">
        <v>105000</v>
      </c>
    </row>
    <row r="6" spans="1:22" s="9" customFormat="1" x14ac:dyDescent="0.25">
      <c r="A6" s="9">
        <v>5</v>
      </c>
      <c r="B6" s="2" t="s">
        <v>8</v>
      </c>
      <c r="C6" s="2" t="s">
        <v>4</v>
      </c>
      <c r="D6" s="10">
        <v>79538678</v>
      </c>
      <c r="E6" s="31">
        <v>0</v>
      </c>
      <c r="F6" s="32"/>
      <c r="G6" s="33">
        <v>0</v>
      </c>
      <c r="H6" s="13"/>
      <c r="I6" s="20" t="s">
        <v>120</v>
      </c>
      <c r="J6" s="21">
        <v>480000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3">
        <v>6</v>
      </c>
      <c r="B7" s="1" t="s">
        <v>9</v>
      </c>
      <c r="C7" s="1" t="s">
        <v>4</v>
      </c>
      <c r="D7" s="7">
        <v>20872220</v>
      </c>
      <c r="E7" s="31">
        <v>125000</v>
      </c>
      <c r="F7" s="14" t="s">
        <v>113</v>
      </c>
      <c r="G7" s="33">
        <f t="shared" si="0"/>
        <v>112500</v>
      </c>
      <c r="I7" s="18" t="s">
        <v>116</v>
      </c>
      <c r="J7" s="19">
        <v>50000</v>
      </c>
    </row>
    <row r="8" spans="1:22" x14ac:dyDescent="0.25">
      <c r="A8" s="3">
        <v>7</v>
      </c>
      <c r="B8" s="1" t="s">
        <v>10</v>
      </c>
      <c r="C8" s="1" t="s">
        <v>4</v>
      </c>
      <c r="D8" s="7">
        <v>19450941</v>
      </c>
      <c r="E8" s="31">
        <v>125000</v>
      </c>
      <c r="F8" s="14" t="s">
        <v>113</v>
      </c>
      <c r="G8" s="33">
        <f t="shared" si="0"/>
        <v>112500</v>
      </c>
      <c r="I8" s="18" t="s">
        <v>118</v>
      </c>
      <c r="J8" s="19">
        <v>192900</v>
      </c>
    </row>
    <row r="9" spans="1:22" ht="15.75" thickBot="1" x14ac:dyDescent="0.3">
      <c r="A9" s="3">
        <v>8</v>
      </c>
      <c r="B9" s="1" t="s">
        <v>11</v>
      </c>
      <c r="C9" s="1" t="s">
        <v>4</v>
      </c>
      <c r="D9" s="7">
        <v>20871295</v>
      </c>
      <c r="E9" s="31">
        <v>125000</v>
      </c>
      <c r="F9" s="14" t="s">
        <v>113</v>
      </c>
      <c r="G9" s="33">
        <f t="shared" si="0"/>
        <v>112500</v>
      </c>
      <c r="I9" s="22" t="s">
        <v>119</v>
      </c>
      <c r="J9" s="23">
        <v>150000</v>
      </c>
    </row>
    <row r="10" spans="1:22" ht="15.75" thickBot="1" x14ac:dyDescent="0.3">
      <c r="A10" s="3">
        <v>9</v>
      </c>
      <c r="B10" s="1" t="s">
        <v>12</v>
      </c>
      <c r="C10" s="1" t="s">
        <v>13</v>
      </c>
      <c r="D10" s="7">
        <v>107362887</v>
      </c>
      <c r="E10" s="31">
        <v>125000</v>
      </c>
      <c r="F10" s="14" t="s">
        <v>113</v>
      </c>
      <c r="G10" s="33">
        <f t="shared" si="0"/>
        <v>112500</v>
      </c>
      <c r="I10" s="24" t="s">
        <v>121</v>
      </c>
      <c r="J10" s="25">
        <f>SUM(J3:J9)</f>
        <v>8528900</v>
      </c>
    </row>
    <row r="11" spans="1:22" x14ac:dyDescent="0.25">
      <c r="A11" s="3">
        <v>10</v>
      </c>
      <c r="B11" s="1" t="s">
        <v>14</v>
      </c>
      <c r="C11" s="1" t="s">
        <v>15</v>
      </c>
      <c r="D11" s="7">
        <v>1073629748</v>
      </c>
      <c r="E11" s="31">
        <v>125000</v>
      </c>
      <c r="F11" s="14" t="s">
        <v>113</v>
      </c>
      <c r="G11" s="33">
        <f t="shared" si="0"/>
        <v>112500</v>
      </c>
      <c r="I11" s="18" t="s">
        <v>122</v>
      </c>
      <c r="J11" s="19">
        <v>10082500</v>
      </c>
    </row>
    <row r="12" spans="1:22" ht="15.75" thickBot="1" x14ac:dyDescent="0.3">
      <c r="A12" s="3">
        <v>11</v>
      </c>
      <c r="B12" s="1" t="s">
        <v>16</v>
      </c>
      <c r="C12" s="1" t="s">
        <v>4</v>
      </c>
      <c r="D12" s="7">
        <v>41689426</v>
      </c>
      <c r="E12" s="31">
        <v>125000</v>
      </c>
      <c r="F12" s="14" t="s">
        <v>113</v>
      </c>
      <c r="G12" s="33">
        <f t="shared" si="0"/>
        <v>112500</v>
      </c>
      <c r="I12" s="22" t="s">
        <v>123</v>
      </c>
      <c r="J12" s="23">
        <v>50000</v>
      </c>
    </row>
    <row r="13" spans="1:22" ht="15.75" thickBot="1" x14ac:dyDescent="0.3">
      <c r="A13" s="3">
        <v>12</v>
      </c>
      <c r="B13" s="1" t="s">
        <v>17</v>
      </c>
      <c r="C13" s="1" t="s">
        <v>4</v>
      </c>
      <c r="D13" s="7">
        <v>4211176</v>
      </c>
      <c r="E13" s="31">
        <v>125000</v>
      </c>
      <c r="F13" s="14" t="s">
        <v>113</v>
      </c>
      <c r="G13" s="33">
        <f t="shared" si="0"/>
        <v>112500</v>
      </c>
      <c r="I13" s="24" t="s">
        <v>126</v>
      </c>
      <c r="J13" s="27">
        <f>J11+J12</f>
        <v>10132500</v>
      </c>
    </row>
    <row r="14" spans="1:22" x14ac:dyDescent="0.25">
      <c r="A14" s="3">
        <v>13</v>
      </c>
      <c r="B14" s="1" t="s">
        <v>18</v>
      </c>
      <c r="C14" s="1" t="s">
        <v>4</v>
      </c>
      <c r="D14" s="7">
        <v>35464710</v>
      </c>
      <c r="E14" s="31">
        <v>125000</v>
      </c>
      <c r="F14" s="14" t="s">
        <v>113</v>
      </c>
      <c r="G14" s="33">
        <f t="shared" si="0"/>
        <v>112500</v>
      </c>
      <c r="I14" s="28" t="s">
        <v>124</v>
      </c>
      <c r="J14" s="26">
        <f>J13-J10</f>
        <v>1603600</v>
      </c>
    </row>
    <row r="15" spans="1:22" x14ac:dyDescent="0.25">
      <c r="A15" s="3">
        <v>14</v>
      </c>
      <c r="B15" s="1" t="s">
        <v>19</v>
      </c>
      <c r="C15" s="1" t="s">
        <v>4</v>
      </c>
      <c r="D15" s="7">
        <v>19309312</v>
      </c>
      <c r="E15" s="31">
        <v>125000</v>
      </c>
      <c r="F15" s="14" t="s">
        <v>113</v>
      </c>
      <c r="G15" s="33">
        <f t="shared" si="0"/>
        <v>112500</v>
      </c>
    </row>
    <row r="16" spans="1:22" x14ac:dyDescent="0.25">
      <c r="A16" s="3">
        <v>15</v>
      </c>
      <c r="B16" s="1" t="s">
        <v>20</v>
      </c>
      <c r="C16" s="1" t="s">
        <v>4</v>
      </c>
      <c r="D16" s="7">
        <v>21116936</v>
      </c>
      <c r="E16" s="31">
        <v>125000</v>
      </c>
      <c r="F16" s="14" t="s">
        <v>113</v>
      </c>
      <c r="G16" s="33">
        <f t="shared" si="0"/>
        <v>112500</v>
      </c>
    </row>
    <row r="17" spans="1:16" x14ac:dyDescent="0.25">
      <c r="A17" s="3">
        <v>16</v>
      </c>
      <c r="B17" s="1" t="s">
        <v>21</v>
      </c>
      <c r="C17" s="1" t="s">
        <v>4</v>
      </c>
      <c r="D17" s="7">
        <v>21017364</v>
      </c>
      <c r="E17" s="31">
        <v>125000</v>
      </c>
      <c r="F17" s="14" t="s">
        <v>113</v>
      </c>
      <c r="G17" s="33">
        <f t="shared" si="0"/>
        <v>112500</v>
      </c>
      <c r="I17" s="14" t="s">
        <v>112</v>
      </c>
      <c r="J17" s="14">
        <f>COUNTIF(F2:F103,"MAFE")</f>
        <v>3</v>
      </c>
    </row>
    <row r="18" spans="1:16" x14ac:dyDescent="0.25">
      <c r="A18" s="3">
        <v>17</v>
      </c>
      <c r="B18" s="1" t="s">
        <v>22</v>
      </c>
      <c r="C18" s="1" t="s">
        <v>4</v>
      </c>
      <c r="D18" s="7">
        <v>51934570</v>
      </c>
      <c r="E18" s="31">
        <v>125000</v>
      </c>
      <c r="F18" s="14" t="s">
        <v>113</v>
      </c>
      <c r="G18" s="33">
        <f t="shared" si="0"/>
        <v>112500</v>
      </c>
      <c r="I18" s="14" t="s">
        <v>114</v>
      </c>
      <c r="J18" s="14">
        <f>COUNTIF(F2:F103,"EDITH")</f>
        <v>16</v>
      </c>
    </row>
    <row r="19" spans="1:16" x14ac:dyDescent="0.25">
      <c r="A19" s="3">
        <v>18</v>
      </c>
      <c r="B19" s="1" t="s">
        <v>23</v>
      </c>
      <c r="C19" s="1" t="s">
        <v>13</v>
      </c>
      <c r="D19" s="7">
        <v>1018477785</v>
      </c>
      <c r="E19" s="31">
        <v>125000</v>
      </c>
      <c r="F19" s="14" t="s">
        <v>113</v>
      </c>
      <c r="G19" s="33">
        <f t="shared" si="0"/>
        <v>112500</v>
      </c>
      <c r="I19" s="14" t="s">
        <v>113</v>
      </c>
      <c r="J19" s="14">
        <f>COUNTIF(F2:F103,"LAD")</f>
        <v>26</v>
      </c>
    </row>
    <row r="20" spans="1:16" x14ac:dyDescent="0.25">
      <c r="A20" s="3">
        <v>19</v>
      </c>
      <c r="B20" s="1" t="s">
        <v>24</v>
      </c>
      <c r="C20" s="1" t="s">
        <v>4</v>
      </c>
      <c r="D20" s="7">
        <v>1073630631</v>
      </c>
      <c r="E20" s="31">
        <v>125000</v>
      </c>
      <c r="F20" s="14" t="s">
        <v>113</v>
      </c>
      <c r="G20" s="33">
        <f t="shared" si="0"/>
        <v>112500</v>
      </c>
      <c r="I20" s="14" t="s">
        <v>128</v>
      </c>
      <c r="J20" s="14">
        <f>COUNTIF(F2:F101,"ISABEL")</f>
        <v>43</v>
      </c>
    </row>
    <row r="21" spans="1:16" s="9" customFormat="1" x14ac:dyDescent="0.25">
      <c r="A21" s="9">
        <v>20</v>
      </c>
      <c r="B21" s="2" t="s">
        <v>25</v>
      </c>
      <c r="C21" s="2" t="s">
        <v>4</v>
      </c>
      <c r="D21" s="10">
        <v>1075628177</v>
      </c>
      <c r="E21" s="31">
        <v>0</v>
      </c>
      <c r="F21" s="32"/>
      <c r="G21" s="33">
        <v>0</v>
      </c>
      <c r="H21" s="3"/>
      <c r="I21" s="14" t="s">
        <v>115</v>
      </c>
      <c r="J21" s="14">
        <f>COUNTIF(F2:F103,"GLORIA")</f>
        <v>3</v>
      </c>
      <c r="K21" s="3"/>
      <c r="L21" s="3"/>
      <c r="M21" s="3"/>
      <c r="N21" s="3"/>
      <c r="O21" s="3"/>
      <c r="P21" s="3"/>
    </row>
    <row r="22" spans="1:16" x14ac:dyDescent="0.25">
      <c r="A22" s="3">
        <v>21</v>
      </c>
      <c r="B22" s="1" t="s">
        <v>26</v>
      </c>
      <c r="C22" s="1" t="s">
        <v>4</v>
      </c>
      <c r="D22" s="7">
        <v>3149053</v>
      </c>
      <c r="E22" s="31">
        <v>125000</v>
      </c>
      <c r="F22" s="14" t="s">
        <v>114</v>
      </c>
      <c r="G22" s="33">
        <f t="shared" si="0"/>
        <v>112500</v>
      </c>
      <c r="I22" s="14" t="s">
        <v>121</v>
      </c>
      <c r="J22" s="14">
        <f>SUM(J17:J21)</f>
        <v>91</v>
      </c>
    </row>
    <row r="23" spans="1:16" x14ac:dyDescent="0.25">
      <c r="A23" s="3">
        <v>22</v>
      </c>
      <c r="B23" s="1" t="s">
        <v>27</v>
      </c>
      <c r="C23" s="1" t="s">
        <v>4</v>
      </c>
      <c r="D23" s="7">
        <v>20870887</v>
      </c>
      <c r="E23" s="31">
        <v>125000</v>
      </c>
      <c r="F23" s="14" t="s">
        <v>114</v>
      </c>
      <c r="G23" s="33">
        <f t="shared" si="0"/>
        <v>112500</v>
      </c>
    </row>
    <row r="24" spans="1:16" x14ac:dyDescent="0.25">
      <c r="A24" s="3">
        <v>23</v>
      </c>
      <c r="B24" s="1" t="s">
        <v>28</v>
      </c>
      <c r="C24" s="1" t="s">
        <v>4</v>
      </c>
      <c r="D24" s="7">
        <v>52121214</v>
      </c>
      <c r="E24" s="31">
        <v>125000</v>
      </c>
      <c r="F24" s="14" t="s">
        <v>114</v>
      </c>
      <c r="G24" s="33">
        <f t="shared" si="0"/>
        <v>112500</v>
      </c>
    </row>
    <row r="25" spans="1:16" x14ac:dyDescent="0.25">
      <c r="A25" s="3">
        <v>24</v>
      </c>
      <c r="B25" s="1" t="s">
        <v>29</v>
      </c>
      <c r="C25" s="1" t="s">
        <v>4</v>
      </c>
      <c r="D25" s="7">
        <v>3023991</v>
      </c>
      <c r="E25" s="31">
        <v>125000</v>
      </c>
      <c r="F25" s="14" t="s">
        <v>114</v>
      </c>
      <c r="G25" s="33">
        <f t="shared" si="0"/>
        <v>112500</v>
      </c>
    </row>
    <row r="26" spans="1:16" x14ac:dyDescent="0.25">
      <c r="A26" s="3">
        <v>25</v>
      </c>
      <c r="B26" s="1" t="s">
        <v>30</v>
      </c>
      <c r="C26" s="1" t="s">
        <v>4</v>
      </c>
      <c r="D26" s="7">
        <v>20951914</v>
      </c>
      <c r="E26" s="31">
        <v>125000</v>
      </c>
      <c r="F26" s="14" t="s">
        <v>114</v>
      </c>
      <c r="G26" s="33">
        <f t="shared" si="0"/>
        <v>112500</v>
      </c>
    </row>
    <row r="27" spans="1:16" x14ac:dyDescent="0.25">
      <c r="A27" s="3">
        <v>26</v>
      </c>
      <c r="B27" s="1" t="s">
        <v>31</v>
      </c>
      <c r="C27" s="1" t="s">
        <v>4</v>
      </c>
      <c r="D27" s="7">
        <v>1073775</v>
      </c>
      <c r="E27" s="31">
        <v>125000</v>
      </c>
      <c r="F27" s="14" t="s">
        <v>114</v>
      </c>
      <c r="G27" s="33">
        <f t="shared" si="0"/>
        <v>112500</v>
      </c>
    </row>
    <row r="28" spans="1:16" x14ac:dyDescent="0.25">
      <c r="A28" s="3">
        <v>27</v>
      </c>
      <c r="B28" s="1" t="s">
        <v>32</v>
      </c>
      <c r="C28" s="1" t="s">
        <v>4</v>
      </c>
      <c r="D28" s="7"/>
      <c r="E28" s="31">
        <v>125000</v>
      </c>
      <c r="F28" s="14" t="s">
        <v>114</v>
      </c>
      <c r="G28" s="33">
        <f t="shared" si="0"/>
        <v>112500</v>
      </c>
    </row>
    <row r="29" spans="1:16" x14ac:dyDescent="0.25">
      <c r="A29" s="3">
        <v>28</v>
      </c>
      <c r="B29" s="1" t="s">
        <v>33</v>
      </c>
      <c r="C29" s="1" t="s">
        <v>4</v>
      </c>
      <c r="D29" s="7">
        <v>21012204</v>
      </c>
      <c r="E29" s="31">
        <v>125000</v>
      </c>
      <c r="F29" s="14" t="s">
        <v>114</v>
      </c>
      <c r="G29" s="33">
        <f t="shared" si="0"/>
        <v>112500</v>
      </c>
    </row>
    <row r="30" spans="1:16" x14ac:dyDescent="0.25">
      <c r="A30" s="3">
        <v>29</v>
      </c>
      <c r="B30" s="1" t="s">
        <v>34</v>
      </c>
      <c r="C30" s="1" t="s">
        <v>4</v>
      </c>
      <c r="D30" s="7">
        <v>20871552</v>
      </c>
      <c r="E30" s="31">
        <v>125000</v>
      </c>
      <c r="F30" s="14" t="s">
        <v>114</v>
      </c>
      <c r="G30" s="33">
        <f t="shared" si="0"/>
        <v>112500</v>
      </c>
    </row>
    <row r="31" spans="1:16" x14ac:dyDescent="0.25">
      <c r="A31" s="3">
        <v>30</v>
      </c>
      <c r="B31" s="1" t="s">
        <v>35</v>
      </c>
      <c r="C31" s="1" t="s">
        <v>4</v>
      </c>
      <c r="D31" s="7">
        <v>20617525</v>
      </c>
      <c r="E31" s="31">
        <v>125000</v>
      </c>
      <c r="F31" s="14" t="s">
        <v>114</v>
      </c>
      <c r="G31" s="33">
        <f t="shared" si="0"/>
        <v>112500</v>
      </c>
    </row>
    <row r="32" spans="1:16" x14ac:dyDescent="0.25">
      <c r="A32" s="3">
        <v>31</v>
      </c>
      <c r="B32" s="1" t="s">
        <v>36</v>
      </c>
      <c r="C32" s="1" t="s">
        <v>15</v>
      </c>
      <c r="D32" s="7">
        <v>1072762324</v>
      </c>
      <c r="E32" s="31">
        <v>125000</v>
      </c>
      <c r="F32" s="14" t="s">
        <v>113</v>
      </c>
      <c r="G32" s="33">
        <f t="shared" si="0"/>
        <v>112500</v>
      </c>
    </row>
    <row r="33" spans="1:7" x14ac:dyDescent="0.25">
      <c r="A33" s="3">
        <v>32</v>
      </c>
      <c r="B33" s="1" t="s">
        <v>37</v>
      </c>
      <c r="C33" s="1" t="s">
        <v>15</v>
      </c>
      <c r="D33" s="7">
        <v>1072962324</v>
      </c>
      <c r="E33" s="31">
        <v>125000</v>
      </c>
      <c r="F33" s="14" t="s">
        <v>113</v>
      </c>
      <c r="G33" s="33">
        <f t="shared" si="0"/>
        <v>112500</v>
      </c>
    </row>
    <row r="34" spans="1:7" x14ac:dyDescent="0.25">
      <c r="A34" s="3">
        <v>33</v>
      </c>
      <c r="B34" s="1" t="s">
        <v>38</v>
      </c>
      <c r="C34" s="1" t="s">
        <v>4</v>
      </c>
      <c r="D34" s="7">
        <v>39556168</v>
      </c>
      <c r="E34" s="31">
        <v>125000</v>
      </c>
      <c r="F34" s="14" t="s">
        <v>113</v>
      </c>
      <c r="G34" s="33">
        <f t="shared" si="0"/>
        <v>112500</v>
      </c>
    </row>
    <row r="35" spans="1:7" x14ac:dyDescent="0.25">
      <c r="A35" s="3">
        <v>34</v>
      </c>
      <c r="B35" s="1" t="s">
        <v>39</v>
      </c>
      <c r="C35" s="1" t="s">
        <v>4</v>
      </c>
      <c r="D35" s="7">
        <v>79095224</v>
      </c>
      <c r="E35" s="31">
        <v>125000</v>
      </c>
      <c r="F35" s="14" t="s">
        <v>113</v>
      </c>
      <c r="G35" s="33">
        <f t="shared" si="0"/>
        <v>112500</v>
      </c>
    </row>
    <row r="36" spans="1:7" x14ac:dyDescent="0.25">
      <c r="A36" s="3">
        <v>35</v>
      </c>
      <c r="B36" s="1" t="s">
        <v>40</v>
      </c>
      <c r="C36" s="1" t="s">
        <v>41</v>
      </c>
      <c r="D36" s="7">
        <v>1072964287</v>
      </c>
      <c r="E36" s="31">
        <v>10000</v>
      </c>
      <c r="F36" s="14" t="s">
        <v>113</v>
      </c>
      <c r="G36" s="33">
        <v>10000</v>
      </c>
    </row>
    <row r="37" spans="1:7" x14ac:dyDescent="0.25">
      <c r="A37" s="3">
        <v>36</v>
      </c>
      <c r="B37" s="1" t="s">
        <v>42</v>
      </c>
      <c r="C37" s="1" t="s">
        <v>4</v>
      </c>
      <c r="D37" s="7">
        <v>1069282255</v>
      </c>
      <c r="E37" s="31">
        <v>125000</v>
      </c>
      <c r="F37" s="14" t="s">
        <v>113</v>
      </c>
      <c r="G37" s="33">
        <f t="shared" si="0"/>
        <v>112500</v>
      </c>
    </row>
    <row r="38" spans="1:7" x14ac:dyDescent="0.25">
      <c r="A38" s="3">
        <v>37</v>
      </c>
      <c r="B38" s="1" t="s">
        <v>43</v>
      </c>
      <c r="C38" s="1" t="s">
        <v>4</v>
      </c>
      <c r="D38" s="7">
        <v>20358967</v>
      </c>
      <c r="E38" s="31">
        <v>125000</v>
      </c>
      <c r="F38" s="14" t="s">
        <v>113</v>
      </c>
      <c r="G38" s="33">
        <f t="shared" si="0"/>
        <v>112500</v>
      </c>
    </row>
    <row r="39" spans="1:7" x14ac:dyDescent="0.25">
      <c r="A39" s="3">
        <v>38</v>
      </c>
      <c r="B39" s="1" t="s">
        <v>44</v>
      </c>
      <c r="C39" s="1" t="s">
        <v>4</v>
      </c>
      <c r="D39" s="7">
        <v>54660953</v>
      </c>
      <c r="E39" s="31">
        <v>125000</v>
      </c>
      <c r="F39" s="14" t="s">
        <v>115</v>
      </c>
      <c r="G39" s="33">
        <f t="shared" si="0"/>
        <v>112500</v>
      </c>
    </row>
    <row r="40" spans="1:7" x14ac:dyDescent="0.25">
      <c r="A40" s="3">
        <v>39</v>
      </c>
      <c r="B40" s="1" t="s">
        <v>45</v>
      </c>
      <c r="C40" s="1" t="s">
        <v>4</v>
      </c>
      <c r="D40" s="7">
        <v>30372665</v>
      </c>
      <c r="E40" s="31">
        <v>125000</v>
      </c>
      <c r="F40" s="14" t="s">
        <v>115</v>
      </c>
      <c r="G40" s="33">
        <f t="shared" si="0"/>
        <v>112500</v>
      </c>
    </row>
    <row r="41" spans="1:7" x14ac:dyDescent="0.25">
      <c r="A41" s="3">
        <v>40</v>
      </c>
      <c r="B41" s="1" t="s">
        <v>46</v>
      </c>
      <c r="C41" s="1" t="s">
        <v>4</v>
      </c>
      <c r="D41" s="7">
        <v>20357610</v>
      </c>
      <c r="E41" s="31">
        <v>125000</v>
      </c>
      <c r="F41" s="14" t="s">
        <v>115</v>
      </c>
      <c r="G41" s="33">
        <f t="shared" si="0"/>
        <v>112500</v>
      </c>
    </row>
    <row r="42" spans="1:7" x14ac:dyDescent="0.25">
      <c r="A42" s="3">
        <v>41</v>
      </c>
      <c r="B42" s="1" t="s">
        <v>47</v>
      </c>
      <c r="C42" s="1" t="s">
        <v>4</v>
      </c>
      <c r="D42" s="7">
        <v>41553537</v>
      </c>
      <c r="E42" s="31">
        <v>125000</v>
      </c>
      <c r="F42" s="14" t="s">
        <v>114</v>
      </c>
      <c r="G42" s="33">
        <f t="shared" si="0"/>
        <v>112500</v>
      </c>
    </row>
    <row r="43" spans="1:7" x14ac:dyDescent="0.25">
      <c r="A43" s="3">
        <v>42</v>
      </c>
      <c r="B43" s="1" t="s">
        <v>48</v>
      </c>
      <c r="C43" s="1" t="s">
        <v>4</v>
      </c>
      <c r="D43" s="7">
        <v>11450104</v>
      </c>
      <c r="E43" s="31">
        <v>125000</v>
      </c>
      <c r="F43" s="14" t="s">
        <v>114</v>
      </c>
      <c r="G43" s="33">
        <f t="shared" si="0"/>
        <v>112500</v>
      </c>
    </row>
    <row r="44" spans="1:7" x14ac:dyDescent="0.25">
      <c r="A44" s="3">
        <v>43</v>
      </c>
      <c r="B44" s="1" t="s">
        <v>49</v>
      </c>
      <c r="C44" s="1" t="s">
        <v>4</v>
      </c>
      <c r="D44" s="7">
        <v>20870289</v>
      </c>
      <c r="E44" s="31">
        <v>125000</v>
      </c>
      <c r="F44" s="14" t="s">
        <v>114</v>
      </c>
      <c r="G44" s="33">
        <f t="shared" si="0"/>
        <v>112500</v>
      </c>
    </row>
    <row r="45" spans="1:7" x14ac:dyDescent="0.25">
      <c r="A45" s="3">
        <v>44</v>
      </c>
      <c r="B45" s="1" t="s">
        <v>50</v>
      </c>
      <c r="C45" s="1" t="s">
        <v>4</v>
      </c>
      <c r="D45" s="7">
        <v>20870935</v>
      </c>
      <c r="E45" s="31">
        <v>125000</v>
      </c>
      <c r="F45" s="14" t="s">
        <v>113</v>
      </c>
      <c r="G45" s="33">
        <f t="shared" si="0"/>
        <v>112500</v>
      </c>
    </row>
    <row r="46" spans="1:7" x14ac:dyDescent="0.25">
      <c r="A46" s="3">
        <v>45</v>
      </c>
      <c r="B46" s="1" t="s">
        <v>51</v>
      </c>
      <c r="C46" s="1" t="s">
        <v>4</v>
      </c>
      <c r="D46" s="7">
        <v>20871360</v>
      </c>
      <c r="E46" s="31">
        <v>125000</v>
      </c>
      <c r="F46" s="14" t="s">
        <v>114</v>
      </c>
      <c r="G46" s="33">
        <f t="shared" si="0"/>
        <v>112500</v>
      </c>
    </row>
    <row r="47" spans="1:7" x14ac:dyDescent="0.25">
      <c r="A47" s="3">
        <v>46</v>
      </c>
      <c r="B47" s="1" t="s">
        <v>52</v>
      </c>
      <c r="C47" s="1" t="s">
        <v>4</v>
      </c>
      <c r="D47" s="7">
        <v>20278409</v>
      </c>
      <c r="E47" s="31">
        <v>125000</v>
      </c>
      <c r="F47" s="14" t="s">
        <v>114</v>
      </c>
      <c r="G47" s="33">
        <f t="shared" si="0"/>
        <v>112500</v>
      </c>
    </row>
    <row r="48" spans="1:7" x14ac:dyDescent="0.25">
      <c r="A48" s="3">
        <v>47</v>
      </c>
      <c r="B48" s="1" t="s">
        <v>53</v>
      </c>
      <c r="C48" s="1" t="s">
        <v>4</v>
      </c>
      <c r="D48" s="7">
        <v>19379613</v>
      </c>
      <c r="E48" s="31">
        <v>125000</v>
      </c>
      <c r="F48" s="14" t="s">
        <v>112</v>
      </c>
      <c r="G48" s="33">
        <f t="shared" si="0"/>
        <v>112500</v>
      </c>
    </row>
    <row r="49" spans="1:7" x14ac:dyDescent="0.25">
      <c r="A49" s="3">
        <v>48</v>
      </c>
      <c r="B49" s="1" t="s">
        <v>54</v>
      </c>
      <c r="C49" s="1" t="s">
        <v>4</v>
      </c>
      <c r="D49" s="7">
        <v>1193518169</v>
      </c>
      <c r="E49" s="31">
        <v>125000</v>
      </c>
      <c r="F49" s="14" t="s">
        <v>113</v>
      </c>
      <c r="G49" s="33">
        <f t="shared" si="0"/>
        <v>112500</v>
      </c>
    </row>
    <row r="50" spans="1:7" x14ac:dyDescent="0.25">
      <c r="A50" s="3">
        <v>49</v>
      </c>
      <c r="B50" s="1" t="s">
        <v>55</v>
      </c>
      <c r="C50" s="1" t="s">
        <v>4</v>
      </c>
      <c r="D50" s="7">
        <v>21017230</v>
      </c>
      <c r="E50" s="31">
        <v>125000</v>
      </c>
      <c r="F50" s="14" t="s">
        <v>113</v>
      </c>
      <c r="G50" s="33">
        <f t="shared" si="0"/>
        <v>112500</v>
      </c>
    </row>
    <row r="51" spans="1:7" x14ac:dyDescent="0.25">
      <c r="A51" s="3">
        <v>50</v>
      </c>
      <c r="B51" s="1" t="s">
        <v>56</v>
      </c>
      <c r="C51" s="1" t="s">
        <v>4</v>
      </c>
      <c r="D51" s="7">
        <v>39789816</v>
      </c>
      <c r="E51" s="31">
        <v>125000</v>
      </c>
      <c r="F51" s="14" t="s">
        <v>128</v>
      </c>
      <c r="G51" s="33">
        <f t="shared" si="0"/>
        <v>112500</v>
      </c>
    </row>
    <row r="52" spans="1:7" x14ac:dyDescent="0.25">
      <c r="A52" s="3">
        <v>51</v>
      </c>
      <c r="B52" s="1" t="s">
        <v>57</v>
      </c>
      <c r="C52" s="1" t="s">
        <v>4</v>
      </c>
      <c r="D52" s="7">
        <v>1072963370</v>
      </c>
      <c r="E52" s="31">
        <v>125000</v>
      </c>
      <c r="F52" s="14" t="s">
        <v>128</v>
      </c>
      <c r="G52" s="33">
        <f t="shared" si="0"/>
        <v>112500</v>
      </c>
    </row>
    <row r="53" spans="1:7" x14ac:dyDescent="0.25">
      <c r="A53" s="3">
        <v>52</v>
      </c>
      <c r="B53" s="1" t="s">
        <v>58</v>
      </c>
      <c r="C53" s="1" t="s">
        <v>4</v>
      </c>
      <c r="D53" s="7">
        <v>20357306</v>
      </c>
      <c r="E53" s="31">
        <v>125000</v>
      </c>
      <c r="F53" s="14" t="s">
        <v>128</v>
      </c>
      <c r="G53" s="33">
        <f t="shared" si="0"/>
        <v>112500</v>
      </c>
    </row>
    <row r="54" spans="1:7" x14ac:dyDescent="0.25">
      <c r="A54" s="3">
        <v>53</v>
      </c>
      <c r="B54" s="1" t="s">
        <v>59</v>
      </c>
      <c r="C54" s="1" t="s">
        <v>4</v>
      </c>
      <c r="D54" s="7">
        <v>41591370</v>
      </c>
      <c r="E54" s="31">
        <v>125000</v>
      </c>
      <c r="F54" s="14" t="s">
        <v>128</v>
      </c>
      <c r="G54" s="33">
        <f t="shared" si="0"/>
        <v>112500</v>
      </c>
    </row>
    <row r="55" spans="1:7" x14ac:dyDescent="0.25">
      <c r="A55" s="3">
        <v>54</v>
      </c>
      <c r="B55" s="1" t="s">
        <v>60</v>
      </c>
      <c r="C55" s="1" t="s">
        <v>4</v>
      </c>
      <c r="D55" s="7">
        <v>20357324</v>
      </c>
      <c r="E55" s="31">
        <v>0</v>
      </c>
      <c r="F55" s="14" t="s">
        <v>127</v>
      </c>
      <c r="G55" s="33">
        <v>0</v>
      </c>
    </row>
    <row r="56" spans="1:7" x14ac:dyDescent="0.25">
      <c r="A56" s="3">
        <v>55</v>
      </c>
      <c r="B56" s="1" t="s">
        <v>61</v>
      </c>
      <c r="C56" s="1" t="s">
        <v>4</v>
      </c>
      <c r="D56" s="7">
        <v>20357324</v>
      </c>
      <c r="E56" s="31">
        <v>125000</v>
      </c>
      <c r="F56" s="14" t="s">
        <v>128</v>
      </c>
      <c r="G56" s="33">
        <f t="shared" si="0"/>
        <v>112500</v>
      </c>
    </row>
    <row r="57" spans="1:7" x14ac:dyDescent="0.25">
      <c r="A57" s="3">
        <v>56</v>
      </c>
      <c r="B57" s="1" t="s">
        <v>62</v>
      </c>
      <c r="C57" s="1" t="s">
        <v>4</v>
      </c>
      <c r="D57" s="7">
        <v>39560098</v>
      </c>
      <c r="E57" s="31">
        <v>125000</v>
      </c>
      <c r="F57" s="14" t="s">
        <v>128</v>
      </c>
      <c r="G57" s="33">
        <f t="shared" si="0"/>
        <v>112500</v>
      </c>
    </row>
    <row r="58" spans="1:7" x14ac:dyDescent="0.25">
      <c r="A58" s="3">
        <v>57</v>
      </c>
      <c r="B58" s="1" t="s">
        <v>63</v>
      </c>
      <c r="C58" s="1" t="s">
        <v>4</v>
      </c>
      <c r="D58" s="7">
        <v>178668</v>
      </c>
      <c r="E58" s="31">
        <v>125000</v>
      </c>
      <c r="F58" s="14" t="s">
        <v>128</v>
      </c>
      <c r="G58" s="33">
        <f t="shared" si="0"/>
        <v>112500</v>
      </c>
    </row>
    <row r="59" spans="1:7" x14ac:dyDescent="0.25">
      <c r="A59" s="3">
        <v>58</v>
      </c>
      <c r="B59" s="1" t="s">
        <v>64</v>
      </c>
      <c r="C59" s="1" t="s">
        <v>4</v>
      </c>
      <c r="D59" s="7">
        <v>20357264</v>
      </c>
      <c r="E59" s="31">
        <v>125000</v>
      </c>
      <c r="F59" s="14" t="s">
        <v>128</v>
      </c>
      <c r="G59" s="33">
        <f t="shared" si="0"/>
        <v>112500</v>
      </c>
    </row>
    <row r="60" spans="1:7" x14ac:dyDescent="0.25">
      <c r="A60" s="3">
        <v>59</v>
      </c>
      <c r="B60" s="1" t="s">
        <v>65</v>
      </c>
      <c r="C60" s="1" t="s">
        <v>4</v>
      </c>
      <c r="D60" s="7">
        <v>20357995</v>
      </c>
      <c r="E60" s="31">
        <v>125000</v>
      </c>
      <c r="F60" s="14" t="s">
        <v>128</v>
      </c>
      <c r="G60" s="33">
        <f t="shared" si="0"/>
        <v>112500</v>
      </c>
    </row>
    <row r="61" spans="1:7" x14ac:dyDescent="0.25">
      <c r="A61" s="3">
        <v>60</v>
      </c>
      <c r="B61" s="1" t="s">
        <v>66</v>
      </c>
      <c r="C61" s="1" t="s">
        <v>4</v>
      </c>
      <c r="D61" s="7">
        <v>179040</v>
      </c>
      <c r="E61" s="31">
        <v>125000</v>
      </c>
      <c r="F61" s="14" t="s">
        <v>128</v>
      </c>
      <c r="G61" s="33">
        <f t="shared" si="0"/>
        <v>112500</v>
      </c>
    </row>
    <row r="62" spans="1:7" x14ac:dyDescent="0.25">
      <c r="A62" s="3">
        <v>61</v>
      </c>
      <c r="B62" s="1" t="s">
        <v>67</v>
      </c>
      <c r="C62" s="1" t="s">
        <v>13</v>
      </c>
      <c r="D62" s="7">
        <v>1072961920</v>
      </c>
      <c r="E62" s="31">
        <v>125000</v>
      </c>
      <c r="F62" s="14" t="s">
        <v>128</v>
      </c>
      <c r="G62" s="33">
        <f t="shared" si="0"/>
        <v>112500</v>
      </c>
    </row>
    <row r="63" spans="1:7" x14ac:dyDescent="0.25">
      <c r="A63" s="3">
        <v>62</v>
      </c>
      <c r="B63" s="1" t="s">
        <v>68</v>
      </c>
      <c r="C63" s="1" t="s">
        <v>4</v>
      </c>
      <c r="D63" s="7">
        <v>51939196</v>
      </c>
      <c r="E63" s="31">
        <v>125000</v>
      </c>
      <c r="F63" s="14" t="s">
        <v>128</v>
      </c>
      <c r="G63" s="33">
        <f t="shared" si="0"/>
        <v>112500</v>
      </c>
    </row>
    <row r="64" spans="1:7" x14ac:dyDescent="0.25">
      <c r="A64" s="3">
        <v>63</v>
      </c>
      <c r="B64" s="1" t="s">
        <v>69</v>
      </c>
      <c r="C64" s="1" t="s">
        <v>4</v>
      </c>
      <c r="D64" s="7">
        <v>2955330</v>
      </c>
      <c r="E64" s="31">
        <v>125000</v>
      </c>
      <c r="F64" s="14" t="s">
        <v>128</v>
      </c>
      <c r="G64" s="33">
        <f t="shared" si="0"/>
        <v>112500</v>
      </c>
    </row>
    <row r="65" spans="1:7" x14ac:dyDescent="0.25">
      <c r="A65" s="3">
        <v>64</v>
      </c>
      <c r="B65" s="1" t="s">
        <v>70</v>
      </c>
      <c r="C65" s="1" t="s">
        <v>4</v>
      </c>
      <c r="D65" s="7">
        <v>1000157395</v>
      </c>
      <c r="E65" s="31">
        <v>125000</v>
      </c>
      <c r="F65" s="14" t="s">
        <v>128</v>
      </c>
      <c r="G65" s="33">
        <f t="shared" si="0"/>
        <v>112500</v>
      </c>
    </row>
    <row r="66" spans="1:7" x14ac:dyDescent="0.25">
      <c r="A66" s="3">
        <v>65</v>
      </c>
      <c r="B66" s="1" t="s">
        <v>71</v>
      </c>
      <c r="C66" s="1" t="s">
        <v>4</v>
      </c>
      <c r="D66" s="7">
        <v>20357574</v>
      </c>
      <c r="E66" s="31">
        <v>125000</v>
      </c>
      <c r="F66" s="14" t="s">
        <v>128</v>
      </c>
      <c r="G66" s="33">
        <f t="shared" si="0"/>
        <v>112500</v>
      </c>
    </row>
    <row r="67" spans="1:7" x14ac:dyDescent="0.25">
      <c r="A67" s="3">
        <v>66</v>
      </c>
      <c r="B67" s="1" t="s">
        <v>72</v>
      </c>
      <c r="C67" s="1" t="s">
        <v>4</v>
      </c>
      <c r="D67" s="7">
        <v>1074088015</v>
      </c>
      <c r="E67" s="31">
        <v>125000</v>
      </c>
      <c r="F67" s="14" t="s">
        <v>128</v>
      </c>
      <c r="G67" s="33">
        <f t="shared" si="0"/>
        <v>112500</v>
      </c>
    </row>
    <row r="68" spans="1:7" x14ac:dyDescent="0.25">
      <c r="A68" s="3">
        <v>67</v>
      </c>
      <c r="B68" s="1" t="s">
        <v>73</v>
      </c>
      <c r="C68" s="1" t="s">
        <v>4</v>
      </c>
      <c r="D68" s="7">
        <v>35373856</v>
      </c>
      <c r="E68" s="31">
        <v>125000</v>
      </c>
      <c r="F68" s="14" t="s">
        <v>128</v>
      </c>
      <c r="G68" s="33">
        <f t="shared" ref="G68:G100" si="1">E68-12500</f>
        <v>112500</v>
      </c>
    </row>
    <row r="69" spans="1:7" x14ac:dyDescent="0.25">
      <c r="A69" s="3">
        <v>68</v>
      </c>
      <c r="B69" s="1" t="s">
        <v>74</v>
      </c>
      <c r="C69" s="1" t="s">
        <v>4</v>
      </c>
      <c r="D69" s="7">
        <v>32001100</v>
      </c>
      <c r="E69" s="31">
        <v>125000</v>
      </c>
      <c r="F69" s="14" t="s">
        <v>128</v>
      </c>
      <c r="G69" s="33">
        <f t="shared" si="1"/>
        <v>112500</v>
      </c>
    </row>
    <row r="70" spans="1:7" x14ac:dyDescent="0.25">
      <c r="A70" s="3">
        <v>69</v>
      </c>
      <c r="B70" s="1" t="s">
        <v>75</v>
      </c>
      <c r="C70" s="1" t="s">
        <v>4</v>
      </c>
      <c r="D70" s="7">
        <v>52061687</v>
      </c>
      <c r="E70" s="31">
        <v>125000</v>
      </c>
      <c r="F70" s="14" t="s">
        <v>128</v>
      </c>
      <c r="G70" s="33">
        <f t="shared" si="1"/>
        <v>112500</v>
      </c>
    </row>
    <row r="71" spans="1:7" x14ac:dyDescent="0.25">
      <c r="A71" s="3">
        <v>70</v>
      </c>
      <c r="B71" s="1" t="s">
        <v>76</v>
      </c>
      <c r="C71" s="1" t="s">
        <v>4</v>
      </c>
      <c r="D71" s="7">
        <v>20358252</v>
      </c>
      <c r="E71" s="31">
        <v>125000</v>
      </c>
      <c r="F71" s="14" t="s">
        <v>128</v>
      </c>
      <c r="G71" s="33">
        <f t="shared" si="1"/>
        <v>112500</v>
      </c>
    </row>
    <row r="72" spans="1:7" x14ac:dyDescent="0.25">
      <c r="A72" s="3">
        <v>71</v>
      </c>
      <c r="B72" s="1" t="s">
        <v>77</v>
      </c>
      <c r="C72" s="1" t="s">
        <v>4</v>
      </c>
      <c r="D72" s="7">
        <v>35323007</v>
      </c>
      <c r="E72" s="31">
        <v>125000</v>
      </c>
      <c r="F72" s="14" t="s">
        <v>128</v>
      </c>
      <c r="G72" s="33">
        <f t="shared" si="1"/>
        <v>112500</v>
      </c>
    </row>
    <row r="73" spans="1:7" x14ac:dyDescent="0.25">
      <c r="A73" s="3">
        <v>72</v>
      </c>
      <c r="B73" s="1" t="s">
        <v>78</v>
      </c>
      <c r="C73" s="1" t="s">
        <v>4</v>
      </c>
      <c r="D73" s="7">
        <v>31301919</v>
      </c>
      <c r="E73" s="31">
        <v>125000</v>
      </c>
      <c r="F73" s="14" t="s">
        <v>128</v>
      </c>
      <c r="G73" s="33">
        <f t="shared" si="1"/>
        <v>112500</v>
      </c>
    </row>
    <row r="74" spans="1:7" x14ac:dyDescent="0.25">
      <c r="A74" s="3">
        <v>73</v>
      </c>
      <c r="B74" s="1" t="s">
        <v>79</v>
      </c>
      <c r="C74" s="1" t="s">
        <v>4</v>
      </c>
      <c r="D74" s="7">
        <v>14974866</v>
      </c>
      <c r="E74" s="31">
        <v>125000</v>
      </c>
      <c r="F74" s="14" t="s">
        <v>128</v>
      </c>
      <c r="G74" s="33">
        <f t="shared" si="1"/>
        <v>112500</v>
      </c>
    </row>
    <row r="75" spans="1:7" x14ac:dyDescent="0.25">
      <c r="A75" s="3">
        <v>74</v>
      </c>
      <c r="B75" s="1" t="s">
        <v>80</v>
      </c>
      <c r="C75" s="1" t="s">
        <v>4</v>
      </c>
      <c r="D75" s="7">
        <v>52707607</v>
      </c>
      <c r="E75" s="31">
        <v>125000</v>
      </c>
      <c r="F75" s="14" t="s">
        <v>128</v>
      </c>
      <c r="G75" s="33">
        <f t="shared" si="1"/>
        <v>112500</v>
      </c>
    </row>
    <row r="76" spans="1:7" x14ac:dyDescent="0.25">
      <c r="A76" s="3">
        <v>75</v>
      </c>
      <c r="B76" s="1" t="s">
        <v>81</v>
      </c>
      <c r="C76" s="1" t="s">
        <v>82</v>
      </c>
      <c r="D76" s="7">
        <v>654489448</v>
      </c>
      <c r="E76" s="31">
        <v>125000</v>
      </c>
      <c r="F76" s="14" t="s">
        <v>128</v>
      </c>
      <c r="G76" s="33">
        <f t="shared" si="1"/>
        <v>112500</v>
      </c>
    </row>
    <row r="77" spans="1:7" x14ac:dyDescent="0.25">
      <c r="A77" s="3">
        <v>76</v>
      </c>
      <c r="B77" s="1" t="s">
        <v>83</v>
      </c>
      <c r="C77" s="1" t="s">
        <v>4</v>
      </c>
      <c r="D77" s="7">
        <v>20357942</v>
      </c>
      <c r="E77" s="31">
        <v>125000</v>
      </c>
      <c r="F77" s="14" t="s">
        <v>128</v>
      </c>
      <c r="G77" s="33">
        <f t="shared" si="1"/>
        <v>112500</v>
      </c>
    </row>
    <row r="78" spans="1:7" x14ac:dyDescent="0.25">
      <c r="A78" s="3">
        <v>77</v>
      </c>
      <c r="B78" s="11" t="s">
        <v>84</v>
      </c>
      <c r="C78" s="11" t="s">
        <v>13</v>
      </c>
      <c r="D78" s="12">
        <v>1195466310</v>
      </c>
      <c r="E78" s="31">
        <v>10000</v>
      </c>
      <c r="F78" s="14" t="s">
        <v>127</v>
      </c>
      <c r="G78" s="33">
        <v>10000</v>
      </c>
    </row>
    <row r="79" spans="1:7" x14ac:dyDescent="0.25">
      <c r="A79" s="3">
        <v>78</v>
      </c>
      <c r="B79" s="1" t="s">
        <v>85</v>
      </c>
      <c r="C79" s="1" t="s">
        <v>4</v>
      </c>
      <c r="D79" s="7">
        <v>1032358150</v>
      </c>
      <c r="E79" s="31">
        <v>125000</v>
      </c>
      <c r="F79" s="14" t="s">
        <v>128</v>
      </c>
      <c r="G79" s="33">
        <f t="shared" si="1"/>
        <v>112500</v>
      </c>
    </row>
    <row r="80" spans="1:7" x14ac:dyDescent="0.25">
      <c r="A80" s="3">
        <v>79</v>
      </c>
      <c r="B80" s="1" t="s">
        <v>86</v>
      </c>
      <c r="C80" s="1" t="s">
        <v>4</v>
      </c>
      <c r="D80" s="7">
        <v>1072962110</v>
      </c>
      <c r="E80" s="31">
        <v>125000</v>
      </c>
      <c r="F80" s="14" t="s">
        <v>128</v>
      </c>
      <c r="G80" s="33">
        <f t="shared" si="1"/>
        <v>112500</v>
      </c>
    </row>
    <row r="81" spans="1:7" x14ac:dyDescent="0.25">
      <c r="A81" s="3">
        <v>80</v>
      </c>
      <c r="B81" s="1" t="s">
        <v>87</v>
      </c>
      <c r="C81" s="1" t="s">
        <v>4</v>
      </c>
      <c r="D81" s="7">
        <v>1070329107</v>
      </c>
      <c r="E81" s="31">
        <v>125000</v>
      </c>
      <c r="F81" s="14" t="s">
        <v>128</v>
      </c>
      <c r="G81" s="33">
        <f t="shared" si="1"/>
        <v>112500</v>
      </c>
    </row>
    <row r="82" spans="1:7" x14ac:dyDescent="0.25">
      <c r="A82" s="3">
        <v>81</v>
      </c>
      <c r="B82" s="1" t="s">
        <v>88</v>
      </c>
      <c r="C82" s="1" t="s">
        <v>4</v>
      </c>
      <c r="D82" s="7">
        <v>20357440</v>
      </c>
      <c r="E82" s="31">
        <v>125000</v>
      </c>
      <c r="F82" s="14" t="s">
        <v>128</v>
      </c>
      <c r="G82" s="33">
        <f t="shared" si="1"/>
        <v>112500</v>
      </c>
    </row>
    <row r="83" spans="1:7" x14ac:dyDescent="0.25">
      <c r="A83" s="3">
        <v>82</v>
      </c>
      <c r="B83" s="1" t="s">
        <v>89</v>
      </c>
      <c r="C83" s="1" t="s">
        <v>4</v>
      </c>
      <c r="D83" s="7">
        <v>20684167</v>
      </c>
      <c r="E83" s="31">
        <v>125000</v>
      </c>
      <c r="F83" s="14" t="s">
        <v>128</v>
      </c>
      <c r="G83" s="33">
        <f t="shared" si="1"/>
        <v>112500</v>
      </c>
    </row>
    <row r="84" spans="1:7" x14ac:dyDescent="0.25">
      <c r="A84" s="3">
        <v>83</v>
      </c>
      <c r="B84" s="1" t="s">
        <v>90</v>
      </c>
      <c r="C84" s="1" t="s">
        <v>4</v>
      </c>
      <c r="D84" s="7">
        <v>20871777</v>
      </c>
      <c r="E84" s="31">
        <v>125000</v>
      </c>
      <c r="F84" s="14" t="s">
        <v>128</v>
      </c>
      <c r="G84" s="33">
        <f>E84-12500</f>
        <v>112500</v>
      </c>
    </row>
    <row r="85" spans="1:7" x14ac:dyDescent="0.25">
      <c r="A85" s="3">
        <v>84</v>
      </c>
      <c r="B85" s="1" t="s">
        <v>91</v>
      </c>
      <c r="C85" s="1" t="s">
        <v>4</v>
      </c>
      <c r="D85" s="7">
        <v>1072962556</v>
      </c>
      <c r="E85" s="31">
        <v>0</v>
      </c>
      <c r="F85" s="14" t="s">
        <v>127</v>
      </c>
      <c r="G85" s="33">
        <v>0</v>
      </c>
    </row>
    <row r="86" spans="1:7" x14ac:dyDescent="0.25">
      <c r="A86" s="3">
        <v>85</v>
      </c>
      <c r="B86" s="11" t="s">
        <v>92</v>
      </c>
      <c r="C86" s="11" t="s">
        <v>41</v>
      </c>
      <c r="D86" s="12">
        <v>1072963861</v>
      </c>
      <c r="E86" s="31">
        <v>10000</v>
      </c>
      <c r="F86" s="14" t="s">
        <v>127</v>
      </c>
      <c r="G86" s="33">
        <v>10000</v>
      </c>
    </row>
    <row r="87" spans="1:7" x14ac:dyDescent="0.25">
      <c r="A87" s="3">
        <v>86</v>
      </c>
      <c r="B87" s="11" t="s">
        <v>93</v>
      </c>
      <c r="C87" s="11" t="s">
        <v>41</v>
      </c>
      <c r="D87" s="12">
        <v>1072964386</v>
      </c>
      <c r="E87" s="31">
        <v>10000</v>
      </c>
      <c r="F87" s="14" t="s">
        <v>127</v>
      </c>
      <c r="G87" s="33">
        <v>10000</v>
      </c>
    </row>
    <row r="88" spans="1:7" x14ac:dyDescent="0.25">
      <c r="A88" s="3">
        <v>87</v>
      </c>
      <c r="B88" s="11" t="s">
        <v>94</v>
      </c>
      <c r="C88" s="11" t="s">
        <v>41</v>
      </c>
      <c r="D88" s="12">
        <v>1072963853</v>
      </c>
      <c r="E88" s="31">
        <v>10000</v>
      </c>
      <c r="F88" s="14" t="s">
        <v>127</v>
      </c>
      <c r="G88" s="33">
        <v>10000</v>
      </c>
    </row>
    <row r="89" spans="1:7" x14ac:dyDescent="0.25">
      <c r="A89" s="3">
        <v>88</v>
      </c>
      <c r="B89" s="1" t="s">
        <v>95</v>
      </c>
      <c r="C89" s="1" t="s">
        <v>4</v>
      </c>
      <c r="D89" s="7">
        <v>20357461</v>
      </c>
      <c r="E89" s="31">
        <v>125000</v>
      </c>
      <c r="F89" s="14" t="s">
        <v>128</v>
      </c>
      <c r="G89" s="33">
        <f t="shared" si="1"/>
        <v>112500</v>
      </c>
    </row>
    <row r="90" spans="1:7" x14ac:dyDescent="0.25">
      <c r="A90" s="3">
        <v>89</v>
      </c>
      <c r="B90" s="1" t="s">
        <v>96</v>
      </c>
      <c r="C90" s="1" t="s">
        <v>4</v>
      </c>
      <c r="D90" s="7">
        <v>20357457</v>
      </c>
      <c r="E90" s="31">
        <v>125000</v>
      </c>
      <c r="F90" s="14" t="s">
        <v>128</v>
      </c>
      <c r="G90" s="33">
        <f t="shared" si="1"/>
        <v>112500</v>
      </c>
    </row>
    <row r="91" spans="1:7" x14ac:dyDescent="0.25">
      <c r="A91" s="3">
        <v>90</v>
      </c>
      <c r="B91" s="1" t="s">
        <v>97</v>
      </c>
      <c r="C91" s="1" t="s">
        <v>4</v>
      </c>
      <c r="D91" s="7">
        <v>51582879</v>
      </c>
      <c r="E91" s="31">
        <v>125000</v>
      </c>
      <c r="F91" s="14" t="s">
        <v>128</v>
      </c>
      <c r="G91" s="33">
        <f t="shared" si="1"/>
        <v>112500</v>
      </c>
    </row>
    <row r="92" spans="1:7" x14ac:dyDescent="0.25">
      <c r="A92" s="3">
        <v>91</v>
      </c>
      <c r="B92" s="1" t="s">
        <v>98</v>
      </c>
      <c r="C92" s="1" t="s">
        <v>4</v>
      </c>
      <c r="D92" s="7">
        <v>1193532985</v>
      </c>
      <c r="E92" s="31">
        <v>125000</v>
      </c>
      <c r="F92" s="14" t="s">
        <v>128</v>
      </c>
      <c r="G92" s="33">
        <f t="shared" si="1"/>
        <v>112500</v>
      </c>
    </row>
    <row r="93" spans="1:7" x14ac:dyDescent="0.25">
      <c r="A93" s="3">
        <v>92</v>
      </c>
      <c r="B93" s="11" t="s">
        <v>99</v>
      </c>
      <c r="C93" s="11" t="s">
        <v>41</v>
      </c>
      <c r="D93" s="12">
        <v>1195466998</v>
      </c>
      <c r="E93" s="31">
        <v>10000</v>
      </c>
      <c r="F93" s="14" t="s">
        <v>127</v>
      </c>
      <c r="G93" s="33">
        <v>10000</v>
      </c>
    </row>
    <row r="94" spans="1:7" x14ac:dyDescent="0.25">
      <c r="A94" s="3">
        <v>93</v>
      </c>
      <c r="B94" s="1" t="s">
        <v>100</v>
      </c>
      <c r="C94" s="1" t="s">
        <v>4</v>
      </c>
      <c r="D94" s="7">
        <v>1005290427</v>
      </c>
      <c r="E94" s="31">
        <v>125000</v>
      </c>
      <c r="F94" s="14" t="s">
        <v>128</v>
      </c>
      <c r="G94" s="33">
        <f t="shared" si="1"/>
        <v>112500</v>
      </c>
    </row>
    <row r="95" spans="1:7" x14ac:dyDescent="0.25">
      <c r="A95" s="3">
        <v>94</v>
      </c>
      <c r="B95" s="1" t="s">
        <v>101</v>
      </c>
      <c r="C95" s="1" t="s">
        <v>4</v>
      </c>
      <c r="D95" s="7">
        <v>79671111</v>
      </c>
      <c r="E95" s="31">
        <v>125000</v>
      </c>
      <c r="F95" s="14" t="s">
        <v>128</v>
      </c>
      <c r="G95" s="33">
        <f t="shared" si="1"/>
        <v>112500</v>
      </c>
    </row>
    <row r="96" spans="1:7" x14ac:dyDescent="0.25">
      <c r="A96" s="3">
        <v>95</v>
      </c>
      <c r="B96" s="1" t="s">
        <v>102</v>
      </c>
      <c r="C96" s="1" t="s">
        <v>4</v>
      </c>
      <c r="D96" s="7">
        <v>52851043</v>
      </c>
      <c r="E96" s="31">
        <v>125000</v>
      </c>
      <c r="F96" s="14" t="s">
        <v>128</v>
      </c>
      <c r="G96" s="33">
        <f t="shared" si="1"/>
        <v>112500</v>
      </c>
    </row>
    <row r="97" spans="1:8" x14ac:dyDescent="0.25">
      <c r="A97" s="3">
        <v>96</v>
      </c>
      <c r="B97" s="1" t="s">
        <v>103</v>
      </c>
      <c r="C97" s="1" t="s">
        <v>4</v>
      </c>
      <c r="D97" s="7">
        <v>52763282</v>
      </c>
      <c r="E97" s="31">
        <v>125000</v>
      </c>
      <c r="F97" s="14" t="s">
        <v>128</v>
      </c>
      <c r="G97" s="33">
        <f t="shared" si="1"/>
        <v>112500</v>
      </c>
    </row>
    <row r="98" spans="1:8" x14ac:dyDescent="0.25">
      <c r="A98" s="3">
        <v>97</v>
      </c>
      <c r="B98" s="1" t="s">
        <v>104</v>
      </c>
      <c r="C98" s="1" t="s">
        <v>13</v>
      </c>
      <c r="D98" s="7">
        <v>1013276236</v>
      </c>
      <c r="E98" s="31">
        <v>125000</v>
      </c>
      <c r="F98" s="14" t="s">
        <v>128</v>
      </c>
      <c r="G98" s="33">
        <f t="shared" si="1"/>
        <v>112500</v>
      </c>
    </row>
    <row r="99" spans="1:8" x14ac:dyDescent="0.25">
      <c r="A99" s="3">
        <v>98</v>
      </c>
      <c r="B99" s="1" t="s">
        <v>106</v>
      </c>
      <c r="C99" s="1" t="s">
        <v>13</v>
      </c>
      <c r="D99" s="7">
        <v>1072962209</v>
      </c>
      <c r="E99" s="31">
        <v>125000</v>
      </c>
      <c r="F99" s="14" t="s">
        <v>128</v>
      </c>
      <c r="G99" s="33">
        <f t="shared" si="1"/>
        <v>112500</v>
      </c>
    </row>
    <row r="100" spans="1:8" x14ac:dyDescent="0.25">
      <c r="A100" s="3">
        <v>99</v>
      </c>
      <c r="B100" s="1" t="s">
        <v>105</v>
      </c>
      <c r="C100" s="1" t="s">
        <v>4</v>
      </c>
      <c r="D100" s="7">
        <v>20357482</v>
      </c>
      <c r="E100" s="31">
        <v>125000</v>
      </c>
      <c r="F100" s="14" t="s">
        <v>128</v>
      </c>
      <c r="G100" s="33">
        <f t="shared" si="1"/>
        <v>112500</v>
      </c>
    </row>
    <row r="101" spans="1:8" x14ac:dyDescent="0.25">
      <c r="A101" s="3">
        <v>100</v>
      </c>
      <c r="B101" s="11" t="s">
        <v>99</v>
      </c>
      <c r="C101" s="11" t="s">
        <v>41</v>
      </c>
      <c r="D101" s="12">
        <v>1072962658</v>
      </c>
      <c r="E101" s="31">
        <v>10000</v>
      </c>
      <c r="F101" s="14" t="s">
        <v>129</v>
      </c>
      <c r="G101" s="33">
        <v>10000</v>
      </c>
    </row>
    <row r="102" spans="1:8" x14ac:dyDescent="0.25">
      <c r="B102" s="34" t="s">
        <v>131</v>
      </c>
      <c r="C102" s="34" t="s">
        <v>132</v>
      </c>
      <c r="D102" s="7">
        <v>1072873098</v>
      </c>
      <c r="E102" s="38">
        <v>125000</v>
      </c>
      <c r="F102" s="14" t="s">
        <v>113</v>
      </c>
      <c r="G102" s="33">
        <f>E102-12500</f>
        <v>112500</v>
      </c>
    </row>
    <row r="103" spans="1:8" x14ac:dyDescent="0.25">
      <c r="A103" s="3">
        <v>101</v>
      </c>
      <c r="B103" s="1" t="s">
        <v>107</v>
      </c>
      <c r="C103" s="1" t="s">
        <v>4</v>
      </c>
      <c r="D103" s="7">
        <v>1073630653</v>
      </c>
      <c r="E103" s="31">
        <v>125000</v>
      </c>
      <c r="F103" s="14" t="s">
        <v>113</v>
      </c>
      <c r="G103" s="33">
        <f>E103-12500</f>
        <v>112500</v>
      </c>
      <c r="H103" s="3" t="s">
        <v>133</v>
      </c>
    </row>
    <row r="104" spans="1:8" x14ac:dyDescent="0.25">
      <c r="B104" s="37" t="s">
        <v>121</v>
      </c>
      <c r="C104" s="37"/>
      <c r="D104" s="37"/>
      <c r="E104" s="33">
        <f>SUM(E2:E103)</f>
        <v>11320000</v>
      </c>
      <c r="F104" s="14"/>
      <c r="G104" s="33">
        <f>SUM(G3:G103)</f>
        <v>10082500</v>
      </c>
    </row>
  </sheetData>
  <mergeCells count="2">
    <mergeCell ref="I2:J2"/>
    <mergeCell ref="B104:D104"/>
  </mergeCells>
  <phoneticPr fontId="3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 PASAJEROS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Daniela</cp:lastModifiedBy>
  <dcterms:created xsi:type="dcterms:W3CDTF">2023-03-03T16:26:07Z</dcterms:created>
  <dcterms:modified xsi:type="dcterms:W3CDTF">2023-10-12T20:46:55Z</dcterms:modified>
</cp:coreProperties>
</file>