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GENERALES DE LA EMPRESA\"/>
    </mc:Choice>
  </mc:AlternateContent>
  <xr:revisionPtr revIDLastSave="0" documentId="13_ncr:1_{098034AE-00E6-42AB-A283-6B1C56719794}" xr6:coauthVersionLast="47" xr6:coauthVersionMax="47" xr10:uidLastSave="{00000000-0000-0000-0000-000000000000}"/>
  <bookViews>
    <workbookView xWindow="-120" yWindow="-120" windowWidth="20730" windowHeight="11160" activeTab="1" xr2:uid="{6806F92A-62CD-4A15-B8F1-E07A051219D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" l="1"/>
  <c r="C23" i="2"/>
  <c r="G15" i="2" s="1"/>
  <c r="J11" i="2" l="1"/>
  <c r="C33" i="2"/>
  <c r="C47" i="2" s="1"/>
  <c r="G28" i="2"/>
  <c r="G33" i="2" s="1"/>
  <c r="D5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C7" i="2"/>
  <c r="D6" i="2"/>
  <c r="C6" i="2"/>
  <c r="C5" i="2"/>
  <c r="D4" i="2"/>
  <c r="C4" i="2"/>
  <c r="D3" i="2"/>
  <c r="C3" i="2"/>
  <c r="H15" i="2" l="1"/>
  <c r="H35" i="2" s="1"/>
  <c r="I14" i="1"/>
</calcChain>
</file>

<file path=xl/sharedStrings.xml><?xml version="1.0" encoding="utf-8"?>
<sst xmlns="http://schemas.openxmlformats.org/spreadsheetml/2006/main" count="294" uniqueCount="179">
  <si>
    <t>COSTOS Y GASTOS</t>
  </si>
  <si>
    <t>TRANSPORTE</t>
  </si>
  <si>
    <t>SEGURO</t>
  </si>
  <si>
    <t>ALOJAMIENTO DESAYUNO RIOHACHA (D)</t>
  </si>
  <si>
    <t>ALOJAMIENTO DESAYUNO RIOHACHA ©</t>
  </si>
  <si>
    <t>AL0JAMIENTO DESAYUNO CENA SANTA MARTA</t>
  </si>
  <si>
    <t>PLAN TAGANGA (BUSETA+LANCHA+CARETEO+MANILLA)</t>
  </si>
  <si>
    <t>PLAN PLAYA BLANCA (LANCHA+ALMUERZO+MANILLA)</t>
  </si>
  <si>
    <t>CENA RIOHACHA</t>
  </si>
  <si>
    <t>GUÍA TURÍSTICO</t>
  </si>
  <si>
    <t>GASTO DE REPRESENTACIÓN</t>
  </si>
  <si>
    <t>EVENTO DE GRUPO (MUSICOS, SILLAS, LICOR)</t>
  </si>
  <si>
    <t>TOTAL</t>
  </si>
  <si>
    <t>INGRESOS</t>
  </si>
  <si>
    <t>UTILIDAD</t>
  </si>
  <si>
    <t>COSTA CARIBE ENERO 2024</t>
  </si>
  <si>
    <t>COMISIONISTAS</t>
  </si>
  <si>
    <t>COMISONADOS</t>
  </si>
  <si>
    <t>VALOR</t>
  </si>
  <si>
    <t>MAFE</t>
  </si>
  <si>
    <t xml:space="preserve">COSTOS Y GASTOS </t>
  </si>
  <si>
    <t>SEGURO DE VIAJE</t>
  </si>
  <si>
    <t>INGRESO AL PARQUE+ALMUERZO</t>
  </si>
  <si>
    <t>INGRESO</t>
  </si>
  <si>
    <t>PAX</t>
  </si>
  <si>
    <t>PAGAR</t>
  </si>
  <si>
    <t>BAILARINAS</t>
  </si>
  <si>
    <t xml:space="preserve">GASTOS Y COSTOS </t>
  </si>
  <si>
    <t>Transporte</t>
  </si>
  <si>
    <t>ingreso + almuerzo</t>
  </si>
  <si>
    <t>seguro</t>
  </si>
  <si>
    <t>refrigerio</t>
  </si>
  <si>
    <t>total</t>
  </si>
  <si>
    <t>ingresos</t>
  </si>
  <si>
    <t>utilidad</t>
  </si>
  <si>
    <t xml:space="preserve"> PAX </t>
  </si>
  <si>
    <t>PLAYA JUNCAL</t>
  </si>
  <si>
    <t xml:space="preserve">Costo y Gastos </t>
  </si>
  <si>
    <t>Seguro</t>
  </si>
  <si>
    <t>Ingreso al parque</t>
  </si>
  <si>
    <t>Almuerzo</t>
  </si>
  <si>
    <t>Total</t>
  </si>
  <si>
    <t>Ingresos</t>
  </si>
  <si>
    <t>Utilidad</t>
  </si>
  <si>
    <t>COMISIONISTA</t>
  </si>
  <si>
    <t>PARQUE DEL CAFÉ FEBRERO</t>
  </si>
  <si>
    <t xml:space="preserve">Gastos y costos </t>
  </si>
  <si>
    <t>ALOJAMIENTO 1 + DESAYUNO + CENA</t>
  </si>
  <si>
    <t>ALOJAMIENTO 2 + DESAYUNO</t>
  </si>
  <si>
    <t>PASEO EN LAGO DE LA COCHA</t>
  </si>
  <si>
    <t>ALMUERZO EN EL LAGO</t>
  </si>
  <si>
    <t>EXCEDENTE ALMUERZO EN EL LAGO</t>
  </si>
  <si>
    <t>INGRESO A TERMALES</t>
  </si>
  <si>
    <t>GUÍA TURÍSTICO PASTO</t>
  </si>
  <si>
    <t>GUÍA TURÍSTICO POPAYAN</t>
  </si>
  <si>
    <t>almuerzo en tulcan 96800</t>
  </si>
  <si>
    <t>GASTOS DE REPRESENTACIÓN (Propina, licor)</t>
  </si>
  <si>
    <t>Almuerzo 43000</t>
  </si>
  <si>
    <t>ALMUERZOS EMPRESA</t>
  </si>
  <si>
    <t>CENA EN LAJAS</t>
  </si>
  <si>
    <t>INMIGRACIÓN</t>
  </si>
  <si>
    <t>EXCEDENTE PASTO FRUTA</t>
  </si>
  <si>
    <t>ALMUERZO PARADOR NICO</t>
  </si>
  <si>
    <t xml:space="preserve">SANTURIO DE LAS LAJAS </t>
  </si>
  <si>
    <t>mafe</t>
  </si>
  <si>
    <t>ALMUERZO</t>
  </si>
  <si>
    <t>GASTOS DE REPRESENTACIÓN</t>
  </si>
  <si>
    <t xml:space="preserve">desayuno del sr. Gabriel, wisky </t>
  </si>
  <si>
    <t xml:space="preserve">ingresos </t>
  </si>
  <si>
    <t>SANTA ROSA DE CABAL MARZO</t>
  </si>
  <si>
    <t>GASTOS DE REPRESENCIÓN (BEBIDAS, SUVENIR)</t>
  </si>
  <si>
    <t>COMISIONES</t>
  </si>
  <si>
    <t>SANTA ROSA DE CABAL MAYO</t>
  </si>
  <si>
    <t>costos y gastos</t>
  </si>
  <si>
    <t>transporte</t>
  </si>
  <si>
    <t>ingreso</t>
  </si>
  <si>
    <t>comisionista</t>
  </si>
  <si>
    <t>pax</t>
  </si>
  <si>
    <t xml:space="preserve"> comisión </t>
  </si>
  <si>
    <t>BUGA</t>
  </si>
  <si>
    <t>CANTIDAD</t>
  </si>
  <si>
    <t xml:space="preserve"> TOTAL </t>
  </si>
  <si>
    <t>INGRESO A MANO GIGANTE + TRANSPORTE + ALMUERZO</t>
  </si>
  <si>
    <t>INGRESO A TERMALES DE RIVERA</t>
  </si>
  <si>
    <t xml:space="preserve">SEGURO </t>
  </si>
  <si>
    <t>GASTOS DE REPRESENTACIÓN (DESAYUNOS)</t>
  </si>
  <si>
    <t>MANO GIGANTE</t>
  </si>
  <si>
    <t>PASEO EN LANCHA + ALMUERZO</t>
  </si>
  <si>
    <t>EVENTO MUSICAL + TRANSPORTE</t>
  </si>
  <si>
    <t>REGALOS</t>
  </si>
  <si>
    <t>LOGISTICA</t>
  </si>
  <si>
    <t>BEBIDAS</t>
  </si>
  <si>
    <t>PRADO</t>
  </si>
  <si>
    <t>Tiquetes</t>
  </si>
  <si>
    <t>Hospedaje + alimentación</t>
  </si>
  <si>
    <t>Gatos de representación (transporte, tarjeta de Ingreso a la isla, almuerzos, ingresos a atractivos, taxi y bebidas)</t>
  </si>
  <si>
    <t>Traslado a playas de rocky cay</t>
  </si>
  <si>
    <t>Transfer y tours</t>
  </si>
  <si>
    <t>SAN ANDRES</t>
  </si>
  <si>
    <t>TRANSPORTE (BUS Y BUSETA)</t>
  </si>
  <si>
    <t>INGRESO+ALMUERZO</t>
  </si>
  <si>
    <t>INGRESOS EXTRAS</t>
  </si>
  <si>
    <t xml:space="preserve">INGRESOS </t>
  </si>
  <si>
    <t>PLAYA HAWAI</t>
  </si>
  <si>
    <t>COSTOS Y GASTOS BARRANQUILLA</t>
  </si>
  <si>
    <t>ALOJAMIENTO</t>
  </si>
  <si>
    <t>DESAYUNOS</t>
  </si>
  <si>
    <t>CENAS</t>
  </si>
  <si>
    <t>PUNTA ARENA LANCHA  + ALMUERZO</t>
  </si>
  <si>
    <t>CHIVA</t>
  </si>
  <si>
    <t>GASOS DE REPRESENTACIÓN 1</t>
  </si>
  <si>
    <t>GASOS DE REPRESENTACIÓN 2</t>
  </si>
  <si>
    <t>COMISIÓN</t>
  </si>
  <si>
    <t>MANO DEL ARTESANO</t>
  </si>
  <si>
    <t>GASTOS DE REPRE.</t>
  </si>
  <si>
    <t>CHIQUINQUIRÁ</t>
  </si>
  <si>
    <t>INGRESO PARQUE</t>
  </si>
  <si>
    <t>ALMUERZOS</t>
  </si>
  <si>
    <t>PARQUE DEL CAFÉ AGOSTO</t>
  </si>
  <si>
    <t>UTILIDAD DE LOS VIAJES</t>
  </si>
  <si>
    <t>COSTA ENERO</t>
  </si>
  <si>
    <t>PARQUE DEL CAFÉ 1</t>
  </si>
  <si>
    <t>PARQUE DEL CAFÉ 2</t>
  </si>
  <si>
    <t>SANTUARIO DE LAS LAJAS</t>
  </si>
  <si>
    <t>SANTA ROSA DE CABAL 1</t>
  </si>
  <si>
    <t>SANTA ROSA DE CABAL 2</t>
  </si>
  <si>
    <t>BARRANQUILLA</t>
  </si>
  <si>
    <t>COMISIONES MAFE</t>
  </si>
  <si>
    <t>LAS COMISIONES ESTÁN POR FUERA DE LA UTILIDAD</t>
  </si>
  <si>
    <t>LIQUIDACIÓN DANIELA</t>
  </si>
  <si>
    <t>PAGO</t>
  </si>
  <si>
    <t>27 JUNIO AL 6 DE AGOSTO</t>
  </si>
  <si>
    <t>24 MARZO AL 17 ABRIL</t>
  </si>
  <si>
    <t>09 MAYO AL 21 JUNIO</t>
  </si>
  <si>
    <t>29 FEB AL 18 MARZO</t>
  </si>
  <si>
    <t>3 ENERO AL 24 ENERO</t>
  </si>
  <si>
    <t>02 FEB AL 27 FEB</t>
  </si>
  <si>
    <t>FECHAS 2024</t>
  </si>
  <si>
    <t>GASTOS A LÍQUIDAR</t>
  </si>
  <si>
    <t>CAMARA Y COMERCIO</t>
  </si>
  <si>
    <t xml:space="preserve">RNT </t>
  </si>
  <si>
    <t>FONTUR</t>
  </si>
  <si>
    <t>PENDON</t>
  </si>
  <si>
    <t>BUSOS Y GORRAS</t>
  </si>
  <si>
    <t>ARRIENDO</t>
  </si>
  <si>
    <t>ENERO</t>
  </si>
  <si>
    <t>OBSERVACIONES</t>
  </si>
  <si>
    <t xml:space="preserve">SEGURIDAD SOCIAL GABRIEL </t>
  </si>
  <si>
    <t>FERIA IBAGUE</t>
  </si>
  <si>
    <t>PEAJES</t>
  </si>
  <si>
    <t>COMBUSTIBLE</t>
  </si>
  <si>
    <t>ANATO</t>
  </si>
  <si>
    <t>PASAJE + REFRIGERIO</t>
  </si>
  <si>
    <t>ALMUERO</t>
  </si>
  <si>
    <t>OTROS GASTOS</t>
  </si>
  <si>
    <t>FERIA TOCAIMA</t>
  </si>
  <si>
    <t>PUBLICIDAD</t>
  </si>
  <si>
    <t>GUIA TURISTICA</t>
  </si>
  <si>
    <t xml:space="preserve">FERIAS Y FIESTAS </t>
  </si>
  <si>
    <t>STAND DE FERIAS APULO</t>
  </si>
  <si>
    <t>PIEDRA PEÑOL</t>
  </si>
  <si>
    <t>BUGA OCT</t>
  </si>
  <si>
    <t>AVANZADA PRADO</t>
  </si>
  <si>
    <t>VOLANTES</t>
  </si>
  <si>
    <t>MANILLAS</t>
  </si>
  <si>
    <t>FEB-SEPT ($300.000)</t>
  </si>
  <si>
    <t xml:space="preserve">VIATICOS </t>
  </si>
  <si>
    <t>MAYO A OCTUBRE</t>
  </si>
  <si>
    <t>UTULIDAD NETA</t>
  </si>
  <si>
    <t>ABONOS A GABRIEL</t>
  </si>
  <si>
    <t xml:space="preserve">VIAJES SIN PAGOS TOTALES </t>
  </si>
  <si>
    <t>PARQUE DEL ARROZ</t>
  </si>
  <si>
    <t>MATRICULA ISABELLA</t>
  </si>
  <si>
    <t>ABONO SALDO AÑO 2023</t>
  </si>
  <si>
    <t>% Utilidad grabriel</t>
  </si>
  <si>
    <t xml:space="preserve">28 AGOST AL 04 OCTUBRE </t>
  </si>
  <si>
    <t>PARQUE DEL CAFÉ OCT.</t>
  </si>
  <si>
    <t>PUNTA CANA</t>
  </si>
  <si>
    <t>ALUMBRADO NAVIDEÑO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</si>
</sst>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8" fontId="0" fillId="0" borderId="1" xfId="1" applyNumberFormat="1" applyFont="1" applyBorder="1"/>
    <xf numFmtId="8" fontId="0" fillId="0" borderId="2" xfId="1" applyNumberFormat="1" applyFont="1" applyBorder="1"/>
    <xf numFmtId="8" fontId="0" fillId="0" borderId="3" xfId="1" applyNumberFormat="1" applyFont="1" applyBorder="1"/>
    <xf numFmtId="8" fontId="0" fillId="3" borderId="4" xfId="1" applyNumberFormat="1" applyFont="1" applyFill="1" applyBorder="1"/>
    <xf numFmtId="8" fontId="0" fillId="4" borderId="4" xfId="1" applyNumberFormat="1" applyFont="1" applyFill="1" applyBorder="1"/>
    <xf numFmtId="8" fontId="0" fillId="5" borderId="5" xfId="1" applyNumberFormat="1" applyFont="1" applyFill="1" applyBorder="1"/>
    <xf numFmtId="0" fontId="0" fillId="2" borderId="6" xfId="0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44" fontId="0" fillId="0" borderId="5" xfId="1" applyFont="1" applyBorder="1" applyAlignment="1">
      <alignment horizontal="center"/>
    </xf>
    <xf numFmtId="8" fontId="0" fillId="0" borderId="2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6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44" fontId="0" fillId="0" borderId="3" xfId="1" applyFont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8" fontId="0" fillId="0" borderId="1" xfId="0" applyNumberFormat="1" applyBorder="1"/>
    <xf numFmtId="8" fontId="0" fillId="4" borderId="1" xfId="0" applyNumberFormat="1" applyFill="1" applyBorder="1"/>
    <xf numFmtId="8" fontId="0" fillId="7" borderId="1" xfId="0" applyNumberFormat="1" applyFill="1" applyBorder="1"/>
    <xf numFmtId="8" fontId="0" fillId="8" borderId="1" xfId="0" applyNumberFormat="1" applyFill="1" applyBorder="1"/>
    <xf numFmtId="8" fontId="0" fillId="7" borderId="4" xfId="1" applyNumberFormat="1" applyFont="1" applyFill="1" applyBorder="1" applyAlignment="1">
      <alignment horizontal="center"/>
    </xf>
    <xf numFmtId="8" fontId="0" fillId="8" borderId="5" xfId="1" applyNumberFormat="1" applyFont="1" applyFill="1" applyBorder="1" applyAlignment="1">
      <alignment horizontal="center"/>
    </xf>
    <xf numFmtId="8" fontId="0" fillId="7" borderId="5" xfId="0" applyNumberFormat="1" applyFill="1" applyBorder="1"/>
    <xf numFmtId="8" fontId="0" fillId="0" borderId="3" xfId="0" applyNumberFormat="1" applyBorder="1"/>
    <xf numFmtId="42" fontId="0" fillId="0" borderId="1" xfId="2" applyFont="1" applyBorder="1"/>
    <xf numFmtId="6" fontId="0" fillId="0" borderId="1" xfId="0" applyNumberFormat="1" applyBorder="1"/>
    <xf numFmtId="6" fontId="0" fillId="0" borderId="1" xfId="2" applyNumberFormat="1" applyFont="1" applyBorder="1"/>
    <xf numFmtId="6" fontId="0" fillId="0" borderId="3" xfId="2" applyNumberFormat="1" applyFont="1" applyBorder="1"/>
    <xf numFmtId="0" fontId="0" fillId="4" borderId="1" xfId="0" applyFill="1" applyBorder="1"/>
    <xf numFmtId="0" fontId="0" fillId="8" borderId="1" xfId="0" applyFill="1" applyBorder="1"/>
    <xf numFmtId="0" fontId="0" fillId="7" borderId="5" xfId="0" applyFill="1" applyBorder="1"/>
    <xf numFmtId="6" fontId="0" fillId="0" borderId="5" xfId="2" applyNumberFormat="1" applyFont="1" applyBorder="1"/>
    <xf numFmtId="0" fontId="0" fillId="0" borderId="11" xfId="0" applyBorder="1" applyAlignment="1">
      <alignment vertical="center"/>
    </xf>
    <xf numFmtId="0" fontId="0" fillId="0" borderId="1" xfId="0" applyBorder="1" applyAlignment="1">
      <alignment vertical="center" wrapText="1"/>
    </xf>
    <xf numFmtId="8" fontId="0" fillId="0" borderId="1" xfId="1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8" fontId="1" fillId="4" borderId="4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/>
    </xf>
    <xf numFmtId="8" fontId="0" fillId="7" borderId="1" xfId="0" applyNumberFormat="1" applyFill="1" applyBorder="1" applyAlignment="1">
      <alignment vertical="center"/>
    </xf>
    <xf numFmtId="8" fontId="0" fillId="4" borderId="1" xfId="0" applyNumberFormat="1" applyFill="1" applyBorder="1" applyAlignment="1">
      <alignment vertical="center"/>
    </xf>
    <xf numFmtId="6" fontId="0" fillId="0" borderId="3" xfId="0" applyNumberFormat="1" applyBorder="1"/>
    <xf numFmtId="6" fontId="0" fillId="12" borderId="5" xfId="0" applyNumberFormat="1" applyFill="1" applyBorder="1"/>
    <xf numFmtId="6" fontId="0" fillId="4" borderId="1" xfId="0" applyNumberFormat="1" applyFill="1" applyBorder="1"/>
    <xf numFmtId="6" fontId="0" fillId="8" borderId="1" xfId="0" applyNumberFormat="1" applyFill="1" applyBorder="1"/>
    <xf numFmtId="8" fontId="0" fillId="0" borderId="0" xfId="0" applyNumberFormat="1"/>
    <xf numFmtId="8" fontId="0" fillId="0" borderId="12" xfId="0" applyNumberFormat="1" applyBorder="1"/>
    <xf numFmtId="6" fontId="0" fillId="7" borderId="5" xfId="0" applyNumberFormat="1" applyFill="1" applyBorder="1"/>
    <xf numFmtId="6" fontId="0" fillId="0" borderId="1" xfId="0" applyNumberFormat="1" applyBorder="1" applyAlignment="1">
      <alignment vertical="center"/>
    </xf>
    <xf numFmtId="42" fontId="0" fillId="4" borderId="1" xfId="2" applyFont="1" applyFill="1" applyBorder="1"/>
    <xf numFmtId="6" fontId="0" fillId="7" borderId="5" xfId="2" applyNumberFormat="1" applyFont="1" applyFill="1" applyBorder="1"/>
    <xf numFmtId="6" fontId="0" fillId="4" borderId="1" xfId="2" applyNumberFormat="1" applyFont="1" applyFill="1" applyBorder="1"/>
    <xf numFmtId="6" fontId="0" fillId="8" borderId="1" xfId="2" applyNumberFormat="1" applyFont="1" applyFill="1" applyBorder="1"/>
    <xf numFmtId="0" fontId="0" fillId="6" borderId="24" xfId="0" applyFill="1" applyBorder="1"/>
    <xf numFmtId="0" fontId="0" fillId="0" borderId="13" xfId="0" applyBorder="1"/>
    <xf numFmtId="8" fontId="0" fillId="0" borderId="25" xfId="0" applyNumberFormat="1" applyBorder="1"/>
    <xf numFmtId="0" fontId="0" fillId="0" borderId="25" xfId="0" applyBorder="1"/>
    <xf numFmtId="6" fontId="0" fillId="0" borderId="25" xfId="0" applyNumberFormat="1" applyBorder="1"/>
    <xf numFmtId="0" fontId="0" fillId="0" borderId="26" xfId="0" applyBorder="1"/>
    <xf numFmtId="8" fontId="0" fillId="8" borderId="3" xfId="0" applyNumberFormat="1" applyFill="1" applyBorder="1"/>
    <xf numFmtId="8" fontId="0" fillId="6" borderId="27" xfId="0" applyNumberFormat="1" applyFill="1" applyBorder="1"/>
    <xf numFmtId="42" fontId="0" fillId="0" borderId="0" xfId="2" applyFont="1"/>
    <xf numFmtId="0" fontId="0" fillId="15" borderId="1" xfId="0" applyFill="1" applyBorder="1"/>
    <xf numFmtId="42" fontId="0" fillId="7" borderId="1" xfId="2" applyFont="1" applyFill="1" applyBorder="1"/>
    <xf numFmtId="42" fontId="0" fillId="0" borderId="25" xfId="2" applyFont="1" applyBorder="1"/>
    <xf numFmtId="42" fontId="0" fillId="0" borderId="1" xfId="2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/>
    <xf numFmtId="42" fontId="0" fillId="0" borderId="1" xfId="2" applyFont="1" applyBorder="1" applyAlignment="1">
      <alignment horizontal="left" vertical="center"/>
    </xf>
    <xf numFmtId="0" fontId="0" fillId="6" borderId="1" xfId="0" applyFill="1" applyBorder="1"/>
    <xf numFmtId="0" fontId="0" fillId="0" borderId="28" xfId="0" applyBorder="1"/>
    <xf numFmtId="6" fontId="0" fillId="0" borderId="2" xfId="0" applyNumberFormat="1" applyBorder="1"/>
    <xf numFmtId="0" fontId="0" fillId="0" borderId="29" xfId="0" applyBorder="1"/>
    <xf numFmtId="42" fontId="0" fillId="0" borderId="1" xfId="0" applyNumberFormat="1" applyBorder="1"/>
    <xf numFmtId="42" fontId="0" fillId="8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6" fontId="0" fillId="0" borderId="1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6" fontId="0" fillId="0" borderId="1" xfId="0" applyNumberFormat="1" applyBorder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left" wrapText="1"/>
    </xf>
    <xf numFmtId="6" fontId="0" fillId="0" borderId="3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6" fontId="0" fillId="0" borderId="2" xfId="2" applyNumberFormat="1" applyFont="1" applyBorder="1" applyAlignment="1">
      <alignment horizontal="center" vertical="center"/>
    </xf>
    <xf numFmtId="6" fontId="0" fillId="0" borderId="20" xfId="2" applyNumberFormat="1" applyFont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8" borderId="22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2" fillId="4" borderId="8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0" fillId="0" borderId="30" xfId="0" applyFill="1" applyBorder="1"/>
  </cellXfs>
  <cellStyles count="3">
    <cellStyle name="Moneda" xfId="1" builtinId="4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8382E-E5FC-407F-947D-8F15F4A61D95}">
  <dimension ref="A1:AC54"/>
  <sheetViews>
    <sheetView topLeftCell="R1" workbookViewId="0">
      <selection activeCell="AE8" sqref="AE8"/>
    </sheetView>
  </sheetViews>
  <sheetFormatPr baseColWidth="10" defaultRowHeight="15" x14ac:dyDescent="0.25"/>
  <cols>
    <col min="1" max="1" width="15.140625" bestFit="1" customWidth="1"/>
    <col min="2" max="2" width="39.7109375" customWidth="1"/>
    <col min="3" max="3" width="15.5703125" bestFit="1" customWidth="1"/>
    <col min="7" max="7" width="30.28515625" bestFit="1" customWidth="1"/>
    <col min="8" max="8" width="14.5703125" bestFit="1" customWidth="1"/>
    <col min="9" max="9" width="12" bestFit="1" customWidth="1"/>
    <col min="12" max="12" width="26.140625" customWidth="1"/>
    <col min="13" max="13" width="13.140625" bestFit="1" customWidth="1"/>
    <col min="17" max="17" width="25.42578125" customWidth="1"/>
    <col min="18" max="18" width="13.140625" bestFit="1" customWidth="1"/>
    <col min="22" max="22" width="27.42578125" customWidth="1"/>
    <col min="27" max="27" width="20.5703125" bestFit="1" customWidth="1"/>
    <col min="28" max="28" width="12" bestFit="1" customWidth="1"/>
  </cols>
  <sheetData>
    <row r="1" spans="1:29" ht="15.75" thickBot="1" x14ac:dyDescent="0.3">
      <c r="A1" s="24"/>
      <c r="B1" s="25"/>
      <c r="C1" s="25"/>
      <c r="D1" s="25"/>
      <c r="E1" s="25"/>
      <c r="F1" s="24"/>
      <c r="G1" s="25"/>
      <c r="H1" s="25"/>
      <c r="I1" s="25"/>
      <c r="J1" s="26"/>
      <c r="K1" s="24"/>
      <c r="L1" s="25"/>
      <c r="M1" s="25"/>
      <c r="N1" s="25"/>
      <c r="O1" s="26"/>
      <c r="P1" s="24"/>
      <c r="Q1" s="25"/>
      <c r="R1" s="25"/>
      <c r="S1" s="25"/>
      <c r="T1" s="26"/>
      <c r="U1" s="24"/>
      <c r="V1" s="25"/>
      <c r="W1" s="25"/>
      <c r="X1" s="25"/>
      <c r="Y1" s="26"/>
      <c r="Z1" s="24"/>
      <c r="AA1" s="25"/>
      <c r="AB1" s="25"/>
      <c r="AC1" s="26"/>
    </row>
    <row r="2" spans="1:29" ht="15.75" thickBot="1" x14ac:dyDescent="0.3">
      <c r="A2" s="27"/>
      <c r="B2" s="97" t="s">
        <v>15</v>
      </c>
      <c r="C2" s="97"/>
      <c r="F2" s="27"/>
      <c r="G2" s="125" t="s">
        <v>26</v>
      </c>
      <c r="H2" s="126"/>
      <c r="J2" s="28"/>
      <c r="K2" s="27"/>
      <c r="L2" s="128" t="s">
        <v>36</v>
      </c>
      <c r="M2" s="128"/>
      <c r="O2" s="28"/>
      <c r="P2" s="27"/>
      <c r="Q2" s="106" t="s">
        <v>79</v>
      </c>
      <c r="R2" s="107"/>
      <c r="T2" s="28"/>
      <c r="U2" s="27"/>
      <c r="V2" s="97" t="s">
        <v>98</v>
      </c>
      <c r="W2" s="97"/>
      <c r="Y2" s="28"/>
      <c r="Z2" s="27"/>
      <c r="AA2" s="97" t="s">
        <v>115</v>
      </c>
      <c r="AB2" s="97"/>
      <c r="AC2" s="28"/>
    </row>
    <row r="3" spans="1:29" x14ac:dyDescent="0.25">
      <c r="A3" s="27"/>
      <c r="B3" s="18" t="s">
        <v>0</v>
      </c>
      <c r="C3" s="18"/>
      <c r="F3" s="27"/>
      <c r="G3" s="127" t="s">
        <v>20</v>
      </c>
      <c r="H3" s="127"/>
      <c r="J3" s="28"/>
      <c r="K3" s="27"/>
      <c r="L3" s="102" t="s">
        <v>27</v>
      </c>
      <c r="M3" s="102"/>
      <c r="O3" s="28"/>
      <c r="P3" s="27"/>
      <c r="Q3" s="108" t="s">
        <v>73</v>
      </c>
      <c r="R3" s="108"/>
      <c r="T3" s="28"/>
      <c r="U3" s="27"/>
      <c r="V3" s="105" t="s">
        <v>20</v>
      </c>
      <c r="W3" s="105"/>
      <c r="Y3" s="28"/>
      <c r="Z3" s="27"/>
      <c r="AA3" s="23" t="s">
        <v>20</v>
      </c>
      <c r="AB3" s="23"/>
      <c r="AC3" s="28"/>
    </row>
    <row r="4" spans="1:29" x14ac:dyDescent="0.25">
      <c r="A4" s="27"/>
      <c r="B4" s="1" t="s">
        <v>1</v>
      </c>
      <c r="C4" s="12">
        <v>19600000</v>
      </c>
      <c r="F4" s="27"/>
      <c r="G4" s="1" t="s">
        <v>1</v>
      </c>
      <c r="H4" s="11">
        <v>1900000</v>
      </c>
      <c r="J4" s="28"/>
      <c r="K4" s="27"/>
      <c r="L4" s="1" t="s">
        <v>28</v>
      </c>
      <c r="M4" s="37">
        <v>1600000</v>
      </c>
      <c r="O4" s="28"/>
      <c r="P4" s="27"/>
      <c r="Q4" s="1" t="s">
        <v>74</v>
      </c>
      <c r="R4" s="37">
        <v>4400000</v>
      </c>
      <c r="T4" s="28"/>
      <c r="U4" s="27"/>
      <c r="V4" s="1" t="s">
        <v>93</v>
      </c>
      <c r="W4" s="46">
        <v>18170700</v>
      </c>
      <c r="Y4" s="28"/>
      <c r="Z4" s="27"/>
      <c r="AA4" s="1" t="s">
        <v>1</v>
      </c>
      <c r="AB4" s="47">
        <v>2700000</v>
      </c>
      <c r="AC4" s="28"/>
    </row>
    <row r="5" spans="1:29" x14ac:dyDescent="0.25">
      <c r="A5" s="27"/>
      <c r="B5" s="1" t="s">
        <v>2</v>
      </c>
      <c r="C5" s="12">
        <v>476000</v>
      </c>
      <c r="F5" s="27"/>
      <c r="G5" s="1" t="s">
        <v>21</v>
      </c>
      <c r="H5" s="11">
        <v>72000</v>
      </c>
      <c r="J5" s="28"/>
      <c r="K5" s="27"/>
      <c r="L5" s="1" t="s">
        <v>29</v>
      </c>
      <c r="M5" s="37">
        <v>778000</v>
      </c>
      <c r="O5" s="28"/>
      <c r="P5" s="27"/>
      <c r="Q5" s="1" t="s">
        <v>29</v>
      </c>
      <c r="R5" s="37">
        <v>2680000</v>
      </c>
      <c r="T5" s="28"/>
      <c r="U5" s="27"/>
      <c r="V5" s="1" t="s">
        <v>94</v>
      </c>
      <c r="W5" s="46">
        <v>23301000</v>
      </c>
      <c r="Y5" s="28"/>
      <c r="Z5" s="27"/>
      <c r="AA5" s="1" t="s">
        <v>2</v>
      </c>
      <c r="AB5" s="47">
        <v>72000</v>
      </c>
      <c r="AC5" s="28"/>
    </row>
    <row r="6" spans="1:29" ht="15.75" thickBot="1" x14ac:dyDescent="0.3">
      <c r="A6" s="27"/>
      <c r="B6" s="1" t="s">
        <v>3</v>
      </c>
      <c r="C6" s="12">
        <v>2389000</v>
      </c>
      <c r="F6" s="27"/>
      <c r="G6" s="4" t="s">
        <v>22</v>
      </c>
      <c r="H6" s="34">
        <v>2782000</v>
      </c>
      <c r="J6" s="28"/>
      <c r="K6" s="27"/>
      <c r="L6" s="1" t="s">
        <v>30</v>
      </c>
      <c r="M6" s="37">
        <v>54000</v>
      </c>
      <c r="O6" s="28"/>
      <c r="P6" s="27"/>
      <c r="Q6" s="4" t="s">
        <v>30</v>
      </c>
      <c r="R6" s="44">
        <v>207000</v>
      </c>
      <c r="T6" s="28"/>
      <c r="U6" s="27"/>
      <c r="V6" s="103" t="s">
        <v>95</v>
      </c>
      <c r="W6" s="104">
        <v>807400</v>
      </c>
      <c r="Y6" s="28"/>
      <c r="Z6" s="27"/>
      <c r="AA6" s="1" t="s">
        <v>65</v>
      </c>
      <c r="AB6" s="47">
        <v>450000</v>
      </c>
      <c r="AC6" s="28"/>
    </row>
    <row r="7" spans="1:29" ht="15.75" thickBot="1" x14ac:dyDescent="0.3">
      <c r="A7" s="27"/>
      <c r="B7" s="1" t="s">
        <v>4</v>
      </c>
      <c r="C7" s="12">
        <v>1620000</v>
      </c>
      <c r="F7" s="27"/>
      <c r="G7" s="5" t="s">
        <v>12</v>
      </c>
      <c r="H7" s="41">
        <v>4754000</v>
      </c>
      <c r="J7" s="28"/>
      <c r="K7" s="27"/>
      <c r="L7" s="1" t="s">
        <v>31</v>
      </c>
      <c r="M7" s="37">
        <v>115000</v>
      </c>
      <c r="O7" s="28"/>
      <c r="P7" s="27"/>
      <c r="Q7" s="6" t="s">
        <v>32</v>
      </c>
      <c r="R7" s="43">
        <v>7287000</v>
      </c>
      <c r="T7" s="28"/>
      <c r="U7" s="27"/>
      <c r="V7" s="103"/>
      <c r="W7" s="104"/>
      <c r="Y7" s="28"/>
      <c r="Z7" s="27"/>
      <c r="AA7" s="1" t="s">
        <v>113</v>
      </c>
      <c r="AB7" s="47">
        <v>240000</v>
      </c>
      <c r="AC7" s="28"/>
    </row>
    <row r="8" spans="1:29" s="7" customFormat="1" ht="30.75" thickBot="1" x14ac:dyDescent="0.3">
      <c r="A8" s="53"/>
      <c r="B8" s="54" t="s">
        <v>5</v>
      </c>
      <c r="C8" s="55">
        <v>15150000</v>
      </c>
      <c r="F8" s="53"/>
      <c r="G8" s="56" t="s">
        <v>23</v>
      </c>
      <c r="H8" s="57">
        <v>5215000</v>
      </c>
      <c r="J8" s="58"/>
      <c r="K8" s="53"/>
      <c r="L8" s="59" t="s">
        <v>32</v>
      </c>
      <c r="M8" s="60">
        <v>2547000</v>
      </c>
      <c r="O8" s="58"/>
      <c r="P8" s="53"/>
      <c r="Q8" s="59" t="s">
        <v>75</v>
      </c>
      <c r="R8" s="61">
        <v>8370000</v>
      </c>
      <c r="T8" s="58"/>
      <c r="U8" s="53"/>
      <c r="V8" s="59" t="s">
        <v>96</v>
      </c>
      <c r="W8" s="69">
        <v>400000</v>
      </c>
      <c r="Y8" s="58"/>
      <c r="Z8" s="53"/>
      <c r="AA8" s="4" t="s">
        <v>114</v>
      </c>
      <c r="AB8" s="48">
        <v>50000</v>
      </c>
      <c r="AC8" s="58"/>
    </row>
    <row r="9" spans="1:29" ht="15" customHeight="1" x14ac:dyDescent="0.25">
      <c r="A9" s="27"/>
      <c r="B9" s="19" t="s">
        <v>6</v>
      </c>
      <c r="C9" s="22">
        <v>2990000</v>
      </c>
      <c r="F9" s="27"/>
      <c r="G9" s="6" t="s">
        <v>14</v>
      </c>
      <c r="H9" s="42">
        <v>461000</v>
      </c>
      <c r="J9" s="28"/>
      <c r="K9" s="27"/>
      <c r="L9" s="1" t="s">
        <v>33</v>
      </c>
      <c r="M9" s="38">
        <v>2905000</v>
      </c>
      <c r="O9" s="28"/>
      <c r="P9" s="27"/>
      <c r="Q9" s="1" t="s">
        <v>34</v>
      </c>
      <c r="R9" s="40">
        <v>1083000</v>
      </c>
      <c r="T9" s="28"/>
      <c r="U9" s="27"/>
      <c r="V9" s="1" t="s">
        <v>97</v>
      </c>
      <c r="W9" s="46">
        <v>3492000</v>
      </c>
      <c r="Y9" s="28"/>
      <c r="Z9" s="27"/>
      <c r="AA9" s="6" t="s">
        <v>12</v>
      </c>
      <c r="AB9" s="71">
        <v>3512000</v>
      </c>
      <c r="AC9" s="28"/>
    </row>
    <row r="10" spans="1:29" ht="15.75" thickBot="1" x14ac:dyDescent="0.3">
      <c r="A10" s="27"/>
      <c r="B10" s="20"/>
      <c r="C10" s="21"/>
      <c r="F10" s="27"/>
      <c r="H10" s="36"/>
      <c r="J10" s="28"/>
      <c r="K10" s="27"/>
      <c r="L10" s="1" t="s">
        <v>34</v>
      </c>
      <c r="M10" s="40">
        <v>358000</v>
      </c>
      <c r="O10" s="28"/>
      <c r="P10" s="27"/>
      <c r="T10" s="28"/>
      <c r="U10" s="27"/>
      <c r="V10" s="4" t="s">
        <v>38</v>
      </c>
      <c r="W10" s="62">
        <v>444000</v>
      </c>
      <c r="Y10" s="28"/>
      <c r="Z10" s="27"/>
      <c r="AA10" s="1" t="s">
        <v>13</v>
      </c>
      <c r="AB10" s="72">
        <v>3680000</v>
      </c>
      <c r="AC10" s="28"/>
    </row>
    <row r="11" spans="1:29" ht="15" customHeight="1" x14ac:dyDescent="0.25">
      <c r="A11" s="27"/>
      <c r="B11" s="19" t="s">
        <v>7</v>
      </c>
      <c r="C11" s="22">
        <v>4550000</v>
      </c>
      <c r="F11" s="27"/>
      <c r="H11" s="36"/>
      <c r="J11" s="28"/>
      <c r="K11" s="27"/>
      <c r="O11" s="28"/>
      <c r="P11" s="27"/>
      <c r="T11" s="28"/>
      <c r="U11" s="27"/>
      <c r="V11" s="6" t="s">
        <v>12</v>
      </c>
      <c r="W11" s="68">
        <v>46615100</v>
      </c>
      <c r="Y11" s="28"/>
      <c r="Z11" s="27"/>
      <c r="AA11" s="1" t="s">
        <v>14</v>
      </c>
      <c r="AB11" s="73">
        <v>168000</v>
      </c>
      <c r="AC11" s="28"/>
    </row>
    <row r="12" spans="1:29" x14ac:dyDescent="0.25">
      <c r="A12" s="27"/>
      <c r="B12" s="20"/>
      <c r="C12" s="21"/>
      <c r="F12" s="27"/>
      <c r="H12" s="36"/>
      <c r="J12" s="28"/>
      <c r="K12" s="27"/>
      <c r="O12" s="28"/>
      <c r="P12" s="27"/>
      <c r="Q12" s="1" t="s">
        <v>76</v>
      </c>
      <c r="R12" s="1" t="s">
        <v>77</v>
      </c>
      <c r="S12" s="1" t="s">
        <v>78</v>
      </c>
      <c r="T12" s="28"/>
      <c r="U12" s="27"/>
      <c r="V12" s="1" t="s">
        <v>13</v>
      </c>
      <c r="W12" s="64">
        <v>53550000</v>
      </c>
      <c r="Y12" s="28"/>
      <c r="Z12" s="27"/>
      <c r="AC12" s="28"/>
    </row>
    <row r="13" spans="1:29" x14ac:dyDescent="0.25">
      <c r="A13" s="27"/>
      <c r="B13" s="1" t="s">
        <v>8</v>
      </c>
      <c r="C13" s="12">
        <v>1300000</v>
      </c>
      <c r="F13" s="27"/>
      <c r="G13" s="23" t="s">
        <v>16</v>
      </c>
      <c r="H13" s="11" t="s">
        <v>24</v>
      </c>
      <c r="I13" s="23" t="s">
        <v>25</v>
      </c>
      <c r="J13" s="28"/>
      <c r="K13" s="27"/>
      <c r="L13" s="1" t="s">
        <v>16</v>
      </c>
      <c r="M13" s="1" t="s">
        <v>35</v>
      </c>
      <c r="N13" s="1" t="s">
        <v>18</v>
      </c>
      <c r="O13" s="28"/>
      <c r="P13" s="27"/>
      <c r="Q13" s="1" t="s">
        <v>19</v>
      </c>
      <c r="R13" s="1">
        <v>2</v>
      </c>
      <c r="S13" s="37">
        <v>30000</v>
      </c>
      <c r="T13" s="28"/>
      <c r="U13" s="27"/>
      <c r="V13" s="1" t="s">
        <v>14</v>
      </c>
      <c r="W13" s="65">
        <v>6934900</v>
      </c>
      <c r="Y13" s="28"/>
      <c r="Z13" s="27"/>
      <c r="AC13" s="28"/>
    </row>
    <row r="14" spans="1:29" x14ac:dyDescent="0.25">
      <c r="A14" s="27"/>
      <c r="B14" s="1" t="s">
        <v>9</v>
      </c>
      <c r="C14" s="12">
        <v>250000</v>
      </c>
      <c r="F14" s="27"/>
      <c r="G14" s="1" t="s">
        <v>19</v>
      </c>
      <c r="H14" s="35">
        <v>3</v>
      </c>
      <c r="I14" s="2">
        <f t="shared" ref="I14" si="0">H14*15000</f>
        <v>45000</v>
      </c>
      <c r="J14" s="28"/>
      <c r="K14" s="27"/>
      <c r="L14" s="1" t="s">
        <v>19</v>
      </c>
      <c r="M14" s="1">
        <v>18</v>
      </c>
      <c r="N14" s="37">
        <v>270000</v>
      </c>
      <c r="O14" s="28"/>
      <c r="P14" s="27"/>
      <c r="T14" s="28"/>
      <c r="U14" s="27"/>
      <c r="Y14" s="28"/>
      <c r="Z14" s="27"/>
      <c r="AC14" s="28"/>
    </row>
    <row r="15" spans="1:29" x14ac:dyDescent="0.25">
      <c r="A15" s="27"/>
      <c r="B15" s="3" t="s">
        <v>10</v>
      </c>
      <c r="C15" s="13">
        <v>300000</v>
      </c>
      <c r="F15" s="27"/>
      <c r="J15" s="28"/>
      <c r="K15" s="27"/>
      <c r="O15" s="28"/>
      <c r="P15" s="27"/>
      <c r="T15" s="28"/>
      <c r="U15" s="27"/>
      <c r="V15" s="97" t="s">
        <v>71</v>
      </c>
      <c r="W15" s="97"/>
      <c r="X15" s="97"/>
      <c r="Y15" s="28"/>
      <c r="Z15" s="27"/>
      <c r="AC15" s="28"/>
    </row>
    <row r="16" spans="1:29" ht="15.75" thickBot="1" x14ac:dyDescent="0.3">
      <c r="A16" s="27"/>
      <c r="B16" s="4" t="s">
        <v>11</v>
      </c>
      <c r="C16" s="14">
        <v>611000</v>
      </c>
      <c r="F16" s="27"/>
      <c r="J16" s="28"/>
      <c r="K16" s="27"/>
      <c r="O16" s="28"/>
      <c r="P16" s="27"/>
      <c r="T16" s="28"/>
      <c r="U16" s="27"/>
      <c r="V16" s="1" t="s">
        <v>19</v>
      </c>
      <c r="W16" s="1">
        <v>4</v>
      </c>
      <c r="X16" s="46">
        <v>200000</v>
      </c>
      <c r="Y16" s="28"/>
      <c r="Z16" s="27"/>
      <c r="AC16" s="28"/>
    </row>
    <row r="17" spans="1:29" ht="15.75" thickBot="1" x14ac:dyDescent="0.3">
      <c r="A17" s="27"/>
      <c r="B17" s="5" t="s">
        <v>12</v>
      </c>
      <c r="C17" s="15">
        <v>48625000</v>
      </c>
      <c r="F17" s="31"/>
      <c r="G17" s="32"/>
      <c r="H17" s="32"/>
      <c r="I17" s="32"/>
      <c r="J17" s="33"/>
      <c r="K17" s="31"/>
      <c r="L17" s="32"/>
      <c r="M17" s="32"/>
      <c r="N17" s="32"/>
      <c r="O17" s="33"/>
      <c r="P17" s="31"/>
      <c r="Q17" s="32"/>
      <c r="R17" s="32"/>
      <c r="S17" s="32"/>
      <c r="T17" s="33"/>
      <c r="U17" s="31"/>
      <c r="V17" s="32"/>
      <c r="W17" s="32"/>
      <c r="X17" s="32"/>
      <c r="Y17" s="33"/>
      <c r="Z17" s="31"/>
      <c r="AA17" s="32"/>
      <c r="AB17" s="32"/>
      <c r="AC17" s="33"/>
    </row>
    <row r="18" spans="1:29" ht="15.75" thickBot="1" x14ac:dyDescent="0.3">
      <c r="A18" s="27"/>
      <c r="B18" s="5" t="s">
        <v>13</v>
      </c>
      <c r="C18" s="16">
        <v>51850000</v>
      </c>
      <c r="F18" s="24"/>
      <c r="G18" s="25"/>
      <c r="H18" s="25"/>
      <c r="I18" s="25"/>
      <c r="J18" s="25"/>
      <c r="K18" s="25"/>
      <c r="L18" s="25"/>
      <c r="M18" s="25"/>
      <c r="N18" s="25"/>
      <c r="O18" s="26"/>
      <c r="P18" s="24"/>
      <c r="Q18" s="25"/>
      <c r="R18" s="25"/>
      <c r="S18" s="25"/>
      <c r="T18" s="26"/>
      <c r="U18" s="24"/>
      <c r="V18" s="25"/>
      <c r="W18" s="25"/>
      <c r="X18" s="25"/>
      <c r="Y18" s="26"/>
    </row>
    <row r="19" spans="1:29" x14ac:dyDescent="0.25">
      <c r="A19" s="27"/>
      <c r="B19" s="6" t="s">
        <v>14</v>
      </c>
      <c r="C19" s="17">
        <v>3225000</v>
      </c>
      <c r="F19" s="27"/>
      <c r="G19" s="97" t="s">
        <v>45</v>
      </c>
      <c r="H19" s="97"/>
      <c r="L19" s="98" t="s">
        <v>118</v>
      </c>
      <c r="M19" s="99"/>
      <c r="O19" s="28"/>
      <c r="P19" s="27"/>
      <c r="Q19" s="98" t="s">
        <v>86</v>
      </c>
      <c r="R19" s="99"/>
      <c r="T19" s="28"/>
      <c r="U19" s="27"/>
      <c r="V19" s="97" t="s">
        <v>103</v>
      </c>
      <c r="W19" s="97"/>
      <c r="Y19" s="28"/>
    </row>
    <row r="20" spans="1:29" x14ac:dyDescent="0.25">
      <c r="A20" s="27"/>
      <c r="F20" s="27"/>
      <c r="G20" s="123" t="s">
        <v>37</v>
      </c>
      <c r="H20" s="123"/>
      <c r="L20" s="100" t="s">
        <v>0</v>
      </c>
      <c r="M20" s="101"/>
      <c r="O20" s="28"/>
      <c r="P20" s="27"/>
      <c r="Q20" s="109" t="s">
        <v>20</v>
      </c>
      <c r="R20" s="109"/>
      <c r="T20" s="28"/>
      <c r="U20" s="27"/>
      <c r="V20" s="102" t="s">
        <v>20</v>
      </c>
      <c r="W20" s="102"/>
      <c r="Y20" s="28"/>
    </row>
    <row r="21" spans="1:29" x14ac:dyDescent="0.25">
      <c r="A21" s="29" t="s">
        <v>16</v>
      </c>
      <c r="B21" s="10" t="s">
        <v>17</v>
      </c>
      <c r="C21" s="10" t="s">
        <v>18</v>
      </c>
      <c r="D21" s="10" t="s">
        <v>12</v>
      </c>
      <c r="F21" s="27"/>
      <c r="G21" s="1" t="s">
        <v>28</v>
      </c>
      <c r="H21" s="37">
        <v>1900000</v>
      </c>
      <c r="L21" s="1" t="s">
        <v>1</v>
      </c>
      <c r="M21" s="46">
        <v>2000000</v>
      </c>
      <c r="O21" s="28"/>
      <c r="P21" s="27"/>
      <c r="Q21" s="1" t="s">
        <v>1</v>
      </c>
      <c r="R21" s="46">
        <v>2000000</v>
      </c>
      <c r="T21" s="28"/>
      <c r="U21" s="27"/>
      <c r="V21" s="1" t="s">
        <v>99</v>
      </c>
      <c r="W21" s="46">
        <v>2200000</v>
      </c>
      <c r="Y21" s="28"/>
    </row>
    <row r="22" spans="1:29" x14ac:dyDescent="0.25">
      <c r="A22" s="30" t="s">
        <v>19</v>
      </c>
      <c r="B22" s="8">
        <v>6</v>
      </c>
      <c r="C22" s="9">
        <v>50000</v>
      </c>
      <c r="D22" s="9">
        <v>300000</v>
      </c>
      <c r="F22" s="27"/>
      <c r="G22" s="1" t="s">
        <v>38</v>
      </c>
      <c r="H22" s="37">
        <v>78000</v>
      </c>
      <c r="L22" s="1" t="s">
        <v>2</v>
      </c>
      <c r="M22" s="46">
        <v>78000</v>
      </c>
      <c r="O22" s="28"/>
      <c r="P22" s="27"/>
      <c r="Q22" s="103" t="s">
        <v>82</v>
      </c>
      <c r="R22" s="104">
        <v>1788000</v>
      </c>
      <c r="T22" s="28"/>
      <c r="U22" s="27"/>
      <c r="V22" s="1" t="s">
        <v>100</v>
      </c>
      <c r="W22" s="46">
        <v>2587000</v>
      </c>
      <c r="Y22" s="28"/>
    </row>
    <row r="23" spans="1:29" ht="15.75" thickBot="1" x14ac:dyDescent="0.3">
      <c r="A23" s="31"/>
      <c r="B23" s="32"/>
      <c r="C23" s="32"/>
      <c r="D23" s="32"/>
      <c r="E23" s="32"/>
      <c r="F23" s="27"/>
      <c r="G23" s="1" t="s">
        <v>39</v>
      </c>
      <c r="H23" s="37">
        <v>2849000</v>
      </c>
      <c r="L23" s="1" t="s">
        <v>116</v>
      </c>
      <c r="M23" s="46">
        <v>3003000</v>
      </c>
      <c r="O23" s="28"/>
      <c r="P23" s="27"/>
      <c r="Q23" s="103"/>
      <c r="R23" s="104"/>
      <c r="T23" s="28"/>
      <c r="U23" s="27"/>
      <c r="V23" s="1" t="s">
        <v>2</v>
      </c>
      <c r="W23" s="46">
        <v>47000</v>
      </c>
      <c r="Y23" s="28"/>
    </row>
    <row r="24" spans="1:29" ht="15.75" thickBot="1" x14ac:dyDescent="0.3">
      <c r="A24" s="24"/>
      <c r="B24" s="25"/>
      <c r="C24" s="25"/>
      <c r="D24" s="25"/>
      <c r="E24" s="26"/>
      <c r="G24" s="1" t="s">
        <v>40</v>
      </c>
      <c r="H24" s="37">
        <v>740000</v>
      </c>
      <c r="L24" s="1" t="s">
        <v>117</v>
      </c>
      <c r="M24" s="46">
        <v>722000</v>
      </c>
      <c r="O24" s="28"/>
      <c r="P24" s="27"/>
      <c r="Q24" s="1" t="s">
        <v>83</v>
      </c>
      <c r="R24" s="46">
        <v>998500</v>
      </c>
      <c r="T24" s="28"/>
      <c r="U24" s="27"/>
      <c r="V24" s="1" t="s">
        <v>66</v>
      </c>
      <c r="W24" s="46">
        <v>75000</v>
      </c>
      <c r="Y24" s="28"/>
    </row>
    <row r="25" spans="1:29" ht="15.75" thickBot="1" x14ac:dyDescent="0.3">
      <c r="A25" s="27"/>
      <c r="B25" s="125" t="s">
        <v>63</v>
      </c>
      <c r="C25" s="126"/>
      <c r="E25" s="28"/>
      <c r="G25" s="1" t="s">
        <v>41</v>
      </c>
      <c r="H25" s="39">
        <v>5567000</v>
      </c>
      <c r="L25" s="4" t="s">
        <v>66</v>
      </c>
      <c r="M25" s="62">
        <v>65000</v>
      </c>
      <c r="O25" s="28"/>
      <c r="P25" s="27"/>
      <c r="Q25" s="1" t="s">
        <v>84</v>
      </c>
      <c r="R25" s="46">
        <v>80000</v>
      </c>
      <c r="T25" s="28"/>
      <c r="U25" s="27"/>
      <c r="V25" s="4" t="s">
        <v>101</v>
      </c>
      <c r="W25" s="62">
        <v>85000</v>
      </c>
      <c r="Y25" s="28"/>
    </row>
    <row r="26" spans="1:29" ht="15.75" thickBot="1" x14ac:dyDescent="0.3">
      <c r="A26" s="27"/>
      <c r="B26" s="124" t="s">
        <v>46</v>
      </c>
      <c r="C26" s="124"/>
      <c r="E26" s="28"/>
      <c r="G26" s="1" t="s">
        <v>42</v>
      </c>
      <c r="H26" s="38">
        <v>5912000</v>
      </c>
      <c r="L26" s="6" t="s">
        <v>12</v>
      </c>
      <c r="M26" s="68">
        <v>5868000</v>
      </c>
      <c r="O26" s="28"/>
      <c r="P26" s="27"/>
      <c r="Q26" s="4" t="s">
        <v>85</v>
      </c>
      <c r="R26" s="62">
        <v>24000</v>
      </c>
      <c r="T26" s="28"/>
      <c r="U26" s="27"/>
      <c r="V26" s="6" t="s">
        <v>12</v>
      </c>
      <c r="W26" s="68">
        <v>4994000</v>
      </c>
      <c r="Y26" s="28"/>
    </row>
    <row r="27" spans="1:29" x14ac:dyDescent="0.25">
      <c r="A27" s="27"/>
      <c r="B27" s="1" t="s">
        <v>1</v>
      </c>
      <c r="C27" s="37">
        <v>7500000</v>
      </c>
      <c r="E27" s="28"/>
      <c r="G27" s="1" t="s">
        <v>43</v>
      </c>
      <c r="H27" s="40">
        <v>345000</v>
      </c>
      <c r="L27" s="1" t="s">
        <v>23</v>
      </c>
      <c r="M27" s="64">
        <v>6505000</v>
      </c>
      <c r="O27" s="28"/>
      <c r="P27" s="27"/>
      <c r="Q27" s="6" t="s">
        <v>12</v>
      </c>
      <c r="R27" s="63">
        <v>4890500</v>
      </c>
      <c r="T27" s="28"/>
      <c r="U27" s="27"/>
      <c r="V27" s="1" t="s">
        <v>102</v>
      </c>
      <c r="W27" s="64">
        <v>5681000</v>
      </c>
      <c r="Y27" s="28"/>
    </row>
    <row r="28" spans="1:29" x14ac:dyDescent="0.25">
      <c r="A28" s="27"/>
      <c r="B28" s="1" t="s">
        <v>47</v>
      </c>
      <c r="C28" s="37">
        <v>2117000</v>
      </c>
      <c r="E28" s="28"/>
      <c r="L28" s="1" t="s">
        <v>14</v>
      </c>
      <c r="M28" s="65">
        <v>637000</v>
      </c>
      <c r="O28" s="28"/>
      <c r="P28" s="27"/>
      <c r="Q28" s="1" t="s">
        <v>13</v>
      </c>
      <c r="R28" s="64">
        <v>6350000</v>
      </c>
      <c r="T28" s="28"/>
      <c r="U28" s="27"/>
      <c r="V28" s="1" t="s">
        <v>14</v>
      </c>
      <c r="W28" s="65">
        <v>687000</v>
      </c>
      <c r="Y28" s="28"/>
    </row>
    <row r="29" spans="1:29" x14ac:dyDescent="0.25">
      <c r="A29" s="27"/>
      <c r="B29" s="1" t="s">
        <v>48</v>
      </c>
      <c r="C29" s="37">
        <v>1260000</v>
      </c>
      <c r="E29" s="28"/>
      <c r="O29" s="28"/>
      <c r="P29" s="27"/>
      <c r="Q29" s="1" t="s">
        <v>14</v>
      </c>
      <c r="R29" s="65">
        <v>1459500</v>
      </c>
      <c r="T29" s="28"/>
      <c r="U29" s="27"/>
      <c r="Y29" s="28"/>
    </row>
    <row r="30" spans="1:29" x14ac:dyDescent="0.25">
      <c r="A30" s="27"/>
      <c r="B30" s="1" t="s">
        <v>2</v>
      </c>
      <c r="C30" s="37">
        <v>145000</v>
      </c>
      <c r="E30" s="28"/>
      <c r="G30" s="1" t="s">
        <v>44</v>
      </c>
      <c r="H30" s="1" t="s">
        <v>35</v>
      </c>
      <c r="I30" s="1" t="s">
        <v>18</v>
      </c>
      <c r="O30" s="28"/>
      <c r="P30" s="27"/>
      <c r="T30" s="28"/>
      <c r="U30" s="27"/>
      <c r="V30" s="1" t="s">
        <v>44</v>
      </c>
      <c r="W30" s="1" t="s">
        <v>24</v>
      </c>
      <c r="X30" s="1" t="s">
        <v>12</v>
      </c>
      <c r="Y30" s="28"/>
    </row>
    <row r="31" spans="1:29" x14ac:dyDescent="0.25">
      <c r="A31" s="27"/>
      <c r="B31" s="1" t="s">
        <v>49</v>
      </c>
      <c r="C31" s="37">
        <v>300000</v>
      </c>
      <c r="E31" s="28"/>
      <c r="G31" s="1" t="s">
        <v>19</v>
      </c>
      <c r="H31" s="1">
        <v>2</v>
      </c>
      <c r="I31" s="37">
        <v>30000</v>
      </c>
      <c r="O31" s="28"/>
      <c r="P31" s="27"/>
      <c r="Q31" s="1" t="s">
        <v>16</v>
      </c>
      <c r="R31" s="1" t="s">
        <v>80</v>
      </c>
      <c r="S31" s="1" t="s">
        <v>81</v>
      </c>
      <c r="T31" s="28"/>
      <c r="U31" s="27"/>
      <c r="V31" s="1" t="s">
        <v>19</v>
      </c>
      <c r="W31" s="1">
        <v>6</v>
      </c>
      <c r="X31" s="46">
        <v>90000</v>
      </c>
      <c r="Y31" s="28"/>
    </row>
    <row r="32" spans="1:29" x14ac:dyDescent="0.25">
      <c r="A32" s="27"/>
      <c r="B32" s="1" t="s">
        <v>50</v>
      </c>
      <c r="C32" s="37">
        <v>440000</v>
      </c>
      <c r="E32" s="28"/>
      <c r="O32" s="28"/>
      <c r="P32" s="27"/>
      <c r="Q32" s="1" t="s">
        <v>19</v>
      </c>
      <c r="R32" s="1">
        <v>4</v>
      </c>
      <c r="S32" s="37">
        <v>60000</v>
      </c>
      <c r="T32" s="28"/>
      <c r="U32" s="27"/>
      <c r="Y32" s="28"/>
    </row>
    <row r="33" spans="1:25" ht="15.75" thickBot="1" x14ac:dyDescent="0.3">
      <c r="A33" s="27"/>
      <c r="B33" s="1" t="s">
        <v>51</v>
      </c>
      <c r="C33" s="37">
        <v>30000</v>
      </c>
      <c r="E33" s="28"/>
      <c r="F33" s="32"/>
      <c r="G33" s="32"/>
      <c r="H33" s="32"/>
      <c r="I33" s="32"/>
      <c r="J33" s="32"/>
      <c r="K33" s="32"/>
      <c r="L33" s="32"/>
      <c r="M33" s="32"/>
      <c r="N33" s="32"/>
      <c r="O33" s="33"/>
      <c r="P33" s="27"/>
      <c r="T33" s="28"/>
      <c r="U33" s="31"/>
      <c r="V33" s="32"/>
      <c r="W33" s="32"/>
      <c r="X33" s="32"/>
      <c r="Y33" s="33"/>
    </row>
    <row r="34" spans="1:25" x14ac:dyDescent="0.25">
      <c r="A34" s="27"/>
      <c r="B34" s="1" t="s">
        <v>52</v>
      </c>
      <c r="C34" s="37">
        <v>665000</v>
      </c>
      <c r="E34" s="28"/>
      <c r="F34" s="24"/>
      <c r="G34" s="25"/>
      <c r="H34" s="25"/>
      <c r="I34" s="25"/>
      <c r="J34" s="25"/>
      <c r="K34" s="25"/>
      <c r="L34" s="25"/>
      <c r="M34" s="25"/>
      <c r="N34" s="25"/>
      <c r="O34" s="25"/>
      <c r="P34" s="24"/>
      <c r="Q34" s="25"/>
      <c r="R34" s="25"/>
      <c r="S34" s="25"/>
      <c r="T34" s="26"/>
      <c r="U34" s="24"/>
      <c r="V34" s="25"/>
      <c r="W34" s="25"/>
      <c r="X34" s="25"/>
      <c r="Y34" s="26"/>
    </row>
    <row r="35" spans="1:25" x14ac:dyDescent="0.25">
      <c r="A35" s="27"/>
      <c r="B35" s="1" t="s">
        <v>53</v>
      </c>
      <c r="C35" s="37">
        <v>70000</v>
      </c>
      <c r="E35" s="28"/>
      <c r="F35" s="27"/>
      <c r="G35" s="97" t="s">
        <v>69</v>
      </c>
      <c r="H35" s="97"/>
      <c r="L35" s="98" t="s">
        <v>72</v>
      </c>
      <c r="M35" s="99"/>
      <c r="P35" s="27"/>
      <c r="Q35" s="97" t="s">
        <v>92</v>
      </c>
      <c r="R35" s="97"/>
      <c r="T35" s="28"/>
      <c r="U35" s="27"/>
      <c r="V35" s="102" t="s">
        <v>104</v>
      </c>
      <c r="W35" s="102"/>
      <c r="Y35" s="28"/>
    </row>
    <row r="36" spans="1:25" x14ac:dyDescent="0.25">
      <c r="A36" s="27"/>
      <c r="B36" s="1" t="s">
        <v>54</v>
      </c>
      <c r="C36" s="37">
        <v>150000</v>
      </c>
      <c r="D36" t="s">
        <v>55</v>
      </c>
      <c r="E36" s="28"/>
      <c r="F36" s="27"/>
      <c r="G36" s="117" t="s">
        <v>0</v>
      </c>
      <c r="H36" s="118"/>
      <c r="L36" s="116" t="s">
        <v>0</v>
      </c>
      <c r="M36" s="116"/>
      <c r="P36" s="27"/>
      <c r="Q36" s="112" t="s">
        <v>0</v>
      </c>
      <c r="R36" s="112"/>
      <c r="T36" s="28"/>
      <c r="U36" s="27"/>
      <c r="V36" s="1" t="s">
        <v>1</v>
      </c>
      <c r="W36" s="46">
        <v>17500000</v>
      </c>
      <c r="Y36" s="28"/>
    </row>
    <row r="37" spans="1:25" ht="15" customHeight="1" x14ac:dyDescent="0.25">
      <c r="A37" s="27"/>
      <c r="B37" s="1" t="s">
        <v>56</v>
      </c>
      <c r="C37" s="37">
        <v>260000</v>
      </c>
      <c r="D37" t="s">
        <v>57</v>
      </c>
      <c r="E37" s="28"/>
      <c r="F37" s="27"/>
      <c r="G37" s="1" t="s">
        <v>1</v>
      </c>
      <c r="H37" s="37">
        <v>2100000</v>
      </c>
      <c r="L37" s="1" t="s">
        <v>1</v>
      </c>
      <c r="M37" s="47">
        <v>2100000</v>
      </c>
      <c r="P37" s="27"/>
      <c r="Q37" s="1" t="s">
        <v>1</v>
      </c>
      <c r="R37" s="46">
        <v>6200000</v>
      </c>
      <c r="T37" s="67"/>
      <c r="U37" s="27"/>
      <c r="V37" s="1" t="s">
        <v>105</v>
      </c>
      <c r="W37" s="46">
        <v>9120000</v>
      </c>
      <c r="Y37" s="28"/>
    </row>
    <row r="38" spans="1:25" x14ac:dyDescent="0.25">
      <c r="A38" s="27"/>
      <c r="B38" s="1" t="s">
        <v>58</v>
      </c>
      <c r="C38" s="37">
        <v>139800</v>
      </c>
      <c r="E38" s="28"/>
      <c r="F38" s="27"/>
      <c r="G38" s="1" t="s">
        <v>65</v>
      </c>
      <c r="H38" s="37">
        <v>663000</v>
      </c>
      <c r="L38" s="1" t="s">
        <v>52</v>
      </c>
      <c r="M38" s="47">
        <v>1251000</v>
      </c>
      <c r="P38" s="27"/>
      <c r="Q38" s="110" t="s">
        <v>87</v>
      </c>
      <c r="R38" s="104">
        <v>6216000</v>
      </c>
      <c r="S38" s="66"/>
      <c r="T38" s="67"/>
      <c r="U38" s="27"/>
      <c r="V38" s="1" t="s">
        <v>106</v>
      </c>
      <c r="W38" s="46">
        <v>2490000</v>
      </c>
      <c r="Y38" s="28"/>
    </row>
    <row r="39" spans="1:25" ht="15" customHeight="1" x14ac:dyDescent="0.25">
      <c r="A39" s="27"/>
      <c r="B39" s="1" t="s">
        <v>59</v>
      </c>
      <c r="C39" s="37">
        <v>408000</v>
      </c>
      <c r="E39" s="28"/>
      <c r="F39" s="27"/>
      <c r="G39" s="1" t="s">
        <v>52</v>
      </c>
      <c r="H39" s="37">
        <v>1542600</v>
      </c>
      <c r="L39" s="1" t="s">
        <v>2</v>
      </c>
      <c r="M39" s="47">
        <v>66000</v>
      </c>
      <c r="P39" s="27"/>
      <c r="Q39" s="110"/>
      <c r="R39" s="104"/>
      <c r="T39" s="67"/>
      <c r="U39" s="27"/>
      <c r="V39" s="1" t="s">
        <v>107</v>
      </c>
      <c r="W39" s="46">
        <v>1944000</v>
      </c>
      <c r="Y39" s="28"/>
    </row>
    <row r="40" spans="1:25" ht="15" customHeight="1" x14ac:dyDescent="0.25">
      <c r="A40" s="27"/>
      <c r="B40" s="1" t="s">
        <v>60</v>
      </c>
      <c r="C40" s="37">
        <v>200000</v>
      </c>
      <c r="E40" s="28"/>
      <c r="F40" s="27"/>
      <c r="G40" s="1" t="s">
        <v>2</v>
      </c>
      <c r="H40" s="37">
        <v>80000</v>
      </c>
      <c r="L40" s="1" t="s">
        <v>65</v>
      </c>
      <c r="M40" s="47">
        <v>528000</v>
      </c>
      <c r="P40" s="27"/>
      <c r="Q40" s="110" t="s">
        <v>88</v>
      </c>
      <c r="R40" s="104">
        <v>500000</v>
      </c>
      <c r="T40" s="67"/>
      <c r="U40" s="27"/>
      <c r="V40" s="1" t="s">
        <v>2</v>
      </c>
      <c r="W40" s="46">
        <v>366000</v>
      </c>
      <c r="Y40" s="28"/>
    </row>
    <row r="41" spans="1:25" ht="18" customHeight="1" thickBot="1" x14ac:dyDescent="0.3">
      <c r="A41" s="27"/>
      <c r="B41" s="1" t="s">
        <v>61</v>
      </c>
      <c r="C41" s="37">
        <v>42000</v>
      </c>
      <c r="E41" s="28"/>
      <c r="F41" s="27"/>
      <c r="G41" s="4" t="s">
        <v>66</v>
      </c>
      <c r="H41" s="44">
        <v>122000</v>
      </c>
      <c r="I41" t="s">
        <v>67</v>
      </c>
      <c r="L41" s="119" t="s">
        <v>70</v>
      </c>
      <c r="M41" s="121">
        <v>120000</v>
      </c>
      <c r="P41" s="27"/>
      <c r="Q41" s="110"/>
      <c r="R41" s="104"/>
      <c r="S41" s="66"/>
      <c r="T41" s="28"/>
      <c r="U41" s="27"/>
      <c r="V41" s="110" t="s">
        <v>108</v>
      </c>
      <c r="W41" s="111">
        <v>1770000</v>
      </c>
      <c r="Y41" s="28"/>
    </row>
    <row r="42" spans="1:25" ht="15.75" thickBot="1" x14ac:dyDescent="0.3">
      <c r="A42" s="27"/>
      <c r="B42" s="4" t="s">
        <v>62</v>
      </c>
      <c r="C42" s="44">
        <v>336000</v>
      </c>
      <c r="E42" s="28"/>
      <c r="F42" s="27"/>
      <c r="G42" s="6" t="s">
        <v>32</v>
      </c>
      <c r="H42" s="43">
        <v>4507600</v>
      </c>
      <c r="L42" s="120"/>
      <c r="M42" s="122"/>
      <c r="P42" s="27"/>
      <c r="Q42" s="1" t="s">
        <v>89</v>
      </c>
      <c r="R42" s="46">
        <v>260000</v>
      </c>
      <c r="S42" s="66"/>
      <c r="T42" s="28"/>
      <c r="U42" s="27"/>
      <c r="V42" s="110"/>
      <c r="W42" s="111"/>
      <c r="Y42" s="28"/>
    </row>
    <row r="43" spans="1:25" x14ac:dyDescent="0.25">
      <c r="A43" s="27"/>
      <c r="B43" s="6" t="s">
        <v>12</v>
      </c>
      <c r="C43" s="43">
        <v>14062800</v>
      </c>
      <c r="E43" s="28"/>
      <c r="F43" s="27"/>
      <c r="G43" s="1" t="s">
        <v>68</v>
      </c>
      <c r="H43" s="38">
        <v>6243000</v>
      </c>
      <c r="L43" s="51" t="s">
        <v>12</v>
      </c>
      <c r="M43" s="52">
        <v>4065000</v>
      </c>
      <c r="P43" s="27"/>
      <c r="Q43" s="1" t="s">
        <v>2</v>
      </c>
      <c r="R43" s="46">
        <v>153000</v>
      </c>
      <c r="S43" s="66"/>
      <c r="T43" s="67"/>
      <c r="U43" s="27"/>
      <c r="V43" s="1" t="s">
        <v>109</v>
      </c>
      <c r="W43" s="46">
        <v>850000</v>
      </c>
      <c r="Y43" s="28"/>
    </row>
    <row r="44" spans="1:25" x14ac:dyDescent="0.25">
      <c r="A44" s="27"/>
      <c r="B44" s="1" t="s">
        <v>23</v>
      </c>
      <c r="C44" s="38">
        <v>16150000</v>
      </c>
      <c r="E44" s="28"/>
      <c r="F44" s="27"/>
      <c r="G44" s="1" t="s">
        <v>34</v>
      </c>
      <c r="H44" s="40">
        <v>1735400</v>
      </c>
      <c r="L44" s="49" t="s">
        <v>13</v>
      </c>
      <c r="M44" s="47">
        <v>5077000</v>
      </c>
      <c r="P44" s="27"/>
      <c r="Q44" s="1" t="s">
        <v>90</v>
      </c>
      <c r="R44" s="46">
        <v>300000</v>
      </c>
      <c r="T44" s="67"/>
      <c r="U44" s="27"/>
      <c r="V44" s="1" t="s">
        <v>110</v>
      </c>
      <c r="W44" s="46">
        <v>392400</v>
      </c>
      <c r="Y44" s="28"/>
    </row>
    <row r="45" spans="1:25" ht="15" customHeight="1" thickBot="1" x14ac:dyDescent="0.3">
      <c r="A45" s="27"/>
      <c r="B45" s="1" t="s">
        <v>14</v>
      </c>
      <c r="C45" s="40">
        <v>2087200</v>
      </c>
      <c r="E45" s="28"/>
      <c r="F45" s="27"/>
      <c r="L45" s="50" t="s">
        <v>14</v>
      </c>
      <c r="M45" s="46">
        <v>1012000</v>
      </c>
      <c r="P45" s="27"/>
      <c r="Q45" s="1" t="s">
        <v>91</v>
      </c>
      <c r="R45" s="1"/>
      <c r="S45" s="66"/>
      <c r="T45" s="28"/>
      <c r="U45" s="27"/>
      <c r="V45" s="4" t="s">
        <v>111</v>
      </c>
      <c r="W45" s="62">
        <v>320000</v>
      </c>
      <c r="Y45" s="28"/>
    </row>
    <row r="46" spans="1:25" x14ac:dyDescent="0.25">
      <c r="A46" s="27"/>
      <c r="E46" s="28"/>
      <c r="F46" s="27"/>
      <c r="G46" s="1" t="s">
        <v>44</v>
      </c>
      <c r="H46" s="1" t="s">
        <v>24</v>
      </c>
      <c r="I46" s="1" t="s">
        <v>18</v>
      </c>
      <c r="P46" s="27"/>
      <c r="Q46" s="110" t="s">
        <v>66</v>
      </c>
      <c r="R46" s="104">
        <v>120000</v>
      </c>
      <c r="S46" s="66"/>
      <c r="T46" s="28"/>
      <c r="U46" s="27"/>
      <c r="V46" s="6" t="s">
        <v>12</v>
      </c>
      <c r="W46" s="68">
        <v>34752400</v>
      </c>
      <c r="Y46" s="28"/>
    </row>
    <row r="47" spans="1:25" ht="15.75" thickBot="1" x14ac:dyDescent="0.3">
      <c r="A47" s="27"/>
      <c r="E47" s="28"/>
      <c r="F47" s="27"/>
      <c r="G47" s="1" t="s">
        <v>64</v>
      </c>
      <c r="H47" s="1">
        <v>4</v>
      </c>
      <c r="I47" s="37">
        <v>60000</v>
      </c>
      <c r="L47" s="23" t="s">
        <v>71</v>
      </c>
      <c r="M47" s="23"/>
      <c r="N47" s="23"/>
      <c r="P47" s="27"/>
      <c r="Q47" s="114"/>
      <c r="R47" s="115"/>
      <c r="T47" s="28"/>
      <c r="U47" s="27"/>
      <c r="V47" s="1" t="s">
        <v>13</v>
      </c>
      <c r="W47" s="64">
        <v>39500000</v>
      </c>
      <c r="Y47" s="28"/>
    </row>
    <row r="48" spans="1:25" x14ac:dyDescent="0.25">
      <c r="A48" s="27"/>
      <c r="B48" s="1" t="s">
        <v>16</v>
      </c>
      <c r="C48" s="1" t="s">
        <v>35</v>
      </c>
      <c r="D48" s="1" t="s">
        <v>18</v>
      </c>
      <c r="E48" s="28"/>
      <c r="F48" s="27"/>
      <c r="L48" s="1" t="s">
        <v>19</v>
      </c>
      <c r="M48" s="1">
        <v>3</v>
      </c>
      <c r="N48" s="46">
        <v>45000</v>
      </c>
      <c r="P48" s="27"/>
      <c r="Q48" s="6" t="s">
        <v>12</v>
      </c>
      <c r="R48" s="68">
        <v>13749000</v>
      </c>
      <c r="T48" s="28"/>
      <c r="U48" s="27"/>
      <c r="V48" s="1" t="s">
        <v>14</v>
      </c>
      <c r="W48" s="65">
        <v>4747600</v>
      </c>
      <c r="Y48" s="28"/>
    </row>
    <row r="49" spans="1:25" x14ac:dyDescent="0.25">
      <c r="A49" s="27"/>
      <c r="B49" s="1" t="s">
        <v>19</v>
      </c>
      <c r="C49" s="1">
        <v>2</v>
      </c>
      <c r="D49" s="37">
        <v>80000</v>
      </c>
      <c r="E49" s="28"/>
      <c r="F49" s="27"/>
      <c r="P49" s="27"/>
      <c r="Q49" s="1" t="s">
        <v>23</v>
      </c>
      <c r="R49" s="64">
        <v>20850000</v>
      </c>
      <c r="T49" s="28"/>
      <c r="U49" s="27"/>
      <c r="Y49" s="28"/>
    </row>
    <row r="50" spans="1:25" x14ac:dyDescent="0.25">
      <c r="A50" s="27"/>
      <c r="E50" s="28"/>
      <c r="F50" s="27"/>
      <c r="P50" s="27"/>
      <c r="Q50" s="1" t="s">
        <v>14</v>
      </c>
      <c r="R50" s="65">
        <v>7101000</v>
      </c>
      <c r="T50" s="28"/>
      <c r="U50" s="27"/>
      <c r="Y50" s="28"/>
    </row>
    <row r="51" spans="1:25" ht="15.75" thickBot="1" x14ac:dyDescent="0.3">
      <c r="A51" s="31"/>
      <c r="B51" s="32"/>
      <c r="C51" s="32"/>
      <c r="D51" s="32"/>
      <c r="E51" s="33"/>
      <c r="F51" s="31"/>
      <c r="G51" s="32"/>
      <c r="H51" s="32"/>
      <c r="I51" s="32"/>
      <c r="J51" s="32"/>
      <c r="K51" s="32"/>
      <c r="L51" s="32"/>
      <c r="M51" s="32"/>
      <c r="N51" s="32"/>
      <c r="O51" s="32"/>
      <c r="P51" s="27"/>
      <c r="T51" s="28"/>
      <c r="U51" s="27"/>
      <c r="V51" s="1" t="s">
        <v>44</v>
      </c>
      <c r="W51" s="1" t="s">
        <v>24</v>
      </c>
      <c r="X51" s="1" t="s">
        <v>112</v>
      </c>
      <c r="Y51" s="28"/>
    </row>
    <row r="52" spans="1:25" x14ac:dyDescent="0.25">
      <c r="P52" s="27"/>
      <c r="Q52" s="98" t="s">
        <v>16</v>
      </c>
      <c r="R52" s="113"/>
      <c r="S52" s="99"/>
      <c r="T52" s="28"/>
      <c r="U52" s="27"/>
      <c r="V52" s="1" t="s">
        <v>19</v>
      </c>
      <c r="W52" s="1">
        <v>3</v>
      </c>
      <c r="X52" s="46">
        <v>150000</v>
      </c>
      <c r="Y52" s="28"/>
    </row>
    <row r="53" spans="1:25" x14ac:dyDescent="0.25">
      <c r="P53" s="27"/>
      <c r="Q53" s="1" t="s">
        <v>19</v>
      </c>
      <c r="R53" s="1">
        <v>29</v>
      </c>
      <c r="S53" s="37">
        <v>435000</v>
      </c>
      <c r="T53" s="28"/>
      <c r="U53" s="27"/>
      <c r="Y53" s="28"/>
    </row>
    <row r="54" spans="1:25" ht="15.75" thickBot="1" x14ac:dyDescent="0.3">
      <c r="P54" s="31"/>
      <c r="Q54" s="32"/>
      <c r="R54" s="32"/>
      <c r="S54" s="32"/>
      <c r="T54" s="33"/>
      <c r="U54" s="31"/>
      <c r="V54" s="32"/>
      <c r="W54" s="32"/>
      <c r="X54" s="32"/>
      <c r="Y54" s="33"/>
    </row>
  </sheetData>
  <mergeCells count="43">
    <mergeCell ref="B2:C2"/>
    <mergeCell ref="G3:H3"/>
    <mergeCell ref="G2:H2"/>
    <mergeCell ref="L3:M3"/>
    <mergeCell ref="L2:M2"/>
    <mergeCell ref="G20:H20"/>
    <mergeCell ref="G19:H19"/>
    <mergeCell ref="B26:C26"/>
    <mergeCell ref="B25:C25"/>
    <mergeCell ref="G35:H35"/>
    <mergeCell ref="Q22:Q23"/>
    <mergeCell ref="R22:R23"/>
    <mergeCell ref="L36:M36"/>
    <mergeCell ref="G36:H36"/>
    <mergeCell ref="L41:L42"/>
    <mergeCell ref="M41:M42"/>
    <mergeCell ref="L35:M35"/>
    <mergeCell ref="V35:W35"/>
    <mergeCell ref="V41:V42"/>
    <mergeCell ref="W41:W42"/>
    <mergeCell ref="Q36:R36"/>
    <mergeCell ref="Q52:S52"/>
    <mergeCell ref="Q35:R35"/>
    <mergeCell ref="Q38:Q39"/>
    <mergeCell ref="Q40:Q41"/>
    <mergeCell ref="R40:R41"/>
    <mergeCell ref="R38:R39"/>
    <mergeCell ref="Q46:Q47"/>
    <mergeCell ref="R46:R47"/>
    <mergeCell ref="AA2:AB2"/>
    <mergeCell ref="L19:M19"/>
    <mergeCell ref="L20:M20"/>
    <mergeCell ref="V2:W2"/>
    <mergeCell ref="V15:X15"/>
    <mergeCell ref="V20:W20"/>
    <mergeCell ref="V19:W19"/>
    <mergeCell ref="V6:V7"/>
    <mergeCell ref="W6:W7"/>
    <mergeCell ref="V3:W3"/>
    <mergeCell ref="Q19:R19"/>
    <mergeCell ref="Q2:R2"/>
    <mergeCell ref="Q3:R3"/>
    <mergeCell ref="Q20:R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E4EEA-D46E-48D3-8320-6BFF63F08CF6}">
  <dimension ref="B1:J47"/>
  <sheetViews>
    <sheetView tabSelected="1" topLeftCell="A21" workbookViewId="0">
      <selection activeCell="H28" sqref="H28"/>
    </sheetView>
  </sheetViews>
  <sheetFormatPr baseColWidth="10" defaultRowHeight="15" x14ac:dyDescent="0.25"/>
  <cols>
    <col min="2" max="2" width="23.5703125" bestFit="1" customWidth="1"/>
    <col min="3" max="3" width="17.7109375" bestFit="1" customWidth="1"/>
    <col min="4" max="4" width="20.42578125" bestFit="1" customWidth="1"/>
    <col min="5" max="5" width="17.85546875" bestFit="1" customWidth="1"/>
    <col min="6" max="6" width="25.140625" bestFit="1" customWidth="1"/>
    <col min="7" max="7" width="17.42578125" bestFit="1" customWidth="1"/>
    <col min="8" max="8" width="18.42578125" bestFit="1" customWidth="1"/>
    <col min="9" max="9" width="27.140625" bestFit="1" customWidth="1"/>
    <col min="10" max="10" width="12" style="82" bestFit="1" customWidth="1"/>
  </cols>
  <sheetData>
    <row r="1" spans="2:10" ht="15.75" thickBot="1" x14ac:dyDescent="0.3"/>
    <row r="2" spans="2:10" x14ac:dyDescent="0.25">
      <c r="B2" s="130" t="s">
        <v>119</v>
      </c>
      <c r="C2" s="131"/>
      <c r="D2" s="74" t="s">
        <v>127</v>
      </c>
      <c r="F2" s="132" t="s">
        <v>128</v>
      </c>
      <c r="G2" s="133"/>
      <c r="I2" s="97" t="s">
        <v>129</v>
      </c>
      <c r="J2" s="97"/>
    </row>
    <row r="3" spans="2:10" x14ac:dyDescent="0.25">
      <c r="B3" s="75" t="s">
        <v>120</v>
      </c>
      <c r="C3" s="37">
        <f>Hoja1!C19</f>
        <v>3225000</v>
      </c>
      <c r="D3" s="76">
        <f>Hoja1!D22</f>
        <v>300000</v>
      </c>
      <c r="F3" s="134"/>
      <c r="G3" s="135"/>
      <c r="I3" s="83" t="s">
        <v>137</v>
      </c>
      <c r="J3" s="70" t="s">
        <v>130</v>
      </c>
    </row>
    <row r="4" spans="2:10" x14ac:dyDescent="0.25">
      <c r="B4" s="75" t="s">
        <v>36</v>
      </c>
      <c r="C4" s="37">
        <f>Hoja1!M10</f>
        <v>358000</v>
      </c>
      <c r="D4" s="76">
        <f>Hoja1!N14</f>
        <v>270000</v>
      </c>
      <c r="F4" s="134"/>
      <c r="G4" s="135"/>
      <c r="I4" s="1" t="s">
        <v>135</v>
      </c>
      <c r="J4" s="45">
        <v>360000</v>
      </c>
    </row>
    <row r="5" spans="2:10" ht="15.75" thickBot="1" x14ac:dyDescent="0.3">
      <c r="B5" s="75" t="s">
        <v>26</v>
      </c>
      <c r="C5" s="37">
        <f>Hoja1!H9</f>
        <v>461000</v>
      </c>
      <c r="D5" s="85">
        <f>Hoja1!I14</f>
        <v>45000</v>
      </c>
      <c r="F5" s="136"/>
      <c r="G5" s="137"/>
      <c r="I5" s="1" t="s">
        <v>136</v>
      </c>
      <c r="J5" s="45">
        <v>180000</v>
      </c>
    </row>
    <row r="6" spans="2:10" x14ac:dyDescent="0.25">
      <c r="B6" s="75" t="s">
        <v>121</v>
      </c>
      <c r="C6" s="37">
        <f>Hoja1!H27</f>
        <v>345000</v>
      </c>
      <c r="D6" s="76">
        <f>Hoja1!I31</f>
        <v>30000</v>
      </c>
      <c r="I6" s="1" t="s">
        <v>134</v>
      </c>
      <c r="J6" s="45">
        <v>360000</v>
      </c>
    </row>
    <row r="7" spans="2:10" x14ac:dyDescent="0.25">
      <c r="B7" s="75" t="s">
        <v>122</v>
      </c>
      <c r="C7" s="46">
        <f>Hoja1!M28</f>
        <v>637000</v>
      </c>
      <c r="D7" s="77">
        <v>0</v>
      </c>
      <c r="I7" s="1" t="s">
        <v>132</v>
      </c>
      <c r="J7" s="45">
        <v>720000</v>
      </c>
    </row>
    <row r="8" spans="2:10" x14ac:dyDescent="0.25">
      <c r="B8" s="75" t="s">
        <v>123</v>
      </c>
      <c r="C8" s="37">
        <f>Hoja1!C45</f>
        <v>2087200</v>
      </c>
      <c r="D8" s="76">
        <f>Hoja1!D49</f>
        <v>80000</v>
      </c>
      <c r="I8" s="1" t="s">
        <v>133</v>
      </c>
      <c r="J8" s="45">
        <v>900000</v>
      </c>
    </row>
    <row r="9" spans="2:10" x14ac:dyDescent="0.25">
      <c r="B9" s="75" t="s">
        <v>124</v>
      </c>
      <c r="C9" s="37">
        <f>Hoja1!H44</f>
        <v>1735400</v>
      </c>
      <c r="D9" s="76">
        <f>Hoja1!I47</f>
        <v>60000</v>
      </c>
      <c r="I9" s="1" t="s">
        <v>131</v>
      </c>
      <c r="J9" s="45">
        <v>480000</v>
      </c>
    </row>
    <row r="10" spans="2:10" x14ac:dyDescent="0.25">
      <c r="B10" s="75" t="s">
        <v>125</v>
      </c>
      <c r="C10" s="46">
        <f>Hoja1!M45</f>
        <v>1012000</v>
      </c>
      <c r="D10" s="78">
        <f>Hoja1!N48</f>
        <v>45000</v>
      </c>
      <c r="I10" s="138" t="s">
        <v>175</v>
      </c>
      <c r="J10" s="45">
        <v>420000</v>
      </c>
    </row>
    <row r="11" spans="2:10" x14ac:dyDescent="0.25">
      <c r="B11" s="75" t="s">
        <v>79</v>
      </c>
      <c r="C11" s="37">
        <f>Hoja1!R9</f>
        <v>1083000</v>
      </c>
      <c r="D11" s="76">
        <f>Hoja1!S13</f>
        <v>30000</v>
      </c>
      <c r="I11" s="1" t="s">
        <v>12</v>
      </c>
      <c r="J11" s="84">
        <f>SUM(J4:J10)</f>
        <v>3420000</v>
      </c>
    </row>
    <row r="12" spans="2:10" x14ac:dyDescent="0.25">
      <c r="B12" s="75" t="s">
        <v>86</v>
      </c>
      <c r="C12" s="46">
        <f>Hoja1!R29</f>
        <v>1459500</v>
      </c>
      <c r="D12" s="76">
        <f>Hoja1!S32</f>
        <v>60000</v>
      </c>
    </row>
    <row r="13" spans="2:10" x14ac:dyDescent="0.25">
      <c r="B13" s="75" t="s">
        <v>92</v>
      </c>
      <c r="C13" s="46">
        <f>Hoja1!R50</f>
        <v>7101000</v>
      </c>
      <c r="D13" s="76">
        <f>Hoja1!S53</f>
        <v>435000</v>
      </c>
    </row>
    <row r="14" spans="2:10" x14ac:dyDescent="0.25">
      <c r="B14" s="75" t="s">
        <v>98</v>
      </c>
      <c r="C14" s="46">
        <f>Hoja1!W13</f>
        <v>6934900</v>
      </c>
      <c r="D14" s="78">
        <f>Hoja1!X16</f>
        <v>200000</v>
      </c>
    </row>
    <row r="15" spans="2:10" x14ac:dyDescent="0.25">
      <c r="B15" s="75" t="s">
        <v>103</v>
      </c>
      <c r="C15" s="46">
        <f>Hoja1!W28</f>
        <v>687000</v>
      </c>
      <c r="D15" s="78">
        <f>Hoja1!X31</f>
        <v>90000</v>
      </c>
      <c r="F15" s="49" t="s">
        <v>168</v>
      </c>
      <c r="G15" s="37">
        <f>C23-C47-J11</f>
        <v>23187600</v>
      </c>
      <c r="H15" s="37">
        <f>G15/2</f>
        <v>11593800</v>
      </c>
    </row>
    <row r="16" spans="2:10" x14ac:dyDescent="0.25">
      <c r="B16" s="75" t="s">
        <v>126</v>
      </c>
      <c r="C16" s="46">
        <f>Hoja1!W48</f>
        <v>4747600</v>
      </c>
      <c r="D16" s="78">
        <f>Hoja1!X52</f>
        <v>150000</v>
      </c>
    </row>
    <row r="17" spans="2:8" x14ac:dyDescent="0.25">
      <c r="B17" s="75" t="s">
        <v>115</v>
      </c>
      <c r="C17" s="46">
        <f>Hoja1!AB11</f>
        <v>168000</v>
      </c>
      <c r="D17" s="77">
        <v>0</v>
      </c>
    </row>
    <row r="18" spans="2:8" x14ac:dyDescent="0.25">
      <c r="B18" s="92" t="s">
        <v>160</v>
      </c>
      <c r="C18" s="93">
        <v>869000</v>
      </c>
      <c r="D18" s="94">
        <v>0</v>
      </c>
    </row>
    <row r="19" spans="2:8" x14ac:dyDescent="0.25">
      <c r="B19" s="92" t="s">
        <v>161</v>
      </c>
      <c r="C19" s="93">
        <v>1149000</v>
      </c>
      <c r="D19" s="94">
        <v>0</v>
      </c>
    </row>
    <row r="20" spans="2:8" x14ac:dyDescent="0.25">
      <c r="B20" s="92" t="s">
        <v>176</v>
      </c>
      <c r="C20" s="93"/>
      <c r="D20" s="94"/>
    </row>
    <row r="21" spans="2:8" x14ac:dyDescent="0.25">
      <c r="B21" s="92" t="s">
        <v>177</v>
      </c>
      <c r="C21" s="93"/>
      <c r="D21" s="94"/>
    </row>
    <row r="22" spans="2:8" x14ac:dyDescent="0.25">
      <c r="B22" s="92" t="s">
        <v>178</v>
      </c>
      <c r="C22" s="93"/>
      <c r="D22" s="94"/>
    </row>
    <row r="23" spans="2:8" ht="15.75" thickBot="1" x14ac:dyDescent="0.3">
      <c r="B23" s="79" t="s">
        <v>12</v>
      </c>
      <c r="C23" s="80">
        <f>SUM(C3:C22)</f>
        <v>34059600</v>
      </c>
      <c r="D23" s="81">
        <f>SUM(D3:D22)</f>
        <v>1795000</v>
      </c>
    </row>
    <row r="25" spans="2:8" x14ac:dyDescent="0.25">
      <c r="B25" s="91" t="s">
        <v>138</v>
      </c>
      <c r="C25" s="1" t="s">
        <v>18</v>
      </c>
      <c r="D25" s="1" t="s">
        <v>146</v>
      </c>
    </row>
    <row r="26" spans="2:8" x14ac:dyDescent="0.25">
      <c r="B26" s="1" t="s">
        <v>139</v>
      </c>
      <c r="C26" s="86">
        <v>328000</v>
      </c>
      <c r="D26" s="1"/>
    </row>
    <row r="27" spans="2:8" x14ac:dyDescent="0.25">
      <c r="B27" s="1" t="s">
        <v>140</v>
      </c>
      <c r="C27" s="86">
        <v>1120000</v>
      </c>
      <c r="D27" s="1"/>
      <c r="F27" s="102" t="s">
        <v>169</v>
      </c>
      <c r="G27" s="102"/>
      <c r="H27" s="102"/>
    </row>
    <row r="28" spans="2:8" ht="30" x14ac:dyDescent="0.25">
      <c r="B28" s="1" t="s">
        <v>141</v>
      </c>
      <c r="C28" s="86">
        <v>12000</v>
      </c>
      <c r="D28" s="1"/>
      <c r="F28" s="87" t="s">
        <v>147</v>
      </c>
      <c r="G28" s="86">
        <f>372000*5</f>
        <v>1860000</v>
      </c>
      <c r="H28" s="59" t="s">
        <v>167</v>
      </c>
    </row>
    <row r="29" spans="2:8" x14ac:dyDescent="0.25">
      <c r="B29" s="1" t="s">
        <v>163</v>
      </c>
      <c r="C29" s="86">
        <v>290000</v>
      </c>
      <c r="D29" s="1"/>
      <c r="F29" s="103" t="s">
        <v>170</v>
      </c>
      <c r="G29" s="45">
        <v>300000</v>
      </c>
      <c r="H29" s="1" t="s">
        <v>92</v>
      </c>
    </row>
    <row r="30" spans="2:8" x14ac:dyDescent="0.25">
      <c r="B30" s="1" t="s">
        <v>142</v>
      </c>
      <c r="C30" s="86">
        <v>160000</v>
      </c>
      <c r="D30" s="1"/>
      <c r="F30" s="103"/>
      <c r="G30" s="45">
        <v>303000</v>
      </c>
      <c r="H30" s="1" t="s">
        <v>171</v>
      </c>
    </row>
    <row r="31" spans="2:8" x14ac:dyDescent="0.25">
      <c r="B31" s="1" t="s">
        <v>143</v>
      </c>
      <c r="C31" s="86">
        <v>240000</v>
      </c>
      <c r="D31" s="1"/>
      <c r="F31" s="1" t="s">
        <v>172</v>
      </c>
      <c r="G31" s="45">
        <v>1000000</v>
      </c>
      <c r="H31" s="1"/>
    </row>
    <row r="32" spans="2:8" x14ac:dyDescent="0.25">
      <c r="B32" s="129" t="s">
        <v>144</v>
      </c>
      <c r="C32" s="86">
        <v>150000</v>
      </c>
      <c r="D32" s="1" t="s">
        <v>145</v>
      </c>
      <c r="F32" s="1" t="s">
        <v>173</v>
      </c>
      <c r="G32" s="1"/>
      <c r="H32" s="1"/>
    </row>
    <row r="33" spans="2:8" x14ac:dyDescent="0.25">
      <c r="B33" s="129"/>
      <c r="C33" s="86">
        <f>2100000+600000+600000</f>
        <v>3300000</v>
      </c>
      <c r="D33" s="1" t="s">
        <v>165</v>
      </c>
      <c r="F33" s="1" t="s">
        <v>12</v>
      </c>
      <c r="G33" s="95">
        <f>SUM(G28:G31)</f>
        <v>3463000</v>
      </c>
      <c r="H33" s="1"/>
    </row>
    <row r="34" spans="2:8" x14ac:dyDescent="0.25">
      <c r="B34" s="88" t="s">
        <v>148</v>
      </c>
      <c r="C34" s="86">
        <v>80000</v>
      </c>
      <c r="D34" s="1" t="s">
        <v>149</v>
      </c>
    </row>
    <row r="35" spans="2:8" x14ac:dyDescent="0.25">
      <c r="B35" s="88"/>
      <c r="C35" s="89">
        <v>170000</v>
      </c>
      <c r="D35" s="1" t="s">
        <v>65</v>
      </c>
      <c r="G35" s="49" t="s">
        <v>174</v>
      </c>
      <c r="H35" s="37">
        <f>H15-G33</f>
        <v>8130800</v>
      </c>
    </row>
    <row r="36" spans="2:8" x14ac:dyDescent="0.25">
      <c r="B36" s="88"/>
      <c r="C36" s="86">
        <v>42000</v>
      </c>
      <c r="D36" s="1" t="s">
        <v>106</v>
      </c>
    </row>
    <row r="37" spans="2:8" x14ac:dyDescent="0.25">
      <c r="B37" s="88"/>
      <c r="C37" s="89">
        <v>100000</v>
      </c>
      <c r="D37" s="1" t="s">
        <v>150</v>
      </c>
    </row>
    <row r="38" spans="2:8" x14ac:dyDescent="0.25">
      <c r="B38" s="88" t="s">
        <v>151</v>
      </c>
      <c r="C38" s="86">
        <v>135000</v>
      </c>
      <c r="D38" s="1" t="s">
        <v>152</v>
      </c>
    </row>
    <row r="39" spans="2:8" x14ac:dyDescent="0.25">
      <c r="B39" s="88"/>
      <c r="C39" s="45">
        <v>180000</v>
      </c>
      <c r="D39" s="1" t="s">
        <v>153</v>
      </c>
    </row>
    <row r="40" spans="2:8" x14ac:dyDescent="0.25">
      <c r="B40" s="88"/>
      <c r="C40" s="45">
        <v>50000</v>
      </c>
      <c r="D40" s="1" t="s">
        <v>154</v>
      </c>
    </row>
    <row r="41" spans="2:8" x14ac:dyDescent="0.25">
      <c r="B41" s="1" t="s">
        <v>155</v>
      </c>
      <c r="C41" s="45">
        <v>180000</v>
      </c>
      <c r="D41" s="1" t="s">
        <v>166</v>
      </c>
    </row>
    <row r="42" spans="2:8" x14ac:dyDescent="0.25">
      <c r="B42" s="88" t="s">
        <v>156</v>
      </c>
      <c r="C42" s="90">
        <v>350000</v>
      </c>
      <c r="D42" s="1" t="s">
        <v>157</v>
      </c>
    </row>
    <row r="43" spans="2:8" x14ac:dyDescent="0.25">
      <c r="B43" s="88"/>
      <c r="C43" s="90"/>
      <c r="D43" s="1" t="s">
        <v>158</v>
      </c>
    </row>
    <row r="44" spans="2:8" x14ac:dyDescent="0.25">
      <c r="B44" s="88" t="s">
        <v>162</v>
      </c>
      <c r="C44" s="90">
        <v>250000</v>
      </c>
      <c r="D44" s="1"/>
    </row>
    <row r="45" spans="2:8" x14ac:dyDescent="0.25">
      <c r="B45" s="88" t="s">
        <v>164</v>
      </c>
      <c r="C45" s="90">
        <v>195000</v>
      </c>
      <c r="D45" s="1"/>
    </row>
    <row r="46" spans="2:8" x14ac:dyDescent="0.25">
      <c r="B46" s="1" t="s">
        <v>159</v>
      </c>
      <c r="C46" s="45">
        <v>120000</v>
      </c>
      <c r="D46" s="1"/>
    </row>
    <row r="47" spans="2:8" x14ac:dyDescent="0.25">
      <c r="B47" s="1" t="s">
        <v>12</v>
      </c>
      <c r="C47" s="96">
        <f>SUM(C26:C46)</f>
        <v>7452000</v>
      </c>
      <c r="D47" s="1"/>
    </row>
  </sheetData>
  <mergeCells count="6">
    <mergeCell ref="F29:F30"/>
    <mergeCell ref="I2:J2"/>
    <mergeCell ref="B32:B33"/>
    <mergeCell ref="B2:C2"/>
    <mergeCell ref="F2:G5"/>
    <mergeCell ref="F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Valery Natalia Duarte Gomez</cp:lastModifiedBy>
  <dcterms:created xsi:type="dcterms:W3CDTF">2024-08-28T14:00:16Z</dcterms:created>
  <dcterms:modified xsi:type="dcterms:W3CDTF">2024-12-14T21:56:52Z</dcterms:modified>
</cp:coreProperties>
</file>