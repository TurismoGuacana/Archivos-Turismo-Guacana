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CONTABILIDAD SALIDAS PRIVADAS\"/>
    </mc:Choice>
  </mc:AlternateContent>
  <xr:revisionPtr revIDLastSave="0" documentId="13_ncr:1_{CCC02CAE-D1F8-4A2C-8608-A09E1708BF10}" xr6:coauthVersionLast="47" xr6:coauthVersionMax="47" xr10:uidLastSave="{00000000-0000-0000-0000-000000000000}"/>
  <bookViews>
    <workbookView xWindow="-120" yWindow="-120" windowWidth="20730" windowHeight="11040" xr2:uid="{2F95D69B-AED9-4587-8BE3-4334CE5AED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C10" i="1"/>
  <c r="F7" i="1"/>
  <c r="F6" i="1"/>
  <c r="F13" i="1"/>
  <c r="C11" i="1"/>
  <c r="C5" i="1"/>
  <c r="F12" i="1" l="1"/>
  <c r="F14" i="1" s="1"/>
  <c r="C12" i="1"/>
</calcChain>
</file>

<file path=xl/sharedStrings.xml><?xml version="1.0" encoding="utf-8"?>
<sst xmlns="http://schemas.openxmlformats.org/spreadsheetml/2006/main" count="24" uniqueCount="15">
  <si>
    <t>COSTOS Y GASTOS VIAJE FAMILIAR SANTA MARTA</t>
  </si>
  <si>
    <t>TIQUETE</t>
  </si>
  <si>
    <t>PASEO PLAYA BLANCA</t>
  </si>
  <si>
    <t>PASEO CHIVA RUMBERA</t>
  </si>
  <si>
    <t>SEGURO DE VIAJE</t>
  </si>
  <si>
    <t>PAREJA 17-20 MARZO 2024</t>
  </si>
  <si>
    <t>ALOJAMIENTO + DES + CENA</t>
  </si>
  <si>
    <t>TOTAL</t>
  </si>
  <si>
    <t>INGRESO</t>
  </si>
  <si>
    <t>UTILIDAD</t>
  </si>
  <si>
    <t xml:space="preserve">TRASLADO A/H/A </t>
  </si>
  <si>
    <t>FAMILIA 09-13 ABRIL 2024</t>
  </si>
  <si>
    <t>ALOJAMIENTO + DES + CENA+ALM</t>
  </si>
  <si>
    <t>PASEO A BURITACA</t>
  </si>
  <si>
    <t>GASTO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</si>
</sst>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3" xfId="0" applyFill="1" applyBorder="1"/>
    <xf numFmtId="44" fontId="0" fillId="0" borderId="0" xfId="1" applyFont="1"/>
    <xf numFmtId="0" fontId="0" fillId="0" borderId="5" xfId="0" applyFill="1" applyBorder="1"/>
    <xf numFmtId="44" fontId="0" fillId="0" borderId="4" xfId="1" applyFont="1" applyBorder="1"/>
    <xf numFmtId="0" fontId="0" fillId="0" borderId="6" xfId="0" applyFill="1" applyBorder="1"/>
    <xf numFmtId="0" fontId="0" fillId="0" borderId="4" xfId="0" applyBorder="1"/>
    <xf numFmtId="0" fontId="0" fillId="0" borderId="7" xfId="0" applyFill="1" applyBorder="1"/>
    <xf numFmtId="44" fontId="0" fillId="2" borderId="5" xfId="1" applyFont="1" applyFill="1" applyBorder="1"/>
    <xf numFmtId="44" fontId="0" fillId="4" borderId="7" xfId="1" applyFont="1" applyFill="1" applyBorder="1"/>
    <xf numFmtId="44" fontId="0" fillId="4" borderId="6" xfId="1" applyFont="1" applyFill="1" applyBorder="1"/>
    <xf numFmtId="44" fontId="0" fillId="3" borderId="6" xfId="1" applyFont="1" applyFill="1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8E0D-BD9C-41FD-A3C0-6144E914F7F1}">
  <dimension ref="B2:F14"/>
  <sheetViews>
    <sheetView tabSelected="1" workbookViewId="0">
      <selection activeCell="E13" sqref="E13"/>
    </sheetView>
  </sheetViews>
  <sheetFormatPr baseColWidth="10" defaultRowHeight="15" x14ac:dyDescent="0.25"/>
  <cols>
    <col min="2" max="2" width="27.42578125" customWidth="1"/>
    <col min="3" max="3" width="25.140625" style="4" customWidth="1"/>
    <col min="5" max="5" width="30.85546875" bestFit="1" customWidth="1"/>
    <col min="6" max="6" width="22" style="4" customWidth="1"/>
  </cols>
  <sheetData>
    <row r="2" spans="2:6" x14ac:dyDescent="0.25">
      <c r="B2" s="15" t="s">
        <v>5</v>
      </c>
      <c r="C2" s="15"/>
      <c r="E2" s="15" t="s">
        <v>11</v>
      </c>
      <c r="F2" s="15"/>
    </row>
    <row r="3" spans="2:6" x14ac:dyDescent="0.25">
      <c r="B3" s="14" t="s">
        <v>0</v>
      </c>
      <c r="C3" s="14"/>
      <c r="E3" s="14" t="s">
        <v>0</v>
      </c>
      <c r="F3" s="14"/>
    </row>
    <row r="4" spans="2:6" x14ac:dyDescent="0.25">
      <c r="B4" s="1" t="s">
        <v>1</v>
      </c>
      <c r="C4" s="2">
        <v>778200</v>
      </c>
      <c r="E4" s="1" t="s">
        <v>1</v>
      </c>
      <c r="F4" s="2">
        <v>1327800</v>
      </c>
    </row>
    <row r="5" spans="2:6" x14ac:dyDescent="0.25">
      <c r="B5" s="1" t="s">
        <v>6</v>
      </c>
      <c r="C5" s="2">
        <f>73000*2*3</f>
        <v>438000</v>
      </c>
      <c r="E5" s="1" t="s">
        <v>12</v>
      </c>
      <c r="F5" s="2">
        <v>3088000</v>
      </c>
    </row>
    <row r="6" spans="2:6" x14ac:dyDescent="0.25">
      <c r="B6" s="1" t="s">
        <v>2</v>
      </c>
      <c r="C6" s="2">
        <v>150000</v>
      </c>
      <c r="E6" s="1" t="s">
        <v>2</v>
      </c>
      <c r="F6" s="2">
        <f>75000*6</f>
        <v>450000</v>
      </c>
    </row>
    <row r="7" spans="2:6" x14ac:dyDescent="0.25">
      <c r="B7" s="1" t="s">
        <v>3</v>
      </c>
      <c r="C7" s="2">
        <v>40000</v>
      </c>
      <c r="E7" s="1" t="s">
        <v>3</v>
      </c>
      <c r="F7" s="2">
        <f>20000*6</f>
        <v>120000</v>
      </c>
    </row>
    <row r="8" spans="2:6" x14ac:dyDescent="0.25">
      <c r="B8" s="1" t="s">
        <v>4</v>
      </c>
      <c r="C8" s="2">
        <v>12000</v>
      </c>
      <c r="E8" s="1" t="s">
        <v>13</v>
      </c>
      <c r="F8" s="2">
        <f>100000*6</f>
        <v>600000</v>
      </c>
    </row>
    <row r="9" spans="2:6" ht="15.75" thickBot="1" x14ac:dyDescent="0.3">
      <c r="B9" s="3" t="s">
        <v>14</v>
      </c>
      <c r="C9" s="2">
        <v>31800</v>
      </c>
      <c r="E9" s="1" t="s">
        <v>4</v>
      </c>
      <c r="F9" s="2">
        <v>60000</v>
      </c>
    </row>
    <row r="10" spans="2:6" ht="15.75" thickBot="1" x14ac:dyDescent="0.3">
      <c r="B10" s="9" t="s">
        <v>7</v>
      </c>
      <c r="C10" s="13">
        <f>SUM(C4:C9)</f>
        <v>1450000</v>
      </c>
      <c r="E10" s="3" t="s">
        <v>14</v>
      </c>
      <c r="F10" s="2">
        <v>114200</v>
      </c>
    </row>
    <row r="11" spans="2:6" ht="15.75" thickBot="1" x14ac:dyDescent="0.3">
      <c r="B11" s="9" t="s">
        <v>8</v>
      </c>
      <c r="C11" s="11">
        <f>870000*2</f>
        <v>1740000</v>
      </c>
      <c r="E11" s="8" t="s">
        <v>10</v>
      </c>
      <c r="F11" s="6">
        <v>120000</v>
      </c>
    </row>
    <row r="12" spans="2:6" ht="15.75" thickBot="1" x14ac:dyDescent="0.3">
      <c r="B12" s="5" t="s">
        <v>9</v>
      </c>
      <c r="C12" s="10">
        <f>C11-C10</f>
        <v>290000</v>
      </c>
      <c r="E12" s="7" t="s">
        <v>7</v>
      </c>
      <c r="F12" s="13">
        <f>SUM(F4:F11)</f>
        <v>5880000</v>
      </c>
    </row>
    <row r="13" spans="2:6" ht="15.75" thickBot="1" x14ac:dyDescent="0.3">
      <c r="E13" s="7" t="s">
        <v>8</v>
      </c>
      <c r="F13" s="12">
        <f>1190000*6</f>
        <v>7140000</v>
      </c>
    </row>
    <row r="14" spans="2:6" x14ac:dyDescent="0.25">
      <c r="E14" s="5" t="s">
        <v>9</v>
      </c>
      <c r="F14" s="10">
        <f>F13-F12</f>
        <v>1260000</v>
      </c>
    </row>
  </sheetData>
  <mergeCells count="4">
    <mergeCell ref="B3:C3"/>
    <mergeCell ref="B2:C2"/>
    <mergeCell ref="E3:F3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2024-04-16T19:20:13Z</dcterms:created>
  <dcterms:modified xsi:type="dcterms:W3CDTF">2024-04-19T18:52:23Z</dcterms:modified>
</cp:coreProperties>
</file>