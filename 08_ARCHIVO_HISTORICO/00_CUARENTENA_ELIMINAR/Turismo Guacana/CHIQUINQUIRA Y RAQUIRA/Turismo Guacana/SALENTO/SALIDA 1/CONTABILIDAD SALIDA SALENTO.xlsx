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42321FCD-C7C6-4CC8-8C83-583D5AADCACB}" xr6:coauthVersionLast="47" xr6:coauthVersionMax="47" xr10:uidLastSave="{00000000-0000-0000-0000-000000000000}"/>
  <bookViews>
    <workbookView xWindow="-120" yWindow="-120" windowWidth="20730" windowHeight="11040" xr2:uid="{24087BFA-C018-4F88-B1A4-D001F800651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J9" i="2"/>
  <c r="J8" i="2"/>
  <c r="J5" i="2"/>
  <c r="J6" i="2"/>
  <c r="J7" i="2"/>
  <c r="J4" i="2"/>
  <c r="E6" i="2"/>
  <c r="E12" i="2"/>
  <c r="E14" i="2" s="1"/>
  <c r="G46" i="1"/>
  <c r="G39" i="1"/>
  <c r="G40" i="1"/>
  <c r="G41" i="1"/>
  <c r="G42" i="1"/>
  <c r="G38" i="1"/>
  <c r="G36" i="1"/>
  <c r="G35" i="1"/>
  <c r="G22" i="1"/>
  <c r="G23" i="1"/>
  <c r="G24" i="1"/>
  <c r="G25" i="1"/>
  <c r="G26" i="1"/>
  <c r="G27" i="1"/>
  <c r="G28" i="1"/>
  <c r="G29" i="1"/>
  <c r="G30" i="1"/>
  <c r="G31" i="1"/>
  <c r="G32" i="1"/>
  <c r="G33" i="1"/>
  <c r="G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47" i="1" s="1"/>
  <c r="F47" i="1"/>
  <c r="J10" i="2" l="1"/>
</calcChain>
</file>

<file path=xl/sharedStrings.xml><?xml version="1.0" encoding="utf-8"?>
<sst xmlns="http://schemas.openxmlformats.org/spreadsheetml/2006/main" count="166" uniqueCount="82">
  <si>
    <t>N°</t>
  </si>
  <si>
    <t>NOMBRE</t>
  </si>
  <si>
    <t>TIPO DE DOCUMENTO</t>
  </si>
  <si>
    <t>N° DE DOCUMENTO</t>
  </si>
  <si>
    <t>LUIS HERNANDO ROMERO</t>
  </si>
  <si>
    <t>C.C</t>
  </si>
  <si>
    <t>LUISA FERNANDA ROMERO</t>
  </si>
  <si>
    <t>T.I</t>
  </si>
  <si>
    <t>LAURA TATIANA PEÑA</t>
  </si>
  <si>
    <t>NICOLAS FELIPE CAMACHO</t>
  </si>
  <si>
    <t>MARTINA CAMACHO PEÑA</t>
  </si>
  <si>
    <t>R.C</t>
  </si>
  <si>
    <t>PATRICIA GARZON CASTILLO</t>
  </si>
  <si>
    <t>ERNESTO MARQUEZ</t>
  </si>
  <si>
    <t>JULIA ELEONOR SARMIENTO</t>
  </si>
  <si>
    <t>TATIANA DEL PILAR CANO ROSARIO</t>
  </si>
  <si>
    <t xml:space="preserve">GRACIELA GALINDO </t>
  </si>
  <si>
    <t>JOSÉ ANTONIO ORTIZ FORERO</t>
  </si>
  <si>
    <t>ANDREA ROMERO VARGAS</t>
  </si>
  <si>
    <t>LUIS ALEJANDRO CHARRY</t>
  </si>
  <si>
    <t>LUIS ALFONSO CANO TORO</t>
  </si>
  <si>
    <t>FABIOLA ROSARIO GARCIA</t>
  </si>
  <si>
    <t xml:space="preserve">CRISTIAN FERNANDO ROBAYO SANCHEZ </t>
  </si>
  <si>
    <t>KAREN YERALDINE GARCIA RAMIREZ</t>
  </si>
  <si>
    <t>EMMA SOFIA SERRANO GARCIA</t>
  </si>
  <si>
    <t>SARA LUCIA BERNAL VILLABON</t>
  </si>
  <si>
    <t>CRISTIAN CAMILO BERNAL MARTINEZ</t>
  </si>
  <si>
    <t>ANGELA BERRIO BOLIVAR</t>
  </si>
  <si>
    <t>ANGEL IBAN PARDO BERRIO</t>
  </si>
  <si>
    <t xml:space="preserve">BURKHARD HALLMANN </t>
  </si>
  <si>
    <t>C.E</t>
  </si>
  <si>
    <t>FRANCY ROMERO SANABRIA</t>
  </si>
  <si>
    <t>JACKELINE HERRERA DIAZ</t>
  </si>
  <si>
    <t xml:space="preserve">FERNANDO SALAS PICON </t>
  </si>
  <si>
    <t>DANIELA ALEJANDRA RUIZ</t>
  </si>
  <si>
    <t xml:space="preserve">JUAN DAVID CAMACHO FONSECA </t>
  </si>
  <si>
    <t>EMMANUEL CAMACHO RUIZ</t>
  </si>
  <si>
    <t xml:space="preserve">EMILIA CAMACHO RUIZ </t>
  </si>
  <si>
    <t>PAULA ALEJANDRA JIMENEZ RODRÍGUEZ</t>
  </si>
  <si>
    <t>VIVIAN LORENA VALENZUELA RODRÍGUEZ</t>
  </si>
  <si>
    <t>EMMANUEL PARRA JIMENEZ</t>
  </si>
  <si>
    <t>NURLY AMPARO PARRA</t>
  </si>
  <si>
    <t>SALOMÉ MATA PARRA</t>
  </si>
  <si>
    <t xml:space="preserve">ELSY LOPEZ ESCOBAR </t>
  </si>
  <si>
    <t>MARÍA TERESA SARMIENTO DE LOPEZ</t>
  </si>
  <si>
    <t>LUIS ALBERTO DUARTE MOLINA</t>
  </si>
  <si>
    <t>JOSÉ GABRIEL CABRERA PINZÓN</t>
  </si>
  <si>
    <t>MARÍA FERNANDA BENAVIDES</t>
  </si>
  <si>
    <t>ROCIO ELEONOR RODRíGUEZ SARMIENTO</t>
  </si>
  <si>
    <t xml:space="preserve">ALEXANDRA RODRíGUEZ </t>
  </si>
  <si>
    <t>SOFIA HALLMANN</t>
  </si>
  <si>
    <t>FERNANDO BENAVIDES DIÁZ</t>
  </si>
  <si>
    <t>VALOR</t>
  </si>
  <si>
    <t xml:space="preserve"> </t>
  </si>
  <si>
    <t>COSTOS SALIDA SALENTO</t>
  </si>
  <si>
    <t>SUJETO</t>
  </si>
  <si>
    <t>VALOR C/U</t>
  </si>
  <si>
    <t>CANTIDAD</t>
  </si>
  <si>
    <t>TOTAL</t>
  </si>
  <si>
    <t xml:space="preserve">OBSERVACIONES </t>
  </si>
  <si>
    <t>TRANSPORTE</t>
  </si>
  <si>
    <t>SEGURO DE VIAJE</t>
  </si>
  <si>
    <t>ALIMENTACIÓN</t>
  </si>
  <si>
    <t>TRANSPORTE INTERNO SALENTO VALLE DE COCORA</t>
  </si>
  <si>
    <t>INGRESO BIOPARQUE UKUMARI</t>
  </si>
  <si>
    <t xml:space="preserve">COMISIONES </t>
  </si>
  <si>
    <t xml:space="preserve">GASTOS DE REPRESENTACIÓN </t>
  </si>
  <si>
    <t>INGRESO VALLE DE COCORA</t>
  </si>
  <si>
    <t>INGRESO</t>
  </si>
  <si>
    <t>UTILIDAD</t>
  </si>
  <si>
    <t>COMISIÓN</t>
  </si>
  <si>
    <t>COMISIONADOS</t>
  </si>
  <si>
    <t>LAD</t>
  </si>
  <si>
    <t>EDITH</t>
  </si>
  <si>
    <t>TETE</t>
  </si>
  <si>
    <t>ALEJA</t>
  </si>
  <si>
    <t>DIANA</t>
  </si>
  <si>
    <t>MAFE</t>
  </si>
  <si>
    <t>COMISIONISTA</t>
  </si>
  <si>
    <t xml:space="preserve">TOTAL </t>
  </si>
  <si>
    <t>CANT.</t>
  </si>
  <si>
    <t>LUZ MIREYA RODRÍGUEZ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</si>
</sst>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3" fontId="0" fillId="0" borderId="3" xfId="0" applyNumberFormat="1" applyFill="1" applyBorder="1" applyAlignment="1">
      <alignment horizontal="center"/>
    </xf>
    <xf numFmtId="44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4" fontId="0" fillId="0" borderId="0" xfId="1" applyFont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/>
    <xf numFmtId="44" fontId="0" fillId="3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 wrapText="1"/>
    </xf>
    <xf numFmtId="44" fontId="0" fillId="0" borderId="4" xfId="0" applyNumberFormat="1" applyBorder="1" applyAlignment="1">
      <alignment horizontal="center"/>
    </xf>
    <xf numFmtId="44" fontId="0" fillId="0" borderId="0" xfId="0" applyNumberFormat="1"/>
    <xf numFmtId="44" fontId="0" fillId="0" borderId="0" xfId="0" applyNumberFormat="1" applyFont="1" applyBorder="1"/>
    <xf numFmtId="44" fontId="0" fillId="4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Moneda" xfId="1" builtinId="4"/>
    <cellStyle name="Normal" xfId="0" builtinId="0"/>
  </cellStyles>
  <dxfs count="24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164" formatCode="&quot;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7CEB1-EDC8-46B6-811F-F00990438381}" name="Tabla1" displayName="Tabla1" ref="B1:H47" totalsRowCount="1" headerRowDxfId="23" headerRowBorderDxfId="22" tableBorderDxfId="21" totalsRowBorderDxfId="20">
  <autoFilter ref="B1:H46" xr:uid="{1587CEB1-EDC8-46B6-811F-F00990438381}"/>
  <tableColumns count="7">
    <tableColumn id="1" xr3:uid="{0F44E47A-0DE1-4858-BF5E-7BE8890B2771}" name="N°" dataDxfId="19" totalsRowDxfId="6"/>
    <tableColumn id="2" xr3:uid="{42D16849-2970-4A90-9B77-F5F165279DBD}" name="NOMBRE" dataDxfId="18" totalsRowDxfId="5"/>
    <tableColumn id="3" xr3:uid="{B5C4BFA5-D2D2-465A-BA77-AB1B95755EEB}" name="TIPO DE DOCUMENTO" dataDxfId="17" totalsRowDxfId="4"/>
    <tableColumn id="4" xr3:uid="{FE3874D7-A087-4AFB-9903-3E9F2FE64972}" name="N° DE DOCUMENTO" dataDxfId="16" totalsRowDxfId="3"/>
    <tableColumn id="5" xr3:uid="{A26425AF-758C-4BBE-96B5-0169302E698D}" name="VALOR" totalsRowFunction="sum" totalsRowDxfId="2"/>
    <tableColumn id="6" xr3:uid="{C1D00BAB-840E-44E3-8812-404FFF44EF77}" name="COMISIÓN" totalsRowFunction="sum" totalsRowDxfId="1"/>
    <tableColumn id="7" xr3:uid="{273D9F1D-87B7-4FF2-8D00-529DE3BA469A}" name="COMISIONADOS" dataDxfId="15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51EC8-4315-4F7D-AF26-E969BF362E32}" name="Tabla33" displayName="Tabla33" ref="B3:F14" totalsRowShown="0" headerRowDxfId="14">
  <autoFilter ref="B3:F14" xr:uid="{5F651EC8-4315-4F7D-AF26-E969BF362E32}"/>
  <tableColumns count="5">
    <tableColumn id="1" xr3:uid="{AC4BC50A-3D5F-4D67-8BB8-2C98F25F3B6F}" name="SUJETO"/>
    <tableColumn id="2" xr3:uid="{39ED323F-A9C3-492B-B35B-2FDE3DD9EF57}" name="VALOR C/U" dataDxfId="13"/>
    <tableColumn id="3" xr3:uid="{5218B059-E841-49ED-951F-26CA9764EF7E}" name="CANTIDAD" dataDxfId="12">
      <calculatedColumnFormula>Tabla1[[#Totals],[VALOR]]</calculatedColumnFormula>
    </tableColumn>
    <tableColumn id="4" xr3:uid="{E30C8364-C665-4CD1-B377-CB4B68027ED4}" name="TOTAL" dataDxfId="11"/>
    <tableColumn id="5" xr3:uid="{BE0D94F1-9822-4FD0-BF33-8A7B1529DCCF}" name="OBSERVACION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D863A-351E-4A7B-BAA1-A99B8C37E11B}" name="Tabla4" displayName="Tabla4" ref="H3:J10" totalsRowShown="0" headerRowDxfId="10">
  <autoFilter ref="H3:J10" xr:uid="{58ED863A-351E-4A7B-BAA1-A99B8C37E11B}"/>
  <tableColumns count="3">
    <tableColumn id="1" xr3:uid="{EE9DD9AD-2039-489F-9241-896B8D3DD400}" name="NOMBRE" dataDxfId="9"/>
    <tableColumn id="2" xr3:uid="{E2B916CB-9452-42BB-AD1A-D0F425D5552A}" name="CANT." dataDxfId="8"/>
    <tableColumn id="3" xr3:uid="{2E89A3FC-E6CF-4CE5-9B3E-C84F7CECA993}" name="VALOR" dataDxfId="7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06B1-6D38-45D9-8BF8-41C6B5F82EBC}">
  <dimension ref="B1:H47"/>
  <sheetViews>
    <sheetView tabSelected="1" topLeftCell="A22" workbookViewId="0">
      <selection activeCell="C38" sqref="C38:E38"/>
    </sheetView>
  </sheetViews>
  <sheetFormatPr baseColWidth="10" defaultRowHeight="15" x14ac:dyDescent="0.25"/>
  <cols>
    <col min="2" max="2" width="7.7109375" bestFit="1" customWidth="1"/>
    <col min="3" max="3" width="38" bestFit="1" customWidth="1"/>
    <col min="4" max="4" width="25" bestFit="1" customWidth="1"/>
    <col min="5" max="5" width="23" bestFit="1" customWidth="1"/>
    <col min="6" max="6" width="14.5703125" bestFit="1" customWidth="1"/>
    <col min="7" max="7" width="15" bestFit="1" customWidth="1"/>
    <col min="8" max="8" width="20" style="9" bestFit="1" customWidth="1"/>
  </cols>
  <sheetData>
    <row r="1" spans="2:8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52</v>
      </c>
      <c r="G1" s="4" t="s">
        <v>70</v>
      </c>
      <c r="H1" s="4" t="s">
        <v>71</v>
      </c>
    </row>
    <row r="2" spans="2:8" x14ac:dyDescent="0.25">
      <c r="B2" s="2">
        <v>1</v>
      </c>
      <c r="C2" s="1" t="s">
        <v>4</v>
      </c>
      <c r="D2" s="2" t="s">
        <v>5</v>
      </c>
      <c r="E2" s="3">
        <v>11459254</v>
      </c>
      <c r="F2" s="8">
        <v>188000</v>
      </c>
      <c r="G2" s="22">
        <f>Tabla1[[#This Row],[VALOR]]-15000</f>
        <v>173000</v>
      </c>
      <c r="H2" s="9" t="s">
        <v>72</v>
      </c>
    </row>
    <row r="3" spans="2:8" x14ac:dyDescent="0.25">
      <c r="B3" s="2">
        <v>2</v>
      </c>
      <c r="C3" s="1" t="s">
        <v>6</v>
      </c>
      <c r="D3" s="2" t="s">
        <v>7</v>
      </c>
      <c r="E3" s="3">
        <v>1031655167</v>
      </c>
      <c r="F3" s="8">
        <v>188000</v>
      </c>
      <c r="G3" s="22">
        <f>Tabla1[[#This Row],[VALOR]]-15000</f>
        <v>173000</v>
      </c>
      <c r="H3" s="9" t="s">
        <v>72</v>
      </c>
    </row>
    <row r="4" spans="2:8" x14ac:dyDescent="0.25">
      <c r="B4" s="2">
        <v>3</v>
      </c>
      <c r="C4" s="1" t="s">
        <v>8</v>
      </c>
      <c r="D4" s="2" t="s">
        <v>5</v>
      </c>
      <c r="E4" s="3">
        <v>1073630408</v>
      </c>
      <c r="F4" s="8">
        <v>188000</v>
      </c>
      <c r="G4" s="22">
        <f>Tabla1[[#This Row],[VALOR]]-15000</f>
        <v>173000</v>
      </c>
      <c r="H4" s="9" t="s">
        <v>72</v>
      </c>
    </row>
    <row r="5" spans="2:8" x14ac:dyDescent="0.25">
      <c r="B5" s="2">
        <v>4</v>
      </c>
      <c r="C5" s="1" t="s">
        <v>9</v>
      </c>
      <c r="D5" s="2" t="s">
        <v>5</v>
      </c>
      <c r="E5" s="3">
        <v>1003706350</v>
      </c>
      <c r="F5" s="8">
        <v>188000</v>
      </c>
      <c r="G5" s="22">
        <f>Tabla1[[#This Row],[VALOR]]-15000</f>
        <v>173000</v>
      </c>
      <c r="H5" s="9" t="s">
        <v>72</v>
      </c>
    </row>
    <row r="6" spans="2:8" x14ac:dyDescent="0.25">
      <c r="B6" s="2">
        <v>5</v>
      </c>
      <c r="C6" s="1" t="s">
        <v>10</v>
      </c>
      <c r="D6" s="2" t="s">
        <v>11</v>
      </c>
      <c r="E6" s="3">
        <v>1073630450</v>
      </c>
      <c r="F6" s="8">
        <v>188000</v>
      </c>
      <c r="G6" s="22">
        <f>Tabla1[[#This Row],[VALOR]]-15000</f>
        <v>173000</v>
      </c>
      <c r="H6" s="9" t="s">
        <v>72</v>
      </c>
    </row>
    <row r="7" spans="2:8" x14ac:dyDescent="0.25">
      <c r="B7" s="2">
        <v>6</v>
      </c>
      <c r="C7" s="1" t="s">
        <v>12</v>
      </c>
      <c r="D7" s="2" t="s">
        <v>5</v>
      </c>
      <c r="E7" s="3">
        <v>41770474</v>
      </c>
      <c r="F7" s="8">
        <v>188000</v>
      </c>
      <c r="G7" s="22">
        <f>Tabla1[[#This Row],[VALOR]]-15000</f>
        <v>173000</v>
      </c>
      <c r="H7" s="9" t="s">
        <v>72</v>
      </c>
    </row>
    <row r="8" spans="2:8" x14ac:dyDescent="0.25">
      <c r="B8" s="2">
        <v>7</v>
      </c>
      <c r="C8" s="1" t="s">
        <v>13</v>
      </c>
      <c r="D8" s="2" t="s">
        <v>5</v>
      </c>
      <c r="E8" s="3">
        <v>17192569</v>
      </c>
      <c r="F8" s="8">
        <v>188000</v>
      </c>
      <c r="G8" s="22">
        <f>Tabla1[[#This Row],[VALOR]]-15000</f>
        <v>173000</v>
      </c>
      <c r="H8" s="9" t="s">
        <v>72</v>
      </c>
    </row>
    <row r="9" spans="2:8" x14ac:dyDescent="0.25">
      <c r="B9" s="2">
        <v>8</v>
      </c>
      <c r="C9" s="1" t="s">
        <v>14</v>
      </c>
      <c r="D9" s="2" t="s">
        <v>5</v>
      </c>
      <c r="E9" s="3">
        <v>2087170717</v>
      </c>
      <c r="F9" s="8">
        <v>188000</v>
      </c>
      <c r="G9" s="22">
        <f>Tabla1[[#This Row],[VALOR]]-15000</f>
        <v>173000</v>
      </c>
      <c r="H9" s="9" t="s">
        <v>73</v>
      </c>
    </row>
    <row r="10" spans="2:8" x14ac:dyDescent="0.25">
      <c r="B10" s="2">
        <v>9</v>
      </c>
      <c r="C10" s="1" t="s">
        <v>15</v>
      </c>
      <c r="D10" s="2" t="s">
        <v>5</v>
      </c>
      <c r="E10" s="3">
        <v>1003672963</v>
      </c>
      <c r="F10" s="8">
        <v>188000</v>
      </c>
      <c r="G10" s="22">
        <f>Tabla1[[#This Row],[VALOR]]-15000</f>
        <v>173000</v>
      </c>
      <c r="H10" s="9" t="s">
        <v>74</v>
      </c>
    </row>
    <row r="11" spans="2:8" x14ac:dyDescent="0.25">
      <c r="B11" s="2">
        <v>10</v>
      </c>
      <c r="C11" s="1" t="s">
        <v>16</v>
      </c>
      <c r="D11" s="2" t="s">
        <v>5</v>
      </c>
      <c r="E11" s="3">
        <v>20871139</v>
      </c>
      <c r="F11" s="8">
        <v>188000</v>
      </c>
      <c r="G11" s="22">
        <f>Tabla1[[#This Row],[VALOR]]-15000</f>
        <v>173000</v>
      </c>
      <c r="H11" s="9" t="s">
        <v>74</v>
      </c>
    </row>
    <row r="12" spans="2:8" x14ac:dyDescent="0.25">
      <c r="B12" s="2">
        <v>11</v>
      </c>
      <c r="C12" s="1" t="s">
        <v>17</v>
      </c>
      <c r="D12" s="2" t="s">
        <v>5</v>
      </c>
      <c r="E12" s="3">
        <v>3149177</v>
      </c>
      <c r="F12" s="8">
        <v>188000</v>
      </c>
      <c r="G12" s="22">
        <f>Tabla1[[#This Row],[VALOR]]-15000</f>
        <v>173000</v>
      </c>
      <c r="H12" s="9" t="s">
        <v>74</v>
      </c>
    </row>
    <row r="13" spans="2:8" x14ac:dyDescent="0.25">
      <c r="B13" s="2">
        <v>12</v>
      </c>
      <c r="C13" s="1" t="s">
        <v>18</v>
      </c>
      <c r="D13" s="2" t="s">
        <v>5</v>
      </c>
      <c r="E13" s="3">
        <v>1072962866</v>
      </c>
      <c r="F13" s="8">
        <v>188000</v>
      </c>
      <c r="G13" s="22">
        <f>Tabla1[[#This Row],[VALOR]]-15000</f>
        <v>173000</v>
      </c>
      <c r="H13" s="9" t="s">
        <v>75</v>
      </c>
    </row>
    <row r="14" spans="2:8" x14ac:dyDescent="0.25">
      <c r="B14" s="2">
        <v>13</v>
      </c>
      <c r="C14" s="1" t="s">
        <v>19</v>
      </c>
      <c r="D14" s="2" t="s">
        <v>5</v>
      </c>
      <c r="E14" s="3">
        <v>1075627733</v>
      </c>
      <c r="F14" s="8">
        <v>188000</v>
      </c>
      <c r="G14" s="22">
        <f>Tabla1[[#This Row],[VALOR]]-15000</f>
        <v>173000</v>
      </c>
      <c r="H14" s="9" t="s">
        <v>75</v>
      </c>
    </row>
    <row r="15" spans="2:8" x14ac:dyDescent="0.25">
      <c r="B15" s="2">
        <v>14</v>
      </c>
      <c r="C15" s="1" t="s">
        <v>20</v>
      </c>
      <c r="D15" s="2" t="s">
        <v>5</v>
      </c>
      <c r="E15" s="3">
        <v>179539</v>
      </c>
      <c r="F15" s="8">
        <v>188000</v>
      </c>
      <c r="G15" s="22">
        <f>Tabla1[[#This Row],[VALOR]]-15000</f>
        <v>173000</v>
      </c>
      <c r="H15" s="9" t="s">
        <v>74</v>
      </c>
    </row>
    <row r="16" spans="2:8" x14ac:dyDescent="0.25">
      <c r="B16" s="2">
        <v>15</v>
      </c>
      <c r="C16" s="1" t="s">
        <v>21</v>
      </c>
      <c r="D16" s="2" t="s">
        <v>5</v>
      </c>
      <c r="E16" s="3">
        <v>20871476</v>
      </c>
      <c r="F16" s="8">
        <v>188000</v>
      </c>
      <c r="G16" s="22">
        <f>Tabla1[[#This Row],[VALOR]]-15000</f>
        <v>173000</v>
      </c>
      <c r="H16" s="9" t="s">
        <v>74</v>
      </c>
    </row>
    <row r="17" spans="2:8" x14ac:dyDescent="0.25">
      <c r="B17" s="2">
        <v>16</v>
      </c>
      <c r="C17" s="1" t="s">
        <v>22</v>
      </c>
      <c r="D17" s="2" t="s">
        <v>5</v>
      </c>
      <c r="E17" s="3">
        <v>1070956337</v>
      </c>
      <c r="F17" s="8">
        <v>188000</v>
      </c>
      <c r="G17" s="22">
        <f>Tabla1[[#This Row],[VALOR]]-15000</f>
        <v>173000</v>
      </c>
      <c r="H17" s="9" t="s">
        <v>74</v>
      </c>
    </row>
    <row r="18" spans="2:8" x14ac:dyDescent="0.25">
      <c r="B18" s="2">
        <v>17</v>
      </c>
      <c r="C18" s="1" t="s">
        <v>23</v>
      </c>
      <c r="D18" s="2" t="s">
        <v>5</v>
      </c>
      <c r="E18" s="3">
        <v>1073630485</v>
      </c>
      <c r="F18" s="8">
        <v>188000</v>
      </c>
      <c r="G18" s="22">
        <f>Tabla1[[#This Row],[VALOR]]-15000</f>
        <v>173000</v>
      </c>
      <c r="H18" s="9" t="s">
        <v>74</v>
      </c>
    </row>
    <row r="19" spans="2:8" x14ac:dyDescent="0.25">
      <c r="B19" s="2">
        <v>18</v>
      </c>
      <c r="C19" s="1" t="s">
        <v>24</v>
      </c>
      <c r="D19" s="2" t="s">
        <v>7</v>
      </c>
      <c r="E19" s="3">
        <v>1073630732</v>
      </c>
      <c r="F19" s="8">
        <v>80000</v>
      </c>
      <c r="G19" s="8">
        <v>80000</v>
      </c>
    </row>
    <row r="20" spans="2:8" x14ac:dyDescent="0.25">
      <c r="B20" s="2">
        <v>19</v>
      </c>
      <c r="C20" s="1" t="s">
        <v>25</v>
      </c>
      <c r="D20" s="2" t="s">
        <v>11</v>
      </c>
      <c r="E20" s="3">
        <v>1073630555</v>
      </c>
      <c r="F20" s="8">
        <v>65000</v>
      </c>
      <c r="G20" s="8">
        <v>65000</v>
      </c>
    </row>
    <row r="21" spans="2:8" x14ac:dyDescent="0.25">
      <c r="B21" s="2">
        <v>20</v>
      </c>
      <c r="C21" s="1" t="s">
        <v>26</v>
      </c>
      <c r="D21" s="2" t="s">
        <v>5</v>
      </c>
      <c r="E21" s="3">
        <v>1073629922</v>
      </c>
      <c r="F21" s="8">
        <v>188000</v>
      </c>
      <c r="G21" s="22">
        <f>Tabla1[[#This Row],[VALOR]]-15000</f>
        <v>173000</v>
      </c>
      <c r="H21" s="9" t="s">
        <v>74</v>
      </c>
    </row>
    <row r="22" spans="2:8" x14ac:dyDescent="0.25">
      <c r="B22" s="2">
        <v>21</v>
      </c>
      <c r="C22" s="1" t="s">
        <v>27</v>
      </c>
      <c r="D22" s="2" t="s">
        <v>5</v>
      </c>
      <c r="E22" s="3">
        <v>20358836</v>
      </c>
      <c r="F22" s="8">
        <v>188000</v>
      </c>
      <c r="G22" s="22">
        <f>Tabla1[[#This Row],[VALOR]]-15000</f>
        <v>173000</v>
      </c>
      <c r="H22" s="9" t="s">
        <v>74</v>
      </c>
    </row>
    <row r="23" spans="2:8" x14ac:dyDescent="0.25">
      <c r="B23" s="2">
        <v>22</v>
      </c>
      <c r="C23" s="1" t="s">
        <v>28</v>
      </c>
      <c r="D23" s="2" t="s">
        <v>7</v>
      </c>
      <c r="E23" s="3">
        <v>1072961183</v>
      </c>
      <c r="F23" s="8">
        <v>188000</v>
      </c>
      <c r="G23" s="22">
        <f>Tabla1[[#This Row],[VALOR]]-15000</f>
        <v>173000</v>
      </c>
      <c r="H23" s="9" t="s">
        <v>74</v>
      </c>
    </row>
    <row r="24" spans="2:8" x14ac:dyDescent="0.25">
      <c r="B24" s="2">
        <v>23</v>
      </c>
      <c r="C24" s="1" t="s">
        <v>29</v>
      </c>
      <c r="D24" s="2" t="s">
        <v>30</v>
      </c>
      <c r="E24" s="3">
        <v>422419</v>
      </c>
      <c r="F24" s="8">
        <v>188000</v>
      </c>
      <c r="G24" s="22">
        <f>Tabla1[[#This Row],[VALOR]]-15000</f>
        <v>173000</v>
      </c>
      <c r="H24" s="9" t="s">
        <v>72</v>
      </c>
    </row>
    <row r="25" spans="2:8" x14ac:dyDescent="0.25">
      <c r="B25" s="2">
        <v>24</v>
      </c>
      <c r="C25" s="1" t="s">
        <v>49</v>
      </c>
      <c r="D25" s="2" t="s">
        <v>5</v>
      </c>
      <c r="E25" s="3">
        <v>52323528</v>
      </c>
      <c r="F25" s="8">
        <v>188000</v>
      </c>
      <c r="G25" s="22">
        <f>Tabla1[[#This Row],[VALOR]]-15000</f>
        <v>173000</v>
      </c>
      <c r="H25" s="9" t="s">
        <v>72</v>
      </c>
    </row>
    <row r="26" spans="2:8" x14ac:dyDescent="0.25">
      <c r="B26" s="2">
        <v>25</v>
      </c>
      <c r="C26" s="1" t="s">
        <v>50</v>
      </c>
      <c r="D26" s="2" t="s">
        <v>7</v>
      </c>
      <c r="E26" s="3">
        <v>1032800380</v>
      </c>
      <c r="F26" s="8">
        <v>188000</v>
      </c>
      <c r="G26" s="22">
        <f>Tabla1[[#This Row],[VALOR]]-15000</f>
        <v>173000</v>
      </c>
      <c r="H26" s="9" t="s">
        <v>72</v>
      </c>
    </row>
    <row r="27" spans="2:8" x14ac:dyDescent="0.25">
      <c r="B27" s="2">
        <v>26</v>
      </c>
      <c r="C27" s="1" t="s">
        <v>31</v>
      </c>
      <c r="D27" s="2" t="s">
        <v>5</v>
      </c>
      <c r="E27" s="3">
        <v>20871590</v>
      </c>
      <c r="F27" s="8">
        <v>188000</v>
      </c>
      <c r="G27" s="22">
        <f>Tabla1[[#This Row],[VALOR]]-15000</f>
        <v>173000</v>
      </c>
      <c r="H27" s="9" t="s">
        <v>73</v>
      </c>
    </row>
    <row r="28" spans="2:8" x14ac:dyDescent="0.25">
      <c r="B28" s="2">
        <v>27</v>
      </c>
      <c r="C28" s="1" t="s">
        <v>32</v>
      </c>
      <c r="D28" s="2" t="s">
        <v>5</v>
      </c>
      <c r="E28" s="3">
        <v>20872307</v>
      </c>
      <c r="F28" s="8">
        <v>188000</v>
      </c>
      <c r="G28" s="22">
        <f>Tabla1[[#This Row],[VALOR]]-15000</f>
        <v>173000</v>
      </c>
      <c r="H28" s="9" t="s">
        <v>73</v>
      </c>
    </row>
    <row r="29" spans="2:8" x14ac:dyDescent="0.25">
      <c r="B29" s="2">
        <v>28</v>
      </c>
      <c r="C29" s="1" t="s">
        <v>48</v>
      </c>
      <c r="D29" s="2" t="s">
        <v>5</v>
      </c>
      <c r="E29" s="3">
        <v>52158314</v>
      </c>
      <c r="F29" s="8">
        <v>188000</v>
      </c>
      <c r="G29" s="22">
        <f>Tabla1[[#This Row],[VALOR]]-15000</f>
        <v>173000</v>
      </c>
      <c r="H29" s="9" t="s">
        <v>73</v>
      </c>
    </row>
    <row r="30" spans="2:8" x14ac:dyDescent="0.25">
      <c r="B30" s="2">
        <v>29</v>
      </c>
      <c r="C30" s="1" t="s">
        <v>33</v>
      </c>
      <c r="D30" s="2" t="s">
        <v>5</v>
      </c>
      <c r="E30" s="3">
        <v>88245986</v>
      </c>
      <c r="F30" s="8">
        <v>188000</v>
      </c>
      <c r="G30" s="22">
        <f>Tabla1[[#This Row],[VALOR]]-15000</f>
        <v>173000</v>
      </c>
      <c r="H30" s="9" t="s">
        <v>73</v>
      </c>
    </row>
    <row r="31" spans="2:8" x14ac:dyDescent="0.25">
      <c r="B31" s="2">
        <v>30</v>
      </c>
      <c r="C31" s="1" t="s">
        <v>34</v>
      </c>
      <c r="D31" s="2" t="s">
        <v>5</v>
      </c>
      <c r="E31" s="3">
        <v>1110553068</v>
      </c>
      <c r="F31" s="8">
        <v>188000</v>
      </c>
      <c r="G31" s="22">
        <f>Tabla1[[#This Row],[VALOR]]-15000</f>
        <v>173000</v>
      </c>
      <c r="H31" s="9" t="s">
        <v>73</v>
      </c>
    </row>
    <row r="32" spans="2:8" x14ac:dyDescent="0.25">
      <c r="B32" s="2">
        <v>31</v>
      </c>
      <c r="C32" s="1" t="s">
        <v>35</v>
      </c>
      <c r="D32" s="2" t="s">
        <v>5</v>
      </c>
      <c r="E32" s="3">
        <v>1022410331</v>
      </c>
      <c r="F32" s="8">
        <v>188000</v>
      </c>
      <c r="G32" s="22">
        <f>Tabla1[[#This Row],[VALOR]]-15000</f>
        <v>173000</v>
      </c>
      <c r="H32" s="9" t="s">
        <v>73</v>
      </c>
    </row>
    <row r="33" spans="2:8" x14ac:dyDescent="0.25">
      <c r="B33" s="2">
        <v>32</v>
      </c>
      <c r="C33" s="1" t="s">
        <v>36</v>
      </c>
      <c r="D33" s="2" t="s">
        <v>7</v>
      </c>
      <c r="E33" s="3">
        <v>1010845495</v>
      </c>
      <c r="F33" s="8">
        <v>188000</v>
      </c>
      <c r="G33" s="22">
        <f>Tabla1[[#This Row],[VALOR]]-15000</f>
        <v>173000</v>
      </c>
      <c r="H33" s="9" t="s">
        <v>73</v>
      </c>
    </row>
    <row r="34" spans="2:8" x14ac:dyDescent="0.25">
      <c r="B34" s="2">
        <v>33</v>
      </c>
      <c r="C34" s="1" t="s">
        <v>37</v>
      </c>
      <c r="D34" s="2" t="s">
        <v>11</v>
      </c>
      <c r="E34" s="3">
        <v>1073630718</v>
      </c>
      <c r="F34" s="8">
        <v>15000</v>
      </c>
      <c r="G34" s="8">
        <v>15000</v>
      </c>
    </row>
    <row r="35" spans="2:8" x14ac:dyDescent="0.25">
      <c r="B35" s="2">
        <v>34</v>
      </c>
      <c r="C35" s="1" t="s">
        <v>38</v>
      </c>
      <c r="D35" s="2" t="s">
        <v>5</v>
      </c>
      <c r="E35" s="3">
        <v>1007705375</v>
      </c>
      <c r="F35" s="8">
        <v>188000</v>
      </c>
      <c r="G35" s="22">
        <f>Tabla1[[#This Row],[VALOR]]-15000</f>
        <v>173000</v>
      </c>
      <c r="H35" s="9" t="s">
        <v>73</v>
      </c>
    </row>
    <row r="36" spans="2:8" x14ac:dyDescent="0.25">
      <c r="B36" s="2">
        <v>35</v>
      </c>
      <c r="C36" s="1" t="s">
        <v>39</v>
      </c>
      <c r="D36" s="2" t="s">
        <v>5</v>
      </c>
      <c r="E36" s="3">
        <v>1011099839</v>
      </c>
      <c r="F36" s="8">
        <v>188000</v>
      </c>
      <c r="G36" s="22">
        <f>Tabla1[[#This Row],[VALOR]]-15000</f>
        <v>173000</v>
      </c>
      <c r="H36" s="9" t="s">
        <v>73</v>
      </c>
    </row>
    <row r="37" spans="2:8" x14ac:dyDescent="0.25">
      <c r="B37" s="2">
        <v>36</v>
      </c>
      <c r="C37" s="1" t="s">
        <v>40</v>
      </c>
      <c r="D37" s="2" t="s">
        <v>11</v>
      </c>
      <c r="E37" s="3">
        <v>1073630901</v>
      </c>
      <c r="F37" s="8">
        <v>43000</v>
      </c>
      <c r="G37" s="8">
        <v>43000</v>
      </c>
    </row>
    <row r="38" spans="2:8" x14ac:dyDescent="0.25">
      <c r="B38" s="2">
        <v>37</v>
      </c>
      <c r="C38" s="1" t="s">
        <v>81</v>
      </c>
      <c r="D38" s="2" t="s">
        <v>5</v>
      </c>
      <c r="E38" s="3">
        <v>41792549</v>
      </c>
      <c r="F38" s="8">
        <v>188000</v>
      </c>
      <c r="G38" s="22">
        <f>Tabla1[[#This Row],[VALOR]]-15000</f>
        <v>173000</v>
      </c>
      <c r="H38" s="9" t="s">
        <v>76</v>
      </c>
    </row>
    <row r="39" spans="2:8" x14ac:dyDescent="0.25">
      <c r="B39" s="2">
        <v>38</v>
      </c>
      <c r="C39" s="1" t="s">
        <v>41</v>
      </c>
      <c r="D39" s="2" t="s">
        <v>5</v>
      </c>
      <c r="E39" s="3">
        <v>20872071</v>
      </c>
      <c r="F39" s="8">
        <v>188000</v>
      </c>
      <c r="G39" s="22">
        <f>Tabla1[[#This Row],[VALOR]]-15000</f>
        <v>173000</v>
      </c>
      <c r="H39" s="9" t="s">
        <v>73</v>
      </c>
    </row>
    <row r="40" spans="2:8" x14ac:dyDescent="0.25">
      <c r="B40" s="2">
        <v>39</v>
      </c>
      <c r="C40" s="1" t="s">
        <v>42</v>
      </c>
      <c r="D40" s="2" t="s">
        <v>7</v>
      </c>
      <c r="E40" s="3">
        <v>1073629747</v>
      </c>
      <c r="F40" s="8">
        <v>188000</v>
      </c>
      <c r="G40" s="22">
        <f>Tabla1[[#This Row],[VALOR]]-15000</f>
        <v>173000</v>
      </c>
      <c r="H40" s="9" t="s">
        <v>73</v>
      </c>
    </row>
    <row r="41" spans="2:8" x14ac:dyDescent="0.25">
      <c r="B41" s="2">
        <v>40</v>
      </c>
      <c r="C41" s="1" t="s">
        <v>43</v>
      </c>
      <c r="D41" s="2" t="s">
        <v>5</v>
      </c>
      <c r="E41" s="3">
        <v>52231833</v>
      </c>
      <c r="F41" s="8">
        <v>188000</v>
      </c>
      <c r="G41" s="22">
        <f>Tabla1[[#This Row],[VALOR]]-15000</f>
        <v>173000</v>
      </c>
      <c r="H41" s="9" t="s">
        <v>72</v>
      </c>
    </row>
    <row r="42" spans="2:8" x14ac:dyDescent="0.25">
      <c r="B42" s="2">
        <v>41</v>
      </c>
      <c r="C42" s="1" t="s">
        <v>44</v>
      </c>
      <c r="D42" s="2" t="s">
        <v>5</v>
      </c>
      <c r="E42" s="3">
        <v>20870854</v>
      </c>
      <c r="F42" s="8">
        <v>188000</v>
      </c>
      <c r="G42" s="22">
        <f>Tabla1[[#This Row],[VALOR]]-15000</f>
        <v>173000</v>
      </c>
      <c r="H42" s="9" t="s">
        <v>73</v>
      </c>
    </row>
    <row r="43" spans="2:8" x14ac:dyDescent="0.25">
      <c r="B43" s="2">
        <v>42</v>
      </c>
      <c r="C43" s="1" t="s">
        <v>45</v>
      </c>
      <c r="D43" s="2" t="s">
        <v>5</v>
      </c>
      <c r="E43" s="3">
        <v>79538678</v>
      </c>
      <c r="F43">
        <v>0</v>
      </c>
    </row>
    <row r="44" spans="2:8" x14ac:dyDescent="0.25">
      <c r="B44" s="2">
        <v>43</v>
      </c>
      <c r="C44" s="1" t="s">
        <v>46</v>
      </c>
      <c r="D44" s="2" t="s">
        <v>5</v>
      </c>
      <c r="E44" s="3">
        <v>79656808</v>
      </c>
      <c r="F44">
        <v>0</v>
      </c>
    </row>
    <row r="45" spans="2:8" x14ac:dyDescent="0.25">
      <c r="B45" s="5">
        <v>44</v>
      </c>
      <c r="C45" s="6" t="s">
        <v>47</v>
      </c>
      <c r="D45" s="5" t="s">
        <v>5</v>
      </c>
      <c r="E45" s="7">
        <v>1075628177</v>
      </c>
      <c r="F45">
        <v>0</v>
      </c>
      <c r="G45" t="s">
        <v>53</v>
      </c>
    </row>
    <row r="46" spans="2:8" x14ac:dyDescent="0.25">
      <c r="B46" s="5">
        <v>45</v>
      </c>
      <c r="C46" s="6" t="s">
        <v>51</v>
      </c>
      <c r="D46" s="5" t="s">
        <v>5</v>
      </c>
      <c r="E46" s="7">
        <v>19379613</v>
      </c>
      <c r="F46" s="8">
        <v>188000</v>
      </c>
      <c r="G46" s="22">
        <f>Tabla1[[#This Row],[VALOR]]-15000</f>
        <v>173000</v>
      </c>
      <c r="H46" s="9" t="s">
        <v>77</v>
      </c>
    </row>
    <row r="47" spans="2:8" x14ac:dyDescent="0.25">
      <c r="B47" s="5"/>
      <c r="C47" s="6"/>
      <c r="D47" s="5"/>
      <c r="E47" s="7"/>
      <c r="F47" s="23">
        <f>SUBTOTAL(109,Tabla1[VALOR])</f>
        <v>7347000</v>
      </c>
      <c r="G47" s="23">
        <f>SUBTOTAL(109,Tabla1[COMISIÓN])</f>
        <v>6777000</v>
      </c>
      <c r="H47" s="25"/>
    </row>
  </sheetData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6145-E322-45B8-BA0F-9911DF047809}">
  <dimension ref="B2:J14"/>
  <sheetViews>
    <sheetView workbookViewId="0">
      <selection activeCell="K8" sqref="K8"/>
    </sheetView>
  </sheetViews>
  <sheetFormatPr baseColWidth="10" defaultRowHeight="15" x14ac:dyDescent="0.25"/>
  <cols>
    <col min="2" max="2" width="29" bestFit="1" customWidth="1"/>
    <col min="3" max="3" width="15.42578125" bestFit="1" customWidth="1"/>
    <col min="4" max="4" width="14.85546875" bestFit="1" customWidth="1"/>
    <col min="5" max="5" width="13.85546875" bestFit="1" customWidth="1"/>
    <col min="6" max="6" width="21" bestFit="1" customWidth="1"/>
    <col min="8" max="9" width="11.42578125" style="9"/>
    <col min="10" max="10" width="14.5703125" style="9" bestFit="1" customWidth="1"/>
  </cols>
  <sheetData>
    <row r="2" spans="2:10" x14ac:dyDescent="0.25">
      <c r="B2" s="28" t="s">
        <v>54</v>
      </c>
      <c r="C2" s="29"/>
      <c r="D2" s="29"/>
      <c r="E2" s="29"/>
      <c r="F2" s="30"/>
      <c r="H2" s="28" t="s">
        <v>78</v>
      </c>
      <c r="I2" s="29"/>
      <c r="J2" s="30"/>
    </row>
    <row r="3" spans="2:10" x14ac:dyDescent="0.25"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  <c r="H3" s="9" t="s">
        <v>1</v>
      </c>
      <c r="I3" s="9" t="s">
        <v>80</v>
      </c>
      <c r="J3" s="9" t="s">
        <v>52</v>
      </c>
    </row>
    <row r="4" spans="2:10" x14ac:dyDescent="0.25">
      <c r="B4" t="s">
        <v>60</v>
      </c>
      <c r="C4" s="10"/>
      <c r="D4" s="19"/>
      <c r="E4" s="10">
        <v>2400000</v>
      </c>
      <c r="H4" s="26" t="s">
        <v>72</v>
      </c>
      <c r="I4" s="9">
        <v>11</v>
      </c>
      <c r="J4" s="13">
        <f>I4*15000</f>
        <v>165000</v>
      </c>
    </row>
    <row r="5" spans="2:10" x14ac:dyDescent="0.25">
      <c r="B5" t="s">
        <v>61</v>
      </c>
      <c r="C5" s="10"/>
      <c r="D5" s="19"/>
      <c r="E5" s="10">
        <v>90000</v>
      </c>
      <c r="H5" s="26" t="s">
        <v>74</v>
      </c>
      <c r="I5" s="9">
        <v>10</v>
      </c>
      <c r="J5" s="13">
        <f t="shared" ref="J5:J9" si="0">I5*15000</f>
        <v>150000</v>
      </c>
    </row>
    <row r="6" spans="2:10" x14ac:dyDescent="0.25">
      <c r="B6" t="s">
        <v>62</v>
      </c>
      <c r="C6" s="10"/>
      <c r="D6" s="19"/>
      <c r="E6" s="10">
        <f>896000-63000</f>
        <v>833000</v>
      </c>
      <c r="H6" s="26" t="s">
        <v>73</v>
      </c>
      <c r="I6" s="9">
        <v>13</v>
      </c>
      <c r="J6" s="13">
        <f t="shared" si="0"/>
        <v>195000</v>
      </c>
    </row>
    <row r="7" spans="2:10" ht="30" x14ac:dyDescent="0.25">
      <c r="B7" s="11" t="s">
        <v>63</v>
      </c>
      <c r="C7" s="12"/>
      <c r="D7" s="20"/>
      <c r="E7" s="12">
        <v>850000</v>
      </c>
      <c r="F7" s="11"/>
      <c r="H7" s="26" t="s">
        <v>77</v>
      </c>
      <c r="I7" s="9">
        <v>1</v>
      </c>
      <c r="J7" s="13">
        <f t="shared" si="0"/>
        <v>15000</v>
      </c>
    </row>
    <row r="8" spans="2:10" x14ac:dyDescent="0.25">
      <c r="B8" t="s">
        <v>64</v>
      </c>
      <c r="C8" s="10"/>
      <c r="D8" s="19"/>
      <c r="E8" s="10">
        <v>1394600</v>
      </c>
      <c r="H8" s="26" t="s">
        <v>75</v>
      </c>
      <c r="I8" s="9">
        <v>2</v>
      </c>
      <c r="J8" s="13">
        <f t="shared" si="0"/>
        <v>30000</v>
      </c>
    </row>
    <row r="9" spans="2:10" x14ac:dyDescent="0.25">
      <c r="B9" t="s">
        <v>65</v>
      </c>
      <c r="C9" s="10"/>
      <c r="D9" s="19"/>
      <c r="E9" s="13"/>
      <c r="H9" s="27" t="s">
        <v>76</v>
      </c>
      <c r="I9" s="9">
        <v>1</v>
      </c>
      <c r="J9" s="13">
        <f t="shared" si="0"/>
        <v>15000</v>
      </c>
    </row>
    <row r="10" spans="2:10" x14ac:dyDescent="0.25">
      <c r="B10" t="s">
        <v>66</v>
      </c>
      <c r="C10" s="10"/>
      <c r="D10" s="19"/>
      <c r="E10" s="13"/>
      <c r="H10" s="9" t="s">
        <v>79</v>
      </c>
      <c r="I10" s="9">
        <f>SUM(I4:I9)</f>
        <v>38</v>
      </c>
      <c r="J10" s="19">
        <f>SUM(J4:J9)</f>
        <v>570000</v>
      </c>
    </row>
    <row r="11" spans="2:10" x14ac:dyDescent="0.25">
      <c r="B11" t="s">
        <v>67</v>
      </c>
      <c r="C11" s="10"/>
      <c r="D11" s="19"/>
      <c r="E11" s="10">
        <v>510000</v>
      </c>
    </row>
    <row r="12" spans="2:10" ht="15.75" thickBot="1" x14ac:dyDescent="0.3">
      <c r="B12" s="14" t="s">
        <v>58</v>
      </c>
      <c r="C12" s="14"/>
      <c r="D12" s="21"/>
      <c r="E12" s="15">
        <f>SUBTOTAL(109,E4:E11)</f>
        <v>6077600</v>
      </c>
    </row>
    <row r="13" spans="2:10" x14ac:dyDescent="0.25">
      <c r="C13" s="9" t="s">
        <v>68</v>
      </c>
      <c r="D13" s="18">
        <v>6777000</v>
      </c>
      <c r="E13" s="16"/>
      <c r="F13" t="s">
        <v>53</v>
      </c>
    </row>
    <row r="14" spans="2:10" x14ac:dyDescent="0.25">
      <c r="B14" s="17" t="s">
        <v>69</v>
      </c>
      <c r="C14" s="10"/>
      <c r="D14" s="19"/>
      <c r="E14" s="24">
        <f>D13-E12</f>
        <v>699400</v>
      </c>
      <c r="F14" t="s">
        <v>53</v>
      </c>
    </row>
  </sheetData>
  <mergeCells count="2">
    <mergeCell ref="B2:F2"/>
    <mergeCell ref="H2:J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cp:lastPrinted>2023-10-06T19:27:24Z</cp:lastPrinted>
  <dcterms:created xsi:type="dcterms:W3CDTF">2023-10-06T15:52:53Z</dcterms:created>
  <dcterms:modified xsi:type="dcterms:W3CDTF">2023-10-12T22:21:04Z</dcterms:modified>
</cp:coreProperties>
</file>