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\"/>
    </mc:Choice>
  </mc:AlternateContent>
  <xr:revisionPtr revIDLastSave="0" documentId="13_ncr:1_{1B2B15A9-E27A-46E0-9B9E-38C406D77244}" xr6:coauthVersionLast="47" xr6:coauthVersionMax="47" xr10:uidLastSave="{00000000-0000-0000-0000-000000000000}"/>
  <bookViews>
    <workbookView xWindow="-120" yWindow="-120" windowWidth="20730" windowHeight="11160" xr2:uid="{43D83752-9D9C-4203-AD65-638E53A3E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1" l="1"/>
  <c r="P10" i="1"/>
  <c r="Q18" i="1"/>
  <c r="P18" i="1"/>
  <c r="Q16" i="1"/>
  <c r="Q17" i="1"/>
  <c r="Q15" i="1"/>
  <c r="P17" i="1"/>
  <c r="P16" i="1"/>
  <c r="P15" i="1"/>
  <c r="L28" i="1"/>
  <c r="K28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5" i="1"/>
  <c r="L26" i="1"/>
  <c r="L27" i="1"/>
  <c r="P9" i="1"/>
</calcChain>
</file>

<file path=xl/sharedStrings.xml><?xml version="1.0" encoding="utf-8"?>
<sst xmlns="http://schemas.openxmlformats.org/spreadsheetml/2006/main" count="135" uniqueCount="59">
  <si>
    <t>N°</t>
  </si>
  <si>
    <t>NOMBRE</t>
  </si>
  <si>
    <t>T.D</t>
  </si>
  <si>
    <t>N.D</t>
  </si>
  <si>
    <t>F.N</t>
  </si>
  <si>
    <t>CELULAR</t>
  </si>
  <si>
    <t>ABONO</t>
  </si>
  <si>
    <t>COMISIONISTA</t>
  </si>
  <si>
    <t>MUNICIPIO</t>
  </si>
  <si>
    <t>COMISIÓN</t>
  </si>
  <si>
    <t>VALOR</t>
  </si>
  <si>
    <t xml:space="preserve">Laura Valentina García López </t>
  </si>
  <si>
    <t>C.C</t>
  </si>
  <si>
    <t>TETE</t>
  </si>
  <si>
    <t xml:space="preserve">María Deyanira López Peña </t>
  </si>
  <si>
    <t>ANAPOIMA</t>
  </si>
  <si>
    <t xml:space="preserve">Luis Hernando Romero Vazques </t>
  </si>
  <si>
    <t>Luisa Fernanda Romero Sosa</t>
  </si>
  <si>
    <t>T.I</t>
  </si>
  <si>
    <t>LAD</t>
  </si>
  <si>
    <t>APULO</t>
  </si>
  <si>
    <t>TOTAL</t>
  </si>
  <si>
    <t>Erika Garcia Romero</t>
  </si>
  <si>
    <t>EDITH</t>
  </si>
  <si>
    <t>Karen Lorena Espinosa Moreno</t>
  </si>
  <si>
    <t>Yosiled Marcela Beltran Mancera</t>
  </si>
  <si>
    <t>Diana Sofia Sanchez</t>
  </si>
  <si>
    <t>Fanny Mancera</t>
  </si>
  <si>
    <t>Jeimmy Alejandra Bustos Beltran</t>
  </si>
  <si>
    <t>Dayan Salome Penagos Bustos</t>
  </si>
  <si>
    <t>R.C</t>
  </si>
  <si>
    <t>Yolanda Jimenez Rodriguez</t>
  </si>
  <si>
    <t>Jesus Humberto Patiño Pesellin</t>
  </si>
  <si>
    <t>Miguel Ángel Peñaloza</t>
  </si>
  <si>
    <t>Sara Inés espinosa</t>
  </si>
  <si>
    <t>Ana Milena Arias</t>
  </si>
  <si>
    <t>Diana Yineth Espinosa Garcia</t>
  </si>
  <si>
    <t xml:space="preserve"> Ludivia Chavarro Sánchez</t>
  </si>
  <si>
    <t>Gladys Barragán Rodríguez</t>
  </si>
  <si>
    <t>Virginia Romero Ruiz</t>
  </si>
  <si>
    <t>310 8838965</t>
  </si>
  <si>
    <t>LA MESA</t>
  </si>
  <si>
    <t>Luis Alberto Duarte Molina</t>
  </si>
  <si>
    <t>empresa</t>
  </si>
  <si>
    <t>Marisol luna piza</t>
  </si>
  <si>
    <t>Astrid Johana Hernández Sandoval</t>
  </si>
  <si>
    <t>Martha Ospitia</t>
  </si>
  <si>
    <t>TOCAIMA</t>
  </si>
  <si>
    <t>TRANSPORTE</t>
  </si>
  <si>
    <t>SEGURO</t>
  </si>
  <si>
    <t>ALMUERZO</t>
  </si>
  <si>
    <t>MANO DEL ARTESANO</t>
  </si>
  <si>
    <t>GASTOS DE REPRE.</t>
  </si>
  <si>
    <t>INGRESOS</t>
  </si>
  <si>
    <t>UTILIDAD</t>
  </si>
  <si>
    <t xml:space="preserve">COSTOS Y GASTOS </t>
  </si>
  <si>
    <t>VALOR2</t>
  </si>
  <si>
    <t>PAX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</si>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</sst>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42" fontId="0" fillId="0" borderId="0" xfId="1" applyFont="1"/>
    <xf numFmtId="0" fontId="0" fillId="0" borderId="1" xfId="0" applyBorder="1"/>
    <xf numFmtId="42" fontId="0" fillId="0" borderId="1" xfId="1" applyFont="1" applyBorder="1"/>
    <xf numFmtId="42" fontId="0" fillId="0" borderId="0" xfId="1" applyFont="1" applyAlignment="1">
      <alignment horizontal="center"/>
    </xf>
    <xf numFmtId="42" fontId="0" fillId="0" borderId="0" xfId="1" applyNumberFormat="1" applyFont="1" applyAlignment="1">
      <alignment horizontal="center"/>
    </xf>
    <xf numFmtId="42" fontId="0" fillId="0" borderId="0" xfId="0" applyNumberFormat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42" fontId="0" fillId="0" borderId="1" xfId="0" applyNumberFormat="1" applyBorder="1"/>
    <xf numFmtId="0" fontId="0" fillId="0" borderId="3" xfId="0" applyBorder="1"/>
    <xf numFmtId="0" fontId="0" fillId="0" borderId="2" xfId="0" applyBorder="1"/>
    <xf numFmtId="42" fontId="0" fillId="0" borderId="2" xfId="1" applyFont="1" applyBorder="1"/>
    <xf numFmtId="42" fontId="0" fillId="2" borderId="3" xfId="1" applyFont="1" applyFill="1" applyBorder="1"/>
    <xf numFmtId="42" fontId="0" fillId="3" borderId="1" xfId="1" applyFont="1" applyFill="1" applyBorder="1"/>
    <xf numFmtId="42" fontId="0" fillId="4" borderId="1" xfId="1" applyFont="1" applyFill="1" applyBorder="1"/>
    <xf numFmtId="0" fontId="0" fillId="0" borderId="1" xfId="0" applyBorder="1" applyAlignment="1">
      <alignment horizontal="center"/>
    </xf>
  </cellXfs>
  <cellStyles count="2">
    <cellStyle name="Moneda [0]" xfId="1" builtinId="7"/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442CB-5C35-4036-AB4E-DBC692C68C97}" name="Tabla1" displayName="Tabla1" ref="B3:M28" totalsRowCount="1">
  <autoFilter ref="B3:M27" xr:uid="{5A2442CB-5C35-4036-AB4E-DBC692C68C97}"/>
  <tableColumns count="12">
    <tableColumn id="1" xr3:uid="{F5CF2D91-B943-4B9C-A6D3-9D6BE524F11E}" name="N°" dataDxfId="21" totalsRowDxfId="10"/>
    <tableColumn id="2" xr3:uid="{C2047D64-47FE-49FA-A485-38F94E45E09F}" name="NOMBRE"/>
    <tableColumn id="3" xr3:uid="{55B10F88-AAC8-4E6C-989B-2F08A6EF5F18}" name="T.D" dataDxfId="20" totalsRowDxfId="9"/>
    <tableColumn id="4" xr3:uid="{17E2B0D3-F51A-40AD-96EE-E7409347E4DD}" name="N.D" dataDxfId="19" totalsRowDxfId="8"/>
    <tableColumn id="5" xr3:uid="{002E5B1A-562C-45E2-ACF4-D1C963925A97}" name="F.N" dataDxfId="18" totalsRowDxfId="7"/>
    <tableColumn id="6" xr3:uid="{9B864C33-2CAF-44FD-88EA-A0C8B54E81BF}" name="CELULAR" dataDxfId="17" totalsRowDxfId="6"/>
    <tableColumn id="7" xr3:uid="{74E26BD1-D695-4B61-88F9-377BF83FDB92}" name="ABONO" dataDxfId="16" totalsRowDxfId="5"/>
    <tableColumn id="8" xr3:uid="{22C247A6-1558-486A-9B7E-4D580975FF5B}" name="COMISIONISTA" dataDxfId="15" totalsRowDxfId="4"/>
    <tableColumn id="9" xr3:uid="{78C6E4C0-487D-4BEB-863B-FFB17BD9DDAD}" name="MUNICIPIO" dataDxfId="14" totalsRowDxfId="3"/>
    <tableColumn id="12" xr3:uid="{70FC3AC3-BFB6-47ED-89EB-E4941825A29C}" name="VALOR" totalsRowFunction="sum" dataDxfId="12" totalsRowDxfId="2" dataCellStyle="Moneda [0]" totalsRowCellStyle="Moneda [0]"/>
    <tableColumn id="10" xr3:uid="{B2D5D4AB-CDA4-4E00-863F-0E5CF392F0EB}" name="COMISIÓN" totalsRowFunction="sum" dataDxfId="11" totalsRowDxfId="1" dataCellStyle="Moneda [0]" totalsRowCellStyle="Moneda [0]">
      <calculatedColumnFormula>Tabla1[[#This Row],[VALOR]]-15000</calculatedColumnFormula>
    </tableColumn>
    <tableColumn id="11" xr3:uid="{DD41DC92-718E-4AAC-882A-7B86DEC5075C}" name="VALOR2" dataDxfId="1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9211-8F9B-4E82-BC77-8EF17DA5C40D}">
  <dimension ref="B3:Q28"/>
  <sheetViews>
    <sheetView tabSelected="1" topLeftCell="D2" workbookViewId="0">
      <selection activeCell="O3" sqref="O3:P11"/>
    </sheetView>
  </sheetViews>
  <sheetFormatPr baseColWidth="10" defaultRowHeight="15" x14ac:dyDescent="0.25"/>
  <cols>
    <col min="2" max="2" width="5.28515625" style="1" customWidth="1"/>
    <col min="3" max="3" width="30.42578125" bestFit="1" customWidth="1"/>
    <col min="4" max="4" width="11.42578125" style="1"/>
    <col min="5" max="5" width="12.7109375" style="1" bestFit="1" customWidth="1"/>
    <col min="6" max="8" width="11.42578125" style="1"/>
    <col min="9" max="9" width="16.42578125" style="1" customWidth="1"/>
    <col min="10" max="10" width="13.28515625" style="1" customWidth="1"/>
    <col min="11" max="11" width="13.42578125" style="9" customWidth="1"/>
    <col min="12" max="12" width="12.5703125" style="9" customWidth="1"/>
    <col min="13" max="13" width="11.42578125" style="1"/>
    <col min="15" max="15" width="20.5703125" bestFit="1" customWidth="1"/>
    <col min="16" max="16" width="12" style="6" bestFit="1" customWidth="1"/>
  </cols>
  <sheetData>
    <row r="3" spans="2:17" x14ac:dyDescent="0.25">
      <c r="B3" s="1" t="s">
        <v>0</v>
      </c>
      <c r="C3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9" t="s">
        <v>10</v>
      </c>
      <c r="L3" s="9" t="s">
        <v>9</v>
      </c>
      <c r="M3" s="1" t="s">
        <v>56</v>
      </c>
      <c r="O3" s="22" t="s">
        <v>55</v>
      </c>
      <c r="P3" s="22"/>
    </row>
    <row r="4" spans="2:17" x14ac:dyDescent="0.25">
      <c r="B4" s="1">
        <v>1</v>
      </c>
      <c r="C4" t="s">
        <v>11</v>
      </c>
      <c r="D4" s="1" t="s">
        <v>12</v>
      </c>
      <c r="E4" s="1">
        <v>1005720069</v>
      </c>
      <c r="F4" s="4">
        <v>36618</v>
      </c>
      <c r="I4" s="1" t="s">
        <v>13</v>
      </c>
      <c r="J4" s="1" t="s">
        <v>15</v>
      </c>
      <c r="K4" s="9">
        <v>175000</v>
      </c>
      <c r="L4" s="9">
        <f>Tabla1[[#This Row],[VALOR]]-15000</f>
        <v>160000</v>
      </c>
      <c r="M4" s="1" t="s">
        <v>21</v>
      </c>
      <c r="O4" s="7" t="s">
        <v>48</v>
      </c>
      <c r="P4" s="8">
        <v>2700000</v>
      </c>
    </row>
    <row r="5" spans="2:17" x14ac:dyDescent="0.25">
      <c r="B5" s="1">
        <v>2</v>
      </c>
      <c r="C5" t="s">
        <v>14</v>
      </c>
      <c r="D5" s="1" t="s">
        <v>12</v>
      </c>
      <c r="E5" s="1">
        <v>38248622</v>
      </c>
      <c r="F5" s="2">
        <v>22487</v>
      </c>
      <c r="I5" s="1" t="s">
        <v>13</v>
      </c>
      <c r="J5" s="1" t="s">
        <v>15</v>
      </c>
      <c r="K5" s="9">
        <v>175000</v>
      </c>
      <c r="L5" s="9">
        <f>Tabla1[[#This Row],[VALOR]]-15000</f>
        <v>160000</v>
      </c>
      <c r="M5" s="1" t="s">
        <v>21</v>
      </c>
      <c r="O5" s="7" t="s">
        <v>49</v>
      </c>
      <c r="P5" s="8">
        <v>72000</v>
      </c>
    </row>
    <row r="6" spans="2:17" x14ac:dyDescent="0.25">
      <c r="B6" s="1">
        <v>3</v>
      </c>
      <c r="C6" t="s">
        <v>16</v>
      </c>
      <c r="D6" s="1" t="s">
        <v>12</v>
      </c>
      <c r="E6" s="3">
        <v>11451254</v>
      </c>
      <c r="I6" s="1" t="s">
        <v>19</v>
      </c>
      <c r="J6" s="1" t="s">
        <v>20</v>
      </c>
      <c r="K6" s="9">
        <v>175000</v>
      </c>
      <c r="L6" s="9">
        <f>Tabla1[[#This Row],[VALOR]]-15000</f>
        <v>160000</v>
      </c>
      <c r="O6" s="7" t="s">
        <v>50</v>
      </c>
      <c r="P6" s="8">
        <v>450000</v>
      </c>
    </row>
    <row r="7" spans="2:17" x14ac:dyDescent="0.25">
      <c r="B7" s="1">
        <v>4</v>
      </c>
      <c r="C7" t="s">
        <v>17</v>
      </c>
      <c r="D7" s="1" t="s">
        <v>18</v>
      </c>
      <c r="E7" s="1">
        <v>1031655167</v>
      </c>
      <c r="I7" s="1" t="s">
        <v>19</v>
      </c>
      <c r="J7" s="1" t="s">
        <v>20</v>
      </c>
      <c r="K7" s="9">
        <v>175000</v>
      </c>
      <c r="L7" s="9">
        <f>Tabla1[[#This Row],[VALOR]]-15000</f>
        <v>160000</v>
      </c>
      <c r="O7" s="7" t="s">
        <v>51</v>
      </c>
      <c r="P7" s="8">
        <v>240000</v>
      </c>
    </row>
    <row r="8" spans="2:17" ht="15.75" thickBot="1" x14ac:dyDescent="0.3">
      <c r="B8" s="1">
        <v>5</v>
      </c>
      <c r="C8" t="s">
        <v>22</v>
      </c>
      <c r="D8" s="1" t="s">
        <v>12</v>
      </c>
      <c r="E8" s="3">
        <v>1073630653</v>
      </c>
      <c r="F8" s="4">
        <v>36461</v>
      </c>
      <c r="I8" s="1" t="s">
        <v>23</v>
      </c>
      <c r="J8" s="1" t="s">
        <v>20</v>
      </c>
      <c r="K8" s="9">
        <v>175000</v>
      </c>
      <c r="L8" s="9">
        <f>Tabla1[[#This Row],[VALOR]]-15000</f>
        <v>160000</v>
      </c>
      <c r="O8" s="17" t="s">
        <v>52</v>
      </c>
      <c r="P8" s="18">
        <v>50000</v>
      </c>
    </row>
    <row r="9" spans="2:17" x14ac:dyDescent="0.25">
      <c r="B9" s="1">
        <v>6</v>
      </c>
      <c r="C9" t="s">
        <v>36</v>
      </c>
      <c r="D9" s="1" t="s">
        <v>12</v>
      </c>
      <c r="E9" s="1">
        <v>1073628057</v>
      </c>
      <c r="F9" s="4">
        <v>31338</v>
      </c>
      <c r="I9" s="1" t="s">
        <v>23</v>
      </c>
      <c r="J9" s="1" t="s">
        <v>20</v>
      </c>
      <c r="K9" s="9">
        <v>175000</v>
      </c>
      <c r="L9" s="9">
        <f>Tabla1[[#This Row],[VALOR]]-15000</f>
        <v>160000</v>
      </c>
      <c r="M9" s="1" t="s">
        <v>21</v>
      </c>
      <c r="O9" s="16" t="s">
        <v>21</v>
      </c>
      <c r="P9" s="19">
        <f>SUM(P4:P8)</f>
        <v>3512000</v>
      </c>
    </row>
    <row r="10" spans="2:17" x14ac:dyDescent="0.25">
      <c r="B10" s="1">
        <v>7</v>
      </c>
      <c r="C10" t="s">
        <v>24</v>
      </c>
      <c r="D10" s="1" t="s">
        <v>12</v>
      </c>
      <c r="E10" s="3">
        <v>1073628487</v>
      </c>
      <c r="F10" s="4">
        <v>32334</v>
      </c>
      <c r="I10" s="1" t="s">
        <v>23</v>
      </c>
      <c r="J10" s="1" t="s">
        <v>20</v>
      </c>
      <c r="K10" s="9">
        <v>175000</v>
      </c>
      <c r="L10" s="9">
        <f>Tabla1[[#This Row],[VALOR]]-15000</f>
        <v>160000</v>
      </c>
      <c r="O10" s="7" t="s">
        <v>53</v>
      </c>
      <c r="P10" s="20">
        <f>Tabla1[[#Totals],[COMISIÓN]]</f>
        <v>3680000</v>
      </c>
    </row>
    <row r="11" spans="2:17" x14ac:dyDescent="0.25">
      <c r="B11" s="1">
        <v>8</v>
      </c>
      <c r="C11" t="s">
        <v>25</v>
      </c>
      <c r="D11" s="1" t="s">
        <v>12</v>
      </c>
      <c r="E11" s="3">
        <v>52546175</v>
      </c>
      <c r="F11" s="4">
        <v>29337</v>
      </c>
      <c r="I11" s="1" t="s">
        <v>23</v>
      </c>
      <c r="J11" s="1" t="s">
        <v>20</v>
      </c>
      <c r="K11" s="9">
        <v>175000</v>
      </c>
      <c r="L11" s="9">
        <f>Tabla1[[#This Row],[VALOR]]-15000</f>
        <v>160000</v>
      </c>
      <c r="M11" s="1" t="s">
        <v>21</v>
      </c>
      <c r="O11" s="7" t="s">
        <v>54</v>
      </c>
      <c r="P11" s="21">
        <f>P10-P9</f>
        <v>168000</v>
      </c>
    </row>
    <row r="12" spans="2:17" x14ac:dyDescent="0.25">
      <c r="B12" s="1">
        <v>9</v>
      </c>
      <c r="C12" t="s">
        <v>26</v>
      </c>
      <c r="D12" s="1" t="s">
        <v>18</v>
      </c>
      <c r="E12" s="3">
        <v>1028870072</v>
      </c>
      <c r="F12" s="4">
        <v>40400</v>
      </c>
      <c r="I12" s="1" t="s">
        <v>23</v>
      </c>
      <c r="J12" s="1" t="s">
        <v>20</v>
      </c>
      <c r="K12" s="9">
        <v>175000</v>
      </c>
      <c r="L12" s="9">
        <f>Tabla1[[#This Row],[VALOR]]-15000</f>
        <v>160000</v>
      </c>
      <c r="M12" s="1" t="s">
        <v>21</v>
      </c>
    </row>
    <row r="13" spans="2:17" x14ac:dyDescent="0.25">
      <c r="B13" s="1">
        <v>10</v>
      </c>
      <c r="C13" t="s">
        <v>27</v>
      </c>
      <c r="D13" s="1" t="s">
        <v>12</v>
      </c>
      <c r="E13" s="3">
        <v>20870799</v>
      </c>
      <c r="F13" s="5">
        <v>45529</v>
      </c>
      <c r="I13" s="1" t="s">
        <v>23</v>
      </c>
      <c r="J13" s="1" t="s">
        <v>20</v>
      </c>
      <c r="K13" s="9">
        <v>175000</v>
      </c>
      <c r="L13" s="9">
        <f>Tabla1[[#This Row],[VALOR]]-15000</f>
        <v>160000</v>
      </c>
      <c r="M13" s="1" t="s">
        <v>21</v>
      </c>
    </row>
    <row r="14" spans="2:17" x14ac:dyDescent="0.25">
      <c r="B14" s="1">
        <v>11</v>
      </c>
      <c r="C14" t="s">
        <v>28</v>
      </c>
      <c r="D14" s="1" t="s">
        <v>12</v>
      </c>
      <c r="E14" s="3">
        <v>1024591569</v>
      </c>
      <c r="F14" s="4">
        <v>35990</v>
      </c>
      <c r="I14" s="1" t="s">
        <v>23</v>
      </c>
      <c r="J14" s="1" t="s">
        <v>20</v>
      </c>
      <c r="K14" s="9">
        <v>175000</v>
      </c>
      <c r="L14" s="9">
        <f>Tabla1[[#This Row],[VALOR]]-15000</f>
        <v>160000</v>
      </c>
      <c r="M14" s="1" t="s">
        <v>21</v>
      </c>
      <c r="O14" s="12" t="s">
        <v>7</v>
      </c>
      <c r="P14" s="13" t="s">
        <v>57</v>
      </c>
      <c r="Q14" s="12" t="s">
        <v>10</v>
      </c>
    </row>
    <row r="15" spans="2:17" x14ac:dyDescent="0.25">
      <c r="B15" s="1">
        <v>12</v>
      </c>
      <c r="C15" t="s">
        <v>29</v>
      </c>
      <c r="D15" s="1" t="s">
        <v>30</v>
      </c>
      <c r="E15" s="3">
        <v>1073630515</v>
      </c>
      <c r="F15" s="4">
        <v>42745</v>
      </c>
      <c r="I15" s="1" t="s">
        <v>23</v>
      </c>
      <c r="J15" s="1" t="s">
        <v>20</v>
      </c>
      <c r="K15" s="9">
        <v>175000</v>
      </c>
      <c r="L15" s="9">
        <f>Tabla1[[#This Row],[VALOR]]-15000</f>
        <v>160000</v>
      </c>
      <c r="O15" s="7" t="s">
        <v>13</v>
      </c>
      <c r="P15" s="14">
        <f>COUNTIF(Tabla1[COMISIONISTA],"TETE")</f>
        <v>2</v>
      </c>
      <c r="Q15" s="15">
        <f>P15*15000</f>
        <v>30000</v>
      </c>
    </row>
    <row r="16" spans="2:17" x14ac:dyDescent="0.25">
      <c r="B16" s="1">
        <v>13</v>
      </c>
      <c r="C16" t="s">
        <v>31</v>
      </c>
      <c r="D16" s="1" t="s">
        <v>12</v>
      </c>
      <c r="E16" s="3">
        <v>20871295</v>
      </c>
      <c r="F16" s="4">
        <v>23110</v>
      </c>
      <c r="I16" s="1" t="s">
        <v>23</v>
      </c>
      <c r="J16" s="1" t="s">
        <v>20</v>
      </c>
      <c r="K16" s="9">
        <v>175000</v>
      </c>
      <c r="L16" s="9">
        <f>Tabla1[[#This Row],[VALOR]]-15000</f>
        <v>160000</v>
      </c>
      <c r="M16" s="1" t="s">
        <v>21</v>
      </c>
      <c r="O16" s="7" t="s">
        <v>23</v>
      </c>
      <c r="P16" s="14">
        <f>COUNTIF(Tabla1[COMISIONISTA],"EDITH")</f>
        <v>10</v>
      </c>
      <c r="Q16" s="15">
        <f t="shared" ref="Q16:Q17" si="0">P16*15000</f>
        <v>150000</v>
      </c>
    </row>
    <row r="17" spans="2:17" x14ac:dyDescent="0.25">
      <c r="B17" s="1">
        <v>14</v>
      </c>
      <c r="C17" t="s">
        <v>32</v>
      </c>
      <c r="D17" s="1" t="s">
        <v>12</v>
      </c>
      <c r="E17" s="3">
        <v>19450941</v>
      </c>
      <c r="F17" s="4">
        <v>22411</v>
      </c>
      <c r="I17" s="1" t="s">
        <v>23</v>
      </c>
      <c r="J17" s="1" t="s">
        <v>20</v>
      </c>
      <c r="K17" s="9">
        <v>175000</v>
      </c>
      <c r="L17" s="9">
        <f>Tabla1[[#This Row],[VALOR]]-15000</f>
        <v>160000</v>
      </c>
      <c r="M17" s="1" t="s">
        <v>21</v>
      </c>
      <c r="O17" s="7" t="s">
        <v>19</v>
      </c>
      <c r="P17" s="14">
        <f>COUNTIF(Tabla1[COMISIONISTA],"LAD")</f>
        <v>11</v>
      </c>
      <c r="Q17" s="15">
        <f t="shared" si="0"/>
        <v>165000</v>
      </c>
    </row>
    <row r="18" spans="2:17" x14ac:dyDescent="0.25">
      <c r="B18" s="1">
        <v>15</v>
      </c>
      <c r="C18" t="s">
        <v>33</v>
      </c>
      <c r="D18" s="1" t="s">
        <v>12</v>
      </c>
      <c r="E18" s="1">
        <v>1074088015</v>
      </c>
      <c r="I18" s="1" t="s">
        <v>19</v>
      </c>
      <c r="J18" s="1" t="s">
        <v>15</v>
      </c>
      <c r="K18" s="9">
        <v>175000</v>
      </c>
      <c r="L18" s="9">
        <f>Tabla1[[#This Row],[VALOR]]-15000</f>
        <v>160000</v>
      </c>
      <c r="O18" s="7" t="s">
        <v>21</v>
      </c>
      <c r="P18" s="14">
        <f>SUM(P15:P17)</f>
        <v>23</v>
      </c>
      <c r="Q18" s="15">
        <f>SUM(Q15:Q17)</f>
        <v>345000</v>
      </c>
    </row>
    <row r="19" spans="2:17" x14ac:dyDescent="0.25">
      <c r="B19" s="1">
        <v>16</v>
      </c>
      <c r="C19" t="s">
        <v>34</v>
      </c>
      <c r="D19" s="1" t="s">
        <v>12</v>
      </c>
      <c r="E19" s="1">
        <v>20357574</v>
      </c>
      <c r="I19" s="1" t="s">
        <v>19</v>
      </c>
      <c r="J19" s="1" t="s">
        <v>15</v>
      </c>
      <c r="K19" s="9">
        <v>175000</v>
      </c>
      <c r="L19" s="9">
        <f>Tabla1[[#This Row],[VALOR]]-15000</f>
        <v>160000</v>
      </c>
    </row>
    <row r="20" spans="2:17" x14ac:dyDescent="0.25">
      <c r="B20" s="1">
        <v>17</v>
      </c>
      <c r="C20" t="s">
        <v>35</v>
      </c>
      <c r="D20" s="1" t="s">
        <v>12</v>
      </c>
      <c r="E20" s="1">
        <v>20358850</v>
      </c>
      <c r="G20" s="1">
        <v>3138465218</v>
      </c>
      <c r="I20" s="1" t="s">
        <v>19</v>
      </c>
      <c r="J20" s="1" t="s">
        <v>15</v>
      </c>
      <c r="K20" s="9">
        <v>175000</v>
      </c>
      <c r="L20" s="9">
        <f>Tabla1[[#This Row],[VALOR]]-15000</f>
        <v>160000</v>
      </c>
    </row>
    <row r="21" spans="2:17" x14ac:dyDescent="0.25">
      <c r="B21" s="1">
        <v>18</v>
      </c>
      <c r="C21" t="s">
        <v>37</v>
      </c>
      <c r="D21" s="1" t="s">
        <v>12</v>
      </c>
      <c r="E21" s="3">
        <v>20380695</v>
      </c>
      <c r="I21" s="1" t="s">
        <v>19</v>
      </c>
      <c r="J21" s="1" t="s">
        <v>41</v>
      </c>
      <c r="K21" s="9">
        <v>175000</v>
      </c>
      <c r="L21" s="9">
        <f>Tabla1[[#This Row],[VALOR]]-15000</f>
        <v>160000</v>
      </c>
    </row>
    <row r="22" spans="2:17" x14ac:dyDescent="0.25">
      <c r="B22" s="1">
        <v>19</v>
      </c>
      <c r="C22" t="s">
        <v>38</v>
      </c>
      <c r="D22" s="1" t="s">
        <v>12</v>
      </c>
      <c r="E22" s="3">
        <v>20687133</v>
      </c>
      <c r="G22" s="1">
        <v>3145852930</v>
      </c>
      <c r="I22" s="1" t="s">
        <v>19</v>
      </c>
      <c r="J22" s="1" t="s">
        <v>41</v>
      </c>
      <c r="K22" s="9">
        <v>175000</v>
      </c>
      <c r="L22" s="9">
        <f>Tabla1[[#This Row],[VALOR]]-15000</f>
        <v>160000</v>
      </c>
      <c r="P22" s="6" t="s">
        <v>58</v>
      </c>
    </row>
    <row r="23" spans="2:17" x14ac:dyDescent="0.25">
      <c r="B23" s="1">
        <v>20</v>
      </c>
      <c r="C23" t="s">
        <v>39</v>
      </c>
      <c r="D23" s="1" t="s">
        <v>12</v>
      </c>
      <c r="E23" s="3">
        <v>20871274</v>
      </c>
      <c r="G23" s="1" t="s">
        <v>40</v>
      </c>
      <c r="I23" s="1" t="s">
        <v>19</v>
      </c>
      <c r="J23" s="1" t="s">
        <v>20</v>
      </c>
      <c r="K23" s="9">
        <v>175000</v>
      </c>
      <c r="L23" s="9">
        <f>Tabla1[[#This Row],[VALOR]]-15000</f>
        <v>160000</v>
      </c>
    </row>
    <row r="24" spans="2:17" x14ac:dyDescent="0.25">
      <c r="B24" s="1">
        <v>21</v>
      </c>
      <c r="C24" t="s">
        <v>42</v>
      </c>
      <c r="D24" s="1" t="s">
        <v>12</v>
      </c>
      <c r="E24" s="3">
        <v>79538678</v>
      </c>
      <c r="I24" s="1" t="s">
        <v>43</v>
      </c>
      <c r="J24" s="1" t="s">
        <v>20</v>
      </c>
      <c r="K24" s="9">
        <v>0</v>
      </c>
      <c r="L24" s="9">
        <v>0</v>
      </c>
    </row>
    <row r="25" spans="2:17" x14ac:dyDescent="0.25">
      <c r="B25" s="1">
        <v>22</v>
      </c>
      <c r="C25" t="s">
        <v>44</v>
      </c>
      <c r="D25" s="1" t="s">
        <v>12</v>
      </c>
      <c r="E25" s="1">
        <v>39568980</v>
      </c>
      <c r="I25" s="1" t="s">
        <v>19</v>
      </c>
      <c r="J25" s="1" t="s">
        <v>47</v>
      </c>
      <c r="K25" s="9">
        <v>175000</v>
      </c>
      <c r="L25" s="9">
        <f>Tabla1[[#This Row],[VALOR]]-15000</f>
        <v>160000</v>
      </c>
    </row>
    <row r="26" spans="2:17" x14ac:dyDescent="0.25">
      <c r="B26" s="1">
        <v>23</v>
      </c>
      <c r="C26" t="s">
        <v>45</v>
      </c>
      <c r="D26" s="1" t="s">
        <v>12</v>
      </c>
      <c r="E26" s="1">
        <v>1075625652</v>
      </c>
      <c r="I26" s="1" t="s">
        <v>19</v>
      </c>
      <c r="J26" s="1" t="s">
        <v>47</v>
      </c>
      <c r="K26" s="9">
        <v>175000</v>
      </c>
      <c r="L26" s="9">
        <f>Tabla1[[#This Row],[VALOR]]-15000</f>
        <v>160000</v>
      </c>
    </row>
    <row r="27" spans="2:17" x14ac:dyDescent="0.25">
      <c r="B27" s="1">
        <v>24</v>
      </c>
      <c r="C27" t="s">
        <v>46</v>
      </c>
      <c r="D27" s="1" t="s">
        <v>12</v>
      </c>
      <c r="E27" s="1">
        <v>20871581</v>
      </c>
      <c r="I27" s="1" t="s">
        <v>19</v>
      </c>
      <c r="J27" s="1" t="s">
        <v>20</v>
      </c>
      <c r="K27" s="9">
        <v>175000</v>
      </c>
      <c r="L27" s="9">
        <f>Tabla1[[#This Row],[VALOR]]-15000</f>
        <v>160000</v>
      </c>
      <c r="M27" s="3">
        <v>50000</v>
      </c>
      <c r="O27" s="11"/>
    </row>
    <row r="28" spans="2:17" x14ac:dyDescent="0.25">
      <c r="K28" s="9">
        <f>SUBTOTAL(109,Tabla1[VALOR])</f>
        <v>4025000</v>
      </c>
      <c r="L28" s="10">
        <f>SUBTOTAL(109,Tabla1[COMISIÓN])</f>
        <v>3680000</v>
      </c>
    </row>
  </sheetData>
  <mergeCells count="1">
    <mergeCell ref="O3:P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2024-05-09T14:03:57Z</dcterms:created>
  <dcterms:modified xsi:type="dcterms:W3CDTF">2024-08-28T15:07:25Z</dcterms:modified>
</cp:coreProperties>
</file>