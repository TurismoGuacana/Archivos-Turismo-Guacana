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ARQUE DEL CAFÉ\Viaje 07 agosto\"/>
    </mc:Choice>
  </mc:AlternateContent>
  <xr:revisionPtr revIDLastSave="0" documentId="13_ncr:1_{965D3719-F97A-43C6-A465-F5046370D16C}" xr6:coauthVersionLast="47" xr6:coauthVersionMax="47" xr10:uidLastSave="{00000000-0000-0000-0000-000000000000}"/>
  <bookViews>
    <workbookView xWindow="-120" yWindow="-120" windowWidth="20730" windowHeight="11160" activeTab="3" xr2:uid="{2C17FFF8-D342-4699-B446-16A276463DE7}"/>
  </bookViews>
  <sheets>
    <sheet name="Hoja3" sheetId="3" r:id="rId1"/>
    <sheet name="Hoja2" sheetId="2" r:id="rId2"/>
    <sheet name="Hoja1" sheetId="1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" i="4" l="1"/>
  <c r="M15" i="4"/>
  <c r="J42" i="4"/>
  <c r="L43" i="4" s="1"/>
  <c r="I42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1" i="4"/>
  <c r="J32" i="4"/>
  <c r="J33" i="4"/>
  <c r="J34" i="4"/>
  <c r="J35" i="4"/>
  <c r="J36" i="4"/>
  <c r="J37" i="4"/>
  <c r="J38" i="4"/>
  <c r="J39" i="4"/>
  <c r="J41" i="4"/>
  <c r="J4" i="4"/>
  <c r="M14" i="4"/>
  <c r="M21" i="4"/>
  <c r="N21" i="4" s="1"/>
  <c r="M23" i="4"/>
  <c r="N23" i="4" s="1"/>
  <c r="M22" i="4"/>
  <c r="N22" i="4" s="1"/>
  <c r="M20" i="4"/>
  <c r="M6" i="4"/>
  <c r="F17" i="1"/>
  <c r="F18" i="1"/>
  <c r="F22" i="1"/>
  <c r="F24" i="1"/>
  <c r="F25" i="1"/>
  <c r="F15" i="2"/>
  <c r="M24" i="4" l="1"/>
  <c r="N20" i="4"/>
  <c r="N24" i="4" s="1"/>
</calcChain>
</file>

<file path=xl/sharedStrings.xml><?xml version="1.0" encoding="utf-8"?>
<sst xmlns="http://schemas.openxmlformats.org/spreadsheetml/2006/main" count="608" uniqueCount="92">
  <si>
    <t>N°</t>
  </si>
  <si>
    <t>NOMBRE</t>
  </si>
  <si>
    <t>T.D</t>
  </si>
  <si>
    <t>N.D</t>
  </si>
  <si>
    <t>TEL</t>
  </si>
  <si>
    <t>COMISIONISTA</t>
  </si>
  <si>
    <t>ABONO</t>
  </si>
  <si>
    <t>COMISIÓN</t>
  </si>
  <si>
    <t>Diego Alejandro Rodríguez Patiño</t>
  </si>
  <si>
    <t>T.I</t>
  </si>
  <si>
    <t>Diana Paola Patiño salazar</t>
  </si>
  <si>
    <t>C.C</t>
  </si>
  <si>
    <t>MUNICIPIO</t>
  </si>
  <si>
    <t>TOCAIMA</t>
  </si>
  <si>
    <t>LAD</t>
  </si>
  <si>
    <t>Blanca Cecilia infante Borquez</t>
  </si>
  <si>
    <t>edad</t>
  </si>
  <si>
    <t xml:space="preserve">Jonh Jairo Aponte infante </t>
  </si>
  <si>
    <t>Brayan Alejandro Molina Valero</t>
  </si>
  <si>
    <t xml:space="preserve">Maria Fernanda Molina Valero </t>
  </si>
  <si>
    <t xml:space="preserve">Maria noralba Valero Montilla </t>
  </si>
  <si>
    <t>Ever Libardo Castañeda pauda</t>
  </si>
  <si>
    <t xml:space="preserve">Gladys Yasmín Cocuy Suárez </t>
  </si>
  <si>
    <t>Jair stop cadena Cocuy</t>
  </si>
  <si>
    <t>Eliana Estefanía plazas moreno</t>
  </si>
  <si>
    <t xml:space="preserve"> </t>
  </si>
  <si>
    <t>F.N</t>
  </si>
  <si>
    <t>10 de enero del 2001</t>
  </si>
  <si>
    <t>luis david silva muñoz</t>
  </si>
  <si>
    <t>7 de mayo de 1995</t>
  </si>
  <si>
    <t>EDITH</t>
  </si>
  <si>
    <t>Katherine Sofia Bayona Barreto</t>
  </si>
  <si>
    <t>APULO</t>
  </si>
  <si>
    <t>320 363 9328</t>
  </si>
  <si>
    <t>321 363 9328</t>
  </si>
  <si>
    <t>María Nelly Lozano Suarez</t>
  </si>
  <si>
    <t>Blanca Nubia Olarte Garzón</t>
  </si>
  <si>
    <t>Nelson Antonio Rodríguez Fonseca</t>
  </si>
  <si>
    <t>TETE</t>
  </si>
  <si>
    <t>María Consuelo Hernandez</t>
  </si>
  <si>
    <t>TOTAL</t>
  </si>
  <si>
    <t>Sergio Antonio Herrera Jimenez</t>
  </si>
  <si>
    <t>Daniela Arcos Perez</t>
  </si>
  <si>
    <t>Juan Carlos Herrera Jimenez</t>
  </si>
  <si>
    <t xml:space="preserve">Ana Lucía Jiemenez Rodriguez </t>
  </si>
  <si>
    <t>Sandro Alberto Angel Acosta</t>
  </si>
  <si>
    <t xml:space="preserve"> Jeimy Rocio Bohorquez Lopez</t>
  </si>
  <si>
    <t>Ghiner Lilian Cantor Suárez</t>
  </si>
  <si>
    <t>Geraldine galeano</t>
  </si>
  <si>
    <t>Felipe castillo</t>
  </si>
  <si>
    <t>MAFE</t>
  </si>
  <si>
    <t>Agusto Agudelo Gutierrez</t>
  </si>
  <si>
    <t>Lucia Beleño Aconcha</t>
  </si>
  <si>
    <t>Santiago Enrique Beleño Aconcha</t>
  </si>
  <si>
    <t>Anthuan Sabit Diaz Beleño</t>
  </si>
  <si>
    <t>RC</t>
  </si>
  <si>
    <t xml:space="preserve">Yisela Marina Patiño Páez </t>
  </si>
  <si>
    <t>Karol Valentina Torres Patiño</t>
  </si>
  <si>
    <t>Gabriel Cabrera</t>
  </si>
  <si>
    <t>empresa</t>
  </si>
  <si>
    <t>Luis Duarte</t>
  </si>
  <si>
    <t>María Fernanda Benavides</t>
  </si>
  <si>
    <t>Yosid Marcela Beltran Mancera</t>
  </si>
  <si>
    <t>Jeimmy Alejandra Bustos Beltran</t>
  </si>
  <si>
    <t>Dayan Salome Penagos Bustos</t>
  </si>
  <si>
    <t>Magda Nury Beltran</t>
  </si>
  <si>
    <t>Nelson Ariza</t>
  </si>
  <si>
    <t>Diana Sofia Sanchez</t>
  </si>
  <si>
    <t>total</t>
  </si>
  <si>
    <t>Diana Marcela  Barreto</t>
  </si>
  <si>
    <t>LAD /edith</t>
  </si>
  <si>
    <t>Yolanda Agudelo Gutiérrez</t>
  </si>
  <si>
    <t>Gustavo Agudelo Gutierrez</t>
  </si>
  <si>
    <t>Eliana Patricia Manrique Bernal</t>
  </si>
  <si>
    <t>ANAPOIMA</t>
  </si>
  <si>
    <t>ALEJANDRA</t>
  </si>
  <si>
    <t>Danny Santiago Herrera Moreno</t>
  </si>
  <si>
    <t>Antonia Herrera Arias</t>
  </si>
  <si>
    <t>Danna Lucia Herrera Manrique</t>
  </si>
  <si>
    <t>telefono</t>
  </si>
  <si>
    <t>María Camila Mancera Hernández</t>
  </si>
  <si>
    <t>TRANSPORTE</t>
  </si>
  <si>
    <t>SEGURO</t>
  </si>
  <si>
    <t>INGRESO PARQUE</t>
  </si>
  <si>
    <t>ALMUERZOS</t>
  </si>
  <si>
    <t>GASTOS DE REPRESENTACIÓN</t>
  </si>
  <si>
    <t>COSTOS Y GASTOS</t>
  </si>
  <si>
    <t>PAX</t>
  </si>
  <si>
    <t>VALOR</t>
  </si>
  <si>
    <t>ALEJA</t>
  </si>
  <si>
    <t>INGRESO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</si>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</sst>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0" xfId="0" applyNumberFormat="1"/>
    <xf numFmtId="3" fontId="0" fillId="0" borderId="0" xfId="0" applyNumberFormat="1"/>
    <xf numFmtId="42" fontId="0" fillId="0" borderId="0" xfId="1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3" fillId="6" borderId="2" xfId="0" applyFont="1" applyFill="1" applyBorder="1"/>
    <xf numFmtId="0" fontId="3" fillId="6" borderId="1" xfId="0" applyFont="1" applyFill="1" applyBorder="1"/>
    <xf numFmtId="0" fontId="0" fillId="7" borderId="2" xfId="0" applyFill="1" applyBorder="1"/>
    <xf numFmtId="0" fontId="0" fillId="7" borderId="1" xfId="0" applyFill="1" applyBorder="1"/>
    <xf numFmtId="0" fontId="0" fillId="0" borderId="2" xfId="0" applyBorder="1"/>
    <xf numFmtId="0" fontId="0" fillId="0" borderId="1" xfId="0" applyBorder="1"/>
    <xf numFmtId="0" fontId="0" fillId="7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4" fillId="10" borderId="3" xfId="0" applyFont="1" applyFill="1" applyBorder="1"/>
    <xf numFmtId="0" fontId="0" fillId="0" borderId="3" xfId="0" applyBorder="1"/>
    <xf numFmtId="0" fontId="0" fillId="4" borderId="3" xfId="0" applyFill="1" applyBorder="1"/>
    <xf numFmtId="0" fontId="0" fillId="8" borderId="3" xfId="0" applyFill="1" applyBorder="1"/>
    <xf numFmtId="42" fontId="0" fillId="0" borderId="0" xfId="1" applyFont="1"/>
    <xf numFmtId="0" fontId="0" fillId="0" borderId="3" xfId="0" applyBorder="1" applyAlignment="1">
      <alignment horizontal="center"/>
    </xf>
    <xf numFmtId="42" fontId="0" fillId="0" borderId="3" xfId="1" applyFont="1" applyBorder="1"/>
    <xf numFmtId="0" fontId="0" fillId="0" borderId="3" xfId="0" applyFill="1" applyBorder="1"/>
    <xf numFmtId="0" fontId="3" fillId="6" borderId="0" xfId="0" applyFont="1" applyFill="1" applyBorder="1"/>
    <xf numFmtId="0" fontId="0" fillId="7" borderId="0" xfId="0" applyFill="1" applyBorder="1"/>
    <xf numFmtId="42" fontId="0" fillId="7" borderId="0" xfId="1" applyFont="1" applyFill="1" applyBorder="1"/>
    <xf numFmtId="3" fontId="0" fillId="0" borderId="0" xfId="0" applyNumberFormat="1" applyBorder="1"/>
    <xf numFmtId="42" fontId="0" fillId="7" borderId="0" xfId="0" applyNumberFormat="1" applyFill="1" applyBorder="1"/>
    <xf numFmtId="42" fontId="0" fillId="0" borderId="0" xfId="0" applyNumberFormat="1"/>
    <xf numFmtId="0" fontId="0" fillId="0" borderId="5" xfId="0" applyFill="1" applyBorder="1"/>
    <xf numFmtId="0" fontId="0" fillId="0" borderId="4" xfId="0" applyBorder="1"/>
    <xf numFmtId="42" fontId="0" fillId="0" borderId="4" xfId="1" applyFont="1" applyBorder="1"/>
    <xf numFmtId="42" fontId="0" fillId="4" borderId="5" xfId="0" applyNumberFormat="1" applyFill="1" applyBorder="1"/>
    <xf numFmtId="42" fontId="0" fillId="3" borderId="3" xfId="0" applyNumberFormat="1" applyFill="1" applyBorder="1"/>
    <xf numFmtId="42" fontId="0" fillId="11" borderId="3" xfId="0" applyNumberFormat="1" applyFill="1" applyBorder="1"/>
  </cellXfs>
  <cellStyles count="2">
    <cellStyle name="Moneda [0]" xfId="1" builtinId="7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293476-C521-49C0-8674-2CEABD90E769}" name="Tabla35" displayName="Tabla35" ref="B4:I42" totalsRowShown="0">
  <autoFilter ref="B4:I42" xr:uid="{99293476-C521-49C0-8674-2CEABD90E769}"/>
  <tableColumns count="8">
    <tableColumn id="1" xr3:uid="{73FFCED4-1683-4AD0-8087-655CDABB544D}" name="N°"/>
    <tableColumn id="2" xr3:uid="{3346C1B2-0281-453A-B3CE-1A5D1B431211}" name="NOMBRE"/>
    <tableColumn id="3" xr3:uid="{D3A0C8AD-1077-4E30-8844-7031C65BE404}" name="T.D" dataDxfId="25"/>
    <tableColumn id="4" xr3:uid="{0732F9BE-172B-4181-B2C5-309CCDD46670}" name="N.D" dataDxfId="24"/>
    <tableColumn id="6" xr3:uid="{ED0841F7-3B00-4571-B912-2C601E48C944}" name="telefono" dataDxfId="23"/>
    <tableColumn id="7" xr3:uid="{5CFD8639-A5B8-4B78-98C9-F49B20DFFB3F}" name="MUNICIPIO"/>
    <tableColumn id="9" xr3:uid="{9906D79B-E574-4CBA-98E8-FE1C5831A7D4}" name="COMISIONISTA"/>
    <tableColumn id="10" xr3:uid="{4A2DF596-99BE-4A4F-95DE-33E95F1A66B2}" name="ABONO" dataDxfId="22" dataCellStyle="Moneda [0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528AC1-84A1-4C9D-95F1-EEE76D7D4C83}" name="Tabla3" displayName="Tabla3" ref="B3:L44" totalsRowShown="0">
  <autoFilter ref="B3:L44" xr:uid="{C5528AC1-84A1-4C9D-95F1-EEE76D7D4C83}"/>
  <tableColumns count="11">
    <tableColumn id="1" xr3:uid="{5FC5B30C-9E0C-41B4-993E-A201813A6BDA}" name="N°"/>
    <tableColumn id="2" xr3:uid="{4863C0AF-A806-47B9-86D5-42BC713683DC}" name="NOMBRE"/>
    <tableColumn id="3" xr3:uid="{1BDA623E-9246-4B9E-B132-882B156B5BF0}" name="T.D"/>
    <tableColumn id="4" xr3:uid="{A783DBCD-F966-47C4-AE93-EDF480789AF1}" name="N.D"/>
    <tableColumn id="5" xr3:uid="{17E63D27-C46C-40BE-9283-4A303FDDA678}" name="edad"/>
    <tableColumn id="6" xr3:uid="{C2B9E001-0C78-4473-9EE0-CD68FB8BD167}" name="F.N"/>
    <tableColumn id="7" xr3:uid="{3A6780A5-EC28-4443-B618-F468BFAC3A8D}" name="MUNICIPIO"/>
    <tableColumn id="8" xr3:uid="{75F236C4-F746-45FE-B58B-02449A4665FE}" name="TEL"/>
    <tableColumn id="9" xr3:uid="{2F9CA4F1-7BA8-48B8-9D0E-ABCD7E718EF6}" name="COMISIONISTA"/>
    <tableColumn id="10" xr3:uid="{520B8013-B9B3-4C57-B477-5EA3B8568BC6}" name="ABONO"/>
    <tableColumn id="11" xr3:uid="{7FB5D8A9-D4D1-4352-A844-1F1D34101471}" name="COMIS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4A2DE-8218-4D93-8907-9E888E110CAD}" name="Tabla1" displayName="Tabla1" ref="B2:L26" totalsRowShown="0" headerRowDxfId="21" dataDxfId="20">
  <autoFilter ref="B2:L26" xr:uid="{2924A2DE-8218-4D93-8907-9E888E110CAD}"/>
  <tableColumns count="11">
    <tableColumn id="1" xr3:uid="{67DF8D3C-36E6-4E87-A1D6-1362A9F1A49D}" name="N°" dataDxfId="19"/>
    <tableColumn id="2" xr3:uid="{7FB64134-FB3A-4B97-A6C7-E603CC27C181}" name="NOMBRE" dataDxfId="18"/>
    <tableColumn id="3" xr3:uid="{2893C498-06C4-4C98-A35E-061239D500E3}" name="T.D" dataDxfId="17"/>
    <tableColumn id="4" xr3:uid="{838E50FC-C9FA-4C7D-8808-0AA73268A5DE}" name="N.D" dataDxfId="16"/>
    <tableColumn id="5" xr3:uid="{3FDA9D25-AB37-4694-BAD0-7E24E8DF4746}" name="edad" dataDxfId="15"/>
    <tableColumn id="11" xr3:uid="{B92A7A59-597C-410C-A591-2F4334713CF9}" name="F.N" dataDxfId="14"/>
    <tableColumn id="10" xr3:uid="{2A80D46F-BEF6-48EF-A47C-843F7AE333BA}" name="MUNICIPIO" dataDxfId="13"/>
    <tableColumn id="6" xr3:uid="{82A7AB14-9DC2-4642-B643-6DBC8FEED0E7}" name="TEL" dataDxfId="12"/>
    <tableColumn id="7" xr3:uid="{251D4C3E-D764-41E8-B77E-BDB7AF45B0E6}" name="COMISIONISTA" dataDxfId="11"/>
    <tableColumn id="8" xr3:uid="{95C13C53-E58D-4B9A-B3D6-0B3C29D3439E}" name="ABONO" dataDxfId="10"/>
    <tableColumn id="9" xr3:uid="{3691C106-D37C-4DE0-AE44-16E210491603}" name="COMISIÓ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2419-6E2D-4B75-B46A-BA9D69065176}">
  <dimension ref="B4:I42"/>
  <sheetViews>
    <sheetView topLeftCell="A23" workbookViewId="0">
      <selection activeCell="B4" sqref="B4:H42"/>
    </sheetView>
  </sheetViews>
  <sheetFormatPr baseColWidth="10" defaultRowHeight="15" x14ac:dyDescent="0.25"/>
  <cols>
    <col min="2" max="2" width="5.42578125" bestFit="1" customWidth="1"/>
    <col min="3" max="3" width="32.140625" bestFit="1" customWidth="1"/>
    <col min="5" max="5" width="12.7109375" bestFit="1" customWidth="1"/>
    <col min="6" max="6" width="12.7109375" customWidth="1"/>
  </cols>
  <sheetData>
    <row r="4" spans="2:9" x14ac:dyDescent="0.25">
      <c r="B4" t="s">
        <v>0</v>
      </c>
      <c r="C4" t="s">
        <v>1</v>
      </c>
      <c r="D4" t="s">
        <v>2</v>
      </c>
      <c r="E4" t="s">
        <v>3</v>
      </c>
      <c r="F4" t="s">
        <v>79</v>
      </c>
      <c r="G4" t="s">
        <v>12</v>
      </c>
      <c r="H4" t="s">
        <v>5</v>
      </c>
      <c r="I4" s="7" t="s">
        <v>6</v>
      </c>
    </row>
    <row r="5" spans="2:9" x14ac:dyDescent="0.25">
      <c r="B5">
        <v>1</v>
      </c>
      <c r="C5" t="s">
        <v>8</v>
      </c>
      <c r="D5" s="1" t="s">
        <v>9</v>
      </c>
      <c r="E5">
        <v>1075629884</v>
      </c>
      <c r="G5" s="9" t="s">
        <v>13</v>
      </c>
      <c r="H5" t="s">
        <v>14</v>
      </c>
      <c r="I5" s="7"/>
    </row>
    <row r="6" spans="2:9" x14ac:dyDescent="0.25">
      <c r="B6">
        <v>2</v>
      </c>
      <c r="C6" t="s">
        <v>10</v>
      </c>
      <c r="D6" s="1" t="s">
        <v>11</v>
      </c>
      <c r="E6">
        <v>21018743</v>
      </c>
      <c r="G6" s="9" t="s">
        <v>13</v>
      </c>
      <c r="H6" t="s">
        <v>14</v>
      </c>
      <c r="I6" s="7"/>
    </row>
    <row r="7" spans="2:9" x14ac:dyDescent="0.25">
      <c r="B7">
        <v>3</v>
      </c>
      <c r="C7" t="s">
        <v>15</v>
      </c>
      <c r="D7" s="1" t="s">
        <v>11</v>
      </c>
      <c r="E7">
        <v>24162429</v>
      </c>
      <c r="G7" s="9" t="s">
        <v>13</v>
      </c>
      <c r="H7" t="s">
        <v>14</v>
      </c>
      <c r="I7" s="7">
        <v>625000</v>
      </c>
    </row>
    <row r="8" spans="2:9" x14ac:dyDescent="0.25">
      <c r="B8">
        <v>4</v>
      </c>
      <c r="C8" t="s">
        <v>17</v>
      </c>
      <c r="D8" s="1" t="s">
        <v>11</v>
      </c>
      <c r="E8">
        <v>54800058</v>
      </c>
      <c r="G8" s="9" t="s">
        <v>13</v>
      </c>
      <c r="H8" t="s">
        <v>14</v>
      </c>
      <c r="I8" s="7"/>
    </row>
    <row r="9" spans="2:9" x14ac:dyDescent="0.25">
      <c r="B9">
        <v>5</v>
      </c>
      <c r="C9" t="s">
        <v>18</v>
      </c>
      <c r="D9" s="1" t="s">
        <v>9</v>
      </c>
      <c r="E9">
        <v>1016014254</v>
      </c>
      <c r="G9" s="9" t="s">
        <v>13</v>
      </c>
      <c r="H9" t="s">
        <v>14</v>
      </c>
      <c r="I9" s="7"/>
    </row>
    <row r="10" spans="2:9" x14ac:dyDescent="0.25">
      <c r="B10">
        <v>6</v>
      </c>
      <c r="C10" t="s">
        <v>19</v>
      </c>
      <c r="D10" s="1" t="s">
        <v>9</v>
      </c>
      <c r="E10">
        <v>1016014252</v>
      </c>
      <c r="G10" s="9" t="s">
        <v>13</v>
      </c>
      <c r="H10" t="s">
        <v>14</v>
      </c>
      <c r="I10" s="7"/>
    </row>
    <row r="11" spans="2:9" x14ac:dyDescent="0.25">
      <c r="B11">
        <v>7</v>
      </c>
      <c r="C11" t="s">
        <v>20</v>
      </c>
      <c r="D11" s="1" t="s">
        <v>9</v>
      </c>
      <c r="E11">
        <v>21018645</v>
      </c>
      <c r="G11" s="9" t="s">
        <v>13</v>
      </c>
      <c r="H11" t="s">
        <v>14</v>
      </c>
      <c r="I11" s="7"/>
    </row>
    <row r="12" spans="2:9" x14ac:dyDescent="0.25">
      <c r="B12">
        <v>8</v>
      </c>
      <c r="C12" t="s">
        <v>21</v>
      </c>
      <c r="D12" s="1" t="s">
        <v>11</v>
      </c>
      <c r="E12">
        <v>80357344</v>
      </c>
      <c r="G12" s="9" t="s">
        <v>13</v>
      </c>
      <c r="H12" t="s">
        <v>14</v>
      </c>
      <c r="I12" s="7"/>
    </row>
    <row r="13" spans="2:9" x14ac:dyDescent="0.25">
      <c r="B13">
        <v>9</v>
      </c>
      <c r="C13" t="s">
        <v>22</v>
      </c>
      <c r="D13" s="1" t="s">
        <v>11</v>
      </c>
      <c r="E13">
        <v>1075624459</v>
      </c>
      <c r="G13" s="9" t="s">
        <v>13</v>
      </c>
      <c r="H13" t="s">
        <v>14</v>
      </c>
      <c r="I13" s="7"/>
    </row>
    <row r="14" spans="2:9" x14ac:dyDescent="0.25">
      <c r="B14">
        <v>10</v>
      </c>
      <c r="C14" t="s">
        <v>23</v>
      </c>
      <c r="D14" s="1" t="s">
        <v>9</v>
      </c>
      <c r="E14">
        <v>1072099839</v>
      </c>
      <c r="G14" s="9" t="s">
        <v>13</v>
      </c>
      <c r="H14" t="s">
        <v>14</v>
      </c>
      <c r="I14" s="7"/>
    </row>
    <row r="15" spans="2:9" x14ac:dyDescent="0.25">
      <c r="B15">
        <v>11</v>
      </c>
      <c r="C15" t="s">
        <v>24</v>
      </c>
      <c r="D15" s="1" t="s">
        <v>11</v>
      </c>
      <c r="E15">
        <v>1010085329</v>
      </c>
      <c r="G15" s="10" t="s">
        <v>32</v>
      </c>
      <c r="H15" t="s">
        <v>30</v>
      </c>
      <c r="I15" s="7" t="s">
        <v>68</v>
      </c>
    </row>
    <row r="16" spans="2:9" x14ac:dyDescent="0.25">
      <c r="B16">
        <v>12</v>
      </c>
      <c r="C16" t="s">
        <v>28</v>
      </c>
      <c r="D16" s="1" t="s">
        <v>11</v>
      </c>
      <c r="E16">
        <v>1073629857</v>
      </c>
      <c r="G16" s="10" t="s">
        <v>32</v>
      </c>
      <c r="H16" t="s">
        <v>30</v>
      </c>
      <c r="I16" s="7" t="s">
        <v>68</v>
      </c>
    </row>
    <row r="17" spans="2:9" x14ac:dyDescent="0.25">
      <c r="B17">
        <v>13</v>
      </c>
      <c r="C17" t="s">
        <v>69</v>
      </c>
      <c r="D17" s="1" t="s">
        <v>11</v>
      </c>
      <c r="E17">
        <v>1141333372</v>
      </c>
      <c r="G17" s="10" t="s">
        <v>32</v>
      </c>
      <c r="H17" t="s">
        <v>70</v>
      </c>
      <c r="I17" s="7" t="s">
        <v>68</v>
      </c>
    </row>
    <row r="18" spans="2:9" x14ac:dyDescent="0.25">
      <c r="B18">
        <v>14</v>
      </c>
      <c r="C18" t="s">
        <v>35</v>
      </c>
      <c r="D18" s="1" t="s">
        <v>11</v>
      </c>
      <c r="E18">
        <v>21015872</v>
      </c>
      <c r="G18" s="10" t="s">
        <v>32</v>
      </c>
      <c r="H18" t="s">
        <v>70</v>
      </c>
      <c r="I18" s="7">
        <v>50000</v>
      </c>
    </row>
    <row r="19" spans="2:9" x14ac:dyDescent="0.25">
      <c r="B19">
        <v>15</v>
      </c>
      <c r="C19" t="s">
        <v>39</v>
      </c>
      <c r="D19" s="1" t="s">
        <v>11</v>
      </c>
      <c r="E19">
        <v>21017103</v>
      </c>
      <c r="G19" s="9" t="s">
        <v>13</v>
      </c>
      <c r="H19" t="s">
        <v>14</v>
      </c>
      <c r="I19" s="7"/>
    </row>
    <row r="20" spans="2:9" x14ac:dyDescent="0.25">
      <c r="B20">
        <v>16</v>
      </c>
      <c r="C20" t="s">
        <v>41</v>
      </c>
      <c r="D20" s="1" t="s">
        <v>11</v>
      </c>
      <c r="E20">
        <v>1073628525</v>
      </c>
      <c r="G20" s="10" t="s">
        <v>32</v>
      </c>
      <c r="H20" t="s">
        <v>38</v>
      </c>
      <c r="I20" s="7">
        <v>200000</v>
      </c>
    </row>
    <row r="21" spans="2:9" x14ac:dyDescent="0.25">
      <c r="B21">
        <v>17</v>
      </c>
      <c r="C21" t="s">
        <v>42</v>
      </c>
      <c r="D21" s="1" t="s">
        <v>11</v>
      </c>
      <c r="E21">
        <v>1000459494</v>
      </c>
      <c r="G21" s="10" t="s">
        <v>32</v>
      </c>
      <c r="H21" t="s">
        <v>38</v>
      </c>
      <c r="I21" s="7"/>
    </row>
    <row r="22" spans="2:9" x14ac:dyDescent="0.25">
      <c r="B22">
        <v>18</v>
      </c>
      <c r="C22" t="s">
        <v>43</v>
      </c>
      <c r="D22" s="1" t="s">
        <v>11</v>
      </c>
      <c r="E22">
        <v>1073630707</v>
      </c>
      <c r="G22" s="10" t="s">
        <v>32</v>
      </c>
      <c r="H22" t="s">
        <v>38</v>
      </c>
      <c r="I22" s="7"/>
    </row>
    <row r="23" spans="2:9" x14ac:dyDescent="0.25">
      <c r="B23">
        <v>19</v>
      </c>
      <c r="C23" t="s">
        <v>44</v>
      </c>
      <c r="D23" s="1" t="s">
        <v>11</v>
      </c>
      <c r="E23">
        <v>21013782</v>
      </c>
      <c r="G23" s="10" t="s">
        <v>32</v>
      </c>
      <c r="H23" t="s">
        <v>38</v>
      </c>
      <c r="I23" s="7"/>
    </row>
    <row r="24" spans="2:9" x14ac:dyDescent="0.25">
      <c r="B24">
        <v>20</v>
      </c>
      <c r="C24" t="s">
        <v>71</v>
      </c>
      <c r="D24" s="1" t="s">
        <v>11</v>
      </c>
      <c r="E24">
        <v>21015278</v>
      </c>
      <c r="G24" s="9" t="s">
        <v>13</v>
      </c>
      <c r="H24" t="s">
        <v>14</v>
      </c>
      <c r="I24" s="7"/>
    </row>
    <row r="25" spans="2:9" x14ac:dyDescent="0.25">
      <c r="B25">
        <v>21</v>
      </c>
      <c r="C25" t="s">
        <v>72</v>
      </c>
      <c r="D25" s="1" t="s">
        <v>11</v>
      </c>
      <c r="E25">
        <v>80356348</v>
      </c>
      <c r="G25" s="9" t="s">
        <v>13</v>
      </c>
      <c r="H25" t="s">
        <v>14</v>
      </c>
      <c r="I25" s="7"/>
    </row>
    <row r="26" spans="2:9" x14ac:dyDescent="0.25">
      <c r="B26">
        <v>22</v>
      </c>
      <c r="C26" t="s">
        <v>52</v>
      </c>
      <c r="D26" s="1" t="s">
        <v>11</v>
      </c>
      <c r="E26">
        <v>1064576139</v>
      </c>
      <c r="G26" s="9" t="s">
        <v>13</v>
      </c>
      <c r="H26" t="s">
        <v>14</v>
      </c>
      <c r="I26" s="7"/>
    </row>
    <row r="27" spans="2:9" x14ac:dyDescent="0.25">
      <c r="B27">
        <v>23</v>
      </c>
      <c r="C27" t="s">
        <v>53</v>
      </c>
      <c r="D27" s="1" t="s">
        <v>9</v>
      </c>
      <c r="E27">
        <v>1067035410</v>
      </c>
      <c r="G27" s="9" t="s">
        <v>13</v>
      </c>
      <c r="H27" t="s">
        <v>14</v>
      </c>
      <c r="I27" s="7"/>
    </row>
    <row r="28" spans="2:9" x14ac:dyDescent="0.25">
      <c r="B28">
        <v>24</v>
      </c>
      <c r="C28" t="s">
        <v>54</v>
      </c>
      <c r="D28" s="1" t="s">
        <v>55</v>
      </c>
      <c r="E28">
        <v>1067037481</v>
      </c>
      <c r="G28" s="9" t="s">
        <v>13</v>
      </c>
      <c r="H28" t="s">
        <v>14</v>
      </c>
      <c r="I28" s="7"/>
    </row>
    <row r="29" spans="2:9" x14ac:dyDescent="0.25">
      <c r="B29">
        <v>25</v>
      </c>
      <c r="C29" t="s">
        <v>56</v>
      </c>
      <c r="D29" s="1" t="s">
        <v>11</v>
      </c>
      <c r="E29">
        <v>20872317</v>
      </c>
      <c r="G29" s="10" t="s">
        <v>32</v>
      </c>
      <c r="H29" t="s">
        <v>14</v>
      </c>
      <c r="I29" s="7"/>
    </row>
    <row r="30" spans="2:9" x14ac:dyDescent="0.25">
      <c r="B30">
        <v>26</v>
      </c>
      <c r="C30" t="s">
        <v>57</v>
      </c>
      <c r="D30" s="1" t="s">
        <v>11</v>
      </c>
      <c r="E30">
        <v>73628363</v>
      </c>
      <c r="G30" s="10" t="s">
        <v>32</v>
      </c>
      <c r="H30" t="s">
        <v>14</v>
      </c>
      <c r="I30" s="7"/>
    </row>
    <row r="31" spans="2:9" x14ac:dyDescent="0.25">
      <c r="B31">
        <v>27</v>
      </c>
      <c r="C31" t="s">
        <v>60</v>
      </c>
      <c r="D31" s="1" t="s">
        <v>11</v>
      </c>
      <c r="E31">
        <v>79538678</v>
      </c>
      <c r="G31" s="10" t="s">
        <v>32</v>
      </c>
      <c r="H31" t="s">
        <v>59</v>
      </c>
      <c r="I31" s="7"/>
    </row>
    <row r="32" spans="2:9" x14ac:dyDescent="0.25">
      <c r="B32">
        <v>28</v>
      </c>
      <c r="C32" t="s">
        <v>62</v>
      </c>
      <c r="D32" s="1" t="s">
        <v>11</v>
      </c>
      <c r="E32">
        <v>52546175</v>
      </c>
      <c r="G32" s="10" t="s">
        <v>32</v>
      </c>
      <c r="H32" t="s">
        <v>30</v>
      </c>
      <c r="I32" s="7"/>
    </row>
    <row r="33" spans="2:9" x14ac:dyDescent="0.25">
      <c r="B33">
        <v>29</v>
      </c>
      <c r="C33" t="s">
        <v>63</v>
      </c>
      <c r="D33" s="1" t="s">
        <v>11</v>
      </c>
      <c r="E33">
        <v>1024591569</v>
      </c>
      <c r="G33" s="10" t="s">
        <v>32</v>
      </c>
      <c r="H33" t="s">
        <v>30</v>
      </c>
      <c r="I33" s="7"/>
    </row>
    <row r="34" spans="2:9" x14ac:dyDescent="0.25">
      <c r="B34">
        <v>30</v>
      </c>
      <c r="C34" t="s">
        <v>64</v>
      </c>
      <c r="D34" s="1" t="s">
        <v>55</v>
      </c>
      <c r="E34">
        <v>1073630515</v>
      </c>
      <c r="G34" s="10" t="s">
        <v>32</v>
      </c>
      <c r="H34" t="s">
        <v>30</v>
      </c>
      <c r="I34" s="7"/>
    </row>
    <row r="35" spans="2:9" x14ac:dyDescent="0.25">
      <c r="B35">
        <v>31</v>
      </c>
      <c r="C35" t="s">
        <v>65</v>
      </c>
      <c r="D35" s="1" t="s">
        <v>11</v>
      </c>
      <c r="E35">
        <v>52876946</v>
      </c>
      <c r="G35" s="10" t="s">
        <v>32</v>
      </c>
      <c r="H35" t="s">
        <v>30</v>
      </c>
      <c r="I35" s="7"/>
    </row>
    <row r="36" spans="2:9" x14ac:dyDescent="0.25">
      <c r="B36">
        <v>32</v>
      </c>
      <c r="C36" t="s">
        <v>66</v>
      </c>
      <c r="D36" s="1" t="s">
        <v>11</v>
      </c>
      <c r="E36">
        <v>91431055</v>
      </c>
      <c r="G36" s="10" t="s">
        <v>32</v>
      </c>
      <c r="H36" t="s">
        <v>30</v>
      </c>
      <c r="I36" s="7"/>
    </row>
    <row r="37" spans="2:9" x14ac:dyDescent="0.25">
      <c r="B37">
        <v>33</v>
      </c>
      <c r="C37" t="s">
        <v>67</v>
      </c>
      <c r="D37" s="1" t="s">
        <v>9</v>
      </c>
      <c r="E37">
        <v>1028870072</v>
      </c>
      <c r="G37" s="10" t="s">
        <v>32</v>
      </c>
      <c r="H37" t="s">
        <v>30</v>
      </c>
      <c r="I37" s="7"/>
    </row>
    <row r="38" spans="2:9" x14ac:dyDescent="0.25">
      <c r="B38">
        <v>34</v>
      </c>
      <c r="C38" s="3" t="s">
        <v>73</v>
      </c>
      <c r="D38" s="1" t="s">
        <v>11</v>
      </c>
      <c r="E38" s="1">
        <v>1073630384</v>
      </c>
      <c r="F38" s="1"/>
      <c r="G38" t="s">
        <v>74</v>
      </c>
      <c r="H38" t="s">
        <v>75</v>
      </c>
      <c r="I38" s="7"/>
    </row>
    <row r="39" spans="2:9" x14ac:dyDescent="0.25">
      <c r="B39">
        <v>35</v>
      </c>
      <c r="C39" s="3" t="s">
        <v>76</v>
      </c>
      <c r="D39" s="1" t="s">
        <v>11</v>
      </c>
      <c r="E39" s="1">
        <v>1121888616</v>
      </c>
      <c r="F39" s="1"/>
      <c r="G39" t="s">
        <v>74</v>
      </c>
      <c r="H39" t="s">
        <v>75</v>
      </c>
      <c r="I39" s="7"/>
    </row>
    <row r="40" spans="2:9" x14ac:dyDescent="0.25">
      <c r="B40">
        <v>36</v>
      </c>
      <c r="C40" s="3" t="s">
        <v>77</v>
      </c>
      <c r="D40" s="1" t="s">
        <v>9</v>
      </c>
      <c r="E40" s="1">
        <v>1195464772</v>
      </c>
      <c r="F40" s="1"/>
      <c r="G40" t="s">
        <v>74</v>
      </c>
      <c r="H40" t="s">
        <v>75</v>
      </c>
      <c r="I40" s="7"/>
    </row>
    <row r="41" spans="2:9" x14ac:dyDescent="0.25">
      <c r="B41" s="11"/>
      <c r="C41" s="3" t="s">
        <v>78</v>
      </c>
      <c r="D41" s="1" t="s">
        <v>55</v>
      </c>
      <c r="E41" s="1">
        <v>1072964377</v>
      </c>
      <c r="F41" s="1"/>
      <c r="G41" t="s">
        <v>74</v>
      </c>
      <c r="H41" t="s">
        <v>75</v>
      </c>
      <c r="I41" s="7"/>
    </row>
    <row r="42" spans="2:9" x14ac:dyDescent="0.25">
      <c r="B42">
        <v>37</v>
      </c>
      <c r="C42" t="s">
        <v>80</v>
      </c>
      <c r="D42" s="1" t="s">
        <v>11</v>
      </c>
      <c r="E42">
        <v>1007159495</v>
      </c>
      <c r="F42" s="1">
        <v>3207222963</v>
      </c>
      <c r="G42" t="s">
        <v>13</v>
      </c>
      <c r="H42" t="s">
        <v>14</v>
      </c>
      <c r="I42" s="7"/>
    </row>
  </sheetData>
  <conditionalFormatting sqref="E1:E1048576">
    <cfRule type="duplicateValues" dxfId="8" priority="1"/>
  </conditionalFormatting>
  <conditionalFormatting sqref="E5:F42">
    <cfRule type="duplicateValues" dxfId="7" priority="11"/>
    <cfRule type="duplicateValues" dxfId="6" priority="1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0F79-A6CD-4E56-83D8-AFA35E70E54A}">
  <dimension ref="B3:L44"/>
  <sheetViews>
    <sheetView topLeftCell="A16" workbookViewId="0">
      <selection activeCell="E45" sqref="E45"/>
    </sheetView>
  </sheetViews>
  <sheetFormatPr baseColWidth="10" defaultRowHeight="15" x14ac:dyDescent="0.25"/>
  <cols>
    <col min="2" max="2" width="5.42578125" bestFit="1" customWidth="1"/>
    <col min="3" max="3" width="32.140625" bestFit="1" customWidth="1"/>
    <col min="4" max="4" width="6.140625" bestFit="1" customWidth="1"/>
    <col min="5" max="5" width="12.7109375" bestFit="1" customWidth="1"/>
    <col min="7" max="7" width="19.28515625" bestFit="1" customWidth="1"/>
    <col min="8" max="8" width="13.28515625" customWidth="1"/>
    <col min="10" max="10" width="16.42578125" customWidth="1"/>
    <col min="12" max="12" width="12.5703125" customWidth="1"/>
  </cols>
  <sheetData>
    <row r="3" spans="2:12" x14ac:dyDescent="0.25">
      <c r="B3" t="s">
        <v>0</v>
      </c>
      <c r="C3" t="s">
        <v>1</v>
      </c>
      <c r="D3" t="s">
        <v>2</v>
      </c>
      <c r="E3" t="s">
        <v>3</v>
      </c>
      <c r="F3" t="s">
        <v>16</v>
      </c>
      <c r="G3" t="s">
        <v>26</v>
      </c>
      <c r="H3" t="s">
        <v>12</v>
      </c>
      <c r="I3" t="s">
        <v>4</v>
      </c>
      <c r="J3" t="s">
        <v>5</v>
      </c>
      <c r="K3" t="s">
        <v>6</v>
      </c>
      <c r="L3" t="s">
        <v>7</v>
      </c>
    </row>
    <row r="4" spans="2:12" x14ac:dyDescent="0.25">
      <c r="B4">
        <v>1</v>
      </c>
      <c r="C4" t="s">
        <v>8</v>
      </c>
      <c r="D4" t="s">
        <v>9</v>
      </c>
      <c r="E4">
        <v>1075629884</v>
      </c>
      <c r="H4" t="s">
        <v>13</v>
      </c>
      <c r="J4" t="s">
        <v>14</v>
      </c>
    </row>
    <row r="5" spans="2:12" x14ac:dyDescent="0.25">
      <c r="B5">
        <v>2</v>
      </c>
      <c r="C5" t="s">
        <v>10</v>
      </c>
      <c r="D5" t="s">
        <v>11</v>
      </c>
      <c r="E5">
        <v>21018743</v>
      </c>
      <c r="H5" t="s">
        <v>13</v>
      </c>
      <c r="I5">
        <v>3138859110</v>
      </c>
      <c r="J5" t="s">
        <v>14</v>
      </c>
    </row>
    <row r="6" spans="2:12" x14ac:dyDescent="0.25">
      <c r="B6">
        <v>3</v>
      </c>
      <c r="C6" t="s">
        <v>15</v>
      </c>
      <c r="D6" t="s">
        <v>11</v>
      </c>
      <c r="E6">
        <v>24162429</v>
      </c>
      <c r="F6">
        <v>57</v>
      </c>
      <c r="H6" t="s">
        <v>13</v>
      </c>
      <c r="J6" t="s">
        <v>14</v>
      </c>
    </row>
    <row r="7" spans="2:12" x14ac:dyDescent="0.25">
      <c r="B7">
        <v>4</v>
      </c>
      <c r="C7" t="s">
        <v>17</v>
      </c>
      <c r="D7" t="s">
        <v>11</v>
      </c>
      <c r="E7">
        <v>54800058</v>
      </c>
      <c r="F7">
        <v>38</v>
      </c>
      <c r="H7" t="s">
        <v>13</v>
      </c>
      <c r="J7" t="s">
        <v>14</v>
      </c>
    </row>
    <row r="8" spans="2:12" x14ac:dyDescent="0.25">
      <c r="B8">
        <v>5</v>
      </c>
      <c r="C8" t="s">
        <v>18</v>
      </c>
      <c r="D8" t="s">
        <v>9</v>
      </c>
      <c r="E8">
        <v>1016014254</v>
      </c>
      <c r="F8">
        <v>17</v>
      </c>
      <c r="H8" t="s">
        <v>13</v>
      </c>
      <c r="J8" t="s">
        <v>14</v>
      </c>
    </row>
    <row r="9" spans="2:12" x14ac:dyDescent="0.25">
      <c r="B9">
        <v>6</v>
      </c>
      <c r="C9" t="s">
        <v>19</v>
      </c>
      <c r="D9" t="s">
        <v>9</v>
      </c>
      <c r="E9">
        <v>1016014252</v>
      </c>
      <c r="F9">
        <v>17</v>
      </c>
      <c r="H9" t="s">
        <v>13</v>
      </c>
      <c r="J9" t="s">
        <v>14</v>
      </c>
    </row>
    <row r="10" spans="2:12" x14ac:dyDescent="0.25">
      <c r="B10">
        <v>7</v>
      </c>
      <c r="C10" t="s">
        <v>20</v>
      </c>
      <c r="D10" t="s">
        <v>9</v>
      </c>
      <c r="E10">
        <v>21018645</v>
      </c>
      <c r="F10">
        <v>42</v>
      </c>
      <c r="H10" t="s">
        <v>13</v>
      </c>
      <c r="J10" t="s">
        <v>14</v>
      </c>
    </row>
    <row r="11" spans="2:12" x14ac:dyDescent="0.25">
      <c r="B11">
        <v>8</v>
      </c>
      <c r="C11" t="s">
        <v>21</v>
      </c>
      <c r="D11" t="s">
        <v>11</v>
      </c>
      <c r="E11">
        <v>80357344</v>
      </c>
      <c r="F11">
        <v>43</v>
      </c>
      <c r="H11" t="s">
        <v>13</v>
      </c>
      <c r="J11" t="s">
        <v>14</v>
      </c>
    </row>
    <row r="12" spans="2:12" x14ac:dyDescent="0.25">
      <c r="B12">
        <v>9</v>
      </c>
      <c r="C12" t="s">
        <v>22</v>
      </c>
      <c r="D12" t="s">
        <v>11</v>
      </c>
      <c r="E12">
        <v>1075624459</v>
      </c>
      <c r="F12">
        <v>37</v>
      </c>
      <c r="H12" t="s">
        <v>13</v>
      </c>
      <c r="J12" t="s">
        <v>14</v>
      </c>
    </row>
    <row r="13" spans="2:12" x14ac:dyDescent="0.25">
      <c r="B13">
        <v>10</v>
      </c>
      <c r="C13" t="s">
        <v>23</v>
      </c>
      <c r="D13" t="s">
        <v>9</v>
      </c>
      <c r="E13">
        <v>1072099839</v>
      </c>
      <c r="F13">
        <v>17</v>
      </c>
      <c r="H13" t="s">
        <v>13</v>
      </c>
      <c r="J13" t="s">
        <v>14</v>
      </c>
    </row>
    <row r="14" spans="2:12" x14ac:dyDescent="0.25">
      <c r="B14">
        <v>11</v>
      </c>
      <c r="C14" t="s">
        <v>24</v>
      </c>
      <c r="D14" t="s">
        <v>11</v>
      </c>
      <c r="E14">
        <v>1010085329</v>
      </c>
      <c r="F14">
        <v>23</v>
      </c>
      <c r="G14" s="5">
        <v>36901</v>
      </c>
      <c r="J14" t="s">
        <v>30</v>
      </c>
    </row>
    <row r="15" spans="2:12" x14ac:dyDescent="0.25">
      <c r="B15">
        <v>12</v>
      </c>
      <c r="C15" t="s">
        <v>28</v>
      </c>
      <c r="D15" t="s">
        <v>11</v>
      </c>
      <c r="E15">
        <v>1073629857</v>
      </c>
      <c r="F15">
        <f>2024-1995</f>
        <v>29</v>
      </c>
      <c r="G15" s="5">
        <v>34796</v>
      </c>
      <c r="J15" t="s">
        <v>30</v>
      </c>
    </row>
    <row r="16" spans="2:12" x14ac:dyDescent="0.25">
      <c r="B16">
        <v>13</v>
      </c>
      <c r="C16" t="s">
        <v>31</v>
      </c>
      <c r="D16" t="s">
        <v>9</v>
      </c>
      <c r="E16">
        <v>1141333372</v>
      </c>
      <c r="F16">
        <v>13</v>
      </c>
      <c r="G16" s="5">
        <v>18083</v>
      </c>
      <c r="H16" t="s">
        <v>32</v>
      </c>
      <c r="I16" t="s">
        <v>33</v>
      </c>
      <c r="J16" t="s">
        <v>14</v>
      </c>
    </row>
    <row r="17" spans="2:11" x14ac:dyDescent="0.25">
      <c r="B17">
        <v>14</v>
      </c>
      <c r="C17" t="s">
        <v>35</v>
      </c>
      <c r="D17" t="s">
        <v>11</v>
      </c>
      <c r="E17">
        <v>21015872</v>
      </c>
      <c r="G17" s="5"/>
      <c r="H17" t="s">
        <v>32</v>
      </c>
      <c r="I17" t="s">
        <v>34</v>
      </c>
      <c r="J17" t="s">
        <v>14</v>
      </c>
    </row>
    <row r="18" spans="2:11" x14ac:dyDescent="0.25">
      <c r="B18">
        <v>15</v>
      </c>
      <c r="C18" t="s">
        <v>36</v>
      </c>
      <c r="D18" t="s">
        <v>11</v>
      </c>
      <c r="E18">
        <v>20871935</v>
      </c>
      <c r="F18">
        <v>49</v>
      </c>
      <c r="G18" s="5">
        <v>27246</v>
      </c>
      <c r="H18" t="s">
        <v>32</v>
      </c>
      <c r="J18" t="s">
        <v>38</v>
      </c>
      <c r="K18">
        <v>50000</v>
      </c>
    </row>
    <row r="19" spans="2:11" x14ac:dyDescent="0.25">
      <c r="B19">
        <v>16</v>
      </c>
      <c r="C19" t="s">
        <v>37</v>
      </c>
      <c r="D19" t="s">
        <v>11</v>
      </c>
      <c r="E19">
        <v>11451193</v>
      </c>
      <c r="F19">
        <v>52</v>
      </c>
      <c r="G19" s="5">
        <v>26311</v>
      </c>
      <c r="H19" t="s">
        <v>32</v>
      </c>
      <c r="J19" t="s">
        <v>38</v>
      </c>
      <c r="K19">
        <v>50000</v>
      </c>
    </row>
    <row r="20" spans="2:11" x14ac:dyDescent="0.25">
      <c r="B20">
        <v>17</v>
      </c>
      <c r="C20" t="s">
        <v>39</v>
      </c>
      <c r="D20" t="s">
        <v>11</v>
      </c>
      <c r="E20">
        <v>21017103</v>
      </c>
      <c r="H20" t="s">
        <v>13</v>
      </c>
      <c r="J20" t="s">
        <v>14</v>
      </c>
    </row>
    <row r="21" spans="2:11" x14ac:dyDescent="0.25">
      <c r="B21">
        <v>18</v>
      </c>
      <c r="C21" t="s">
        <v>41</v>
      </c>
      <c r="D21" t="s">
        <v>11</v>
      </c>
      <c r="E21">
        <v>1073628525</v>
      </c>
      <c r="F21">
        <v>35</v>
      </c>
      <c r="G21">
        <v>32461</v>
      </c>
      <c r="J21" t="s">
        <v>38</v>
      </c>
    </row>
    <row r="22" spans="2:11" x14ac:dyDescent="0.25">
      <c r="B22">
        <v>19</v>
      </c>
      <c r="C22" t="s">
        <v>42</v>
      </c>
      <c r="D22" t="s">
        <v>11</v>
      </c>
      <c r="E22">
        <v>1000459494</v>
      </c>
      <c r="F22">
        <v>23</v>
      </c>
      <c r="G22">
        <v>36782</v>
      </c>
      <c r="J22" t="s">
        <v>38</v>
      </c>
    </row>
    <row r="23" spans="2:11" x14ac:dyDescent="0.25">
      <c r="B23">
        <v>20</v>
      </c>
      <c r="C23" t="s">
        <v>43</v>
      </c>
      <c r="D23" t="s">
        <v>11</v>
      </c>
      <c r="E23">
        <v>1073630707</v>
      </c>
      <c r="F23">
        <v>5</v>
      </c>
      <c r="G23">
        <v>43341</v>
      </c>
      <c r="J23" t="s">
        <v>38</v>
      </c>
    </row>
    <row r="24" spans="2:11" x14ac:dyDescent="0.25">
      <c r="B24">
        <v>21</v>
      </c>
      <c r="C24" t="s">
        <v>44</v>
      </c>
      <c r="D24" t="s">
        <v>11</v>
      </c>
      <c r="E24">
        <v>21013782</v>
      </c>
      <c r="F24">
        <v>65</v>
      </c>
      <c r="G24">
        <v>21443</v>
      </c>
      <c r="J24" t="s">
        <v>38</v>
      </c>
    </row>
    <row r="25" spans="2:11" x14ac:dyDescent="0.25">
      <c r="B25">
        <v>22</v>
      </c>
      <c r="C25" t="s">
        <v>45</v>
      </c>
      <c r="D25" t="s">
        <v>11</v>
      </c>
      <c r="E25">
        <v>93338047</v>
      </c>
      <c r="J25" t="s">
        <v>50</v>
      </c>
    </row>
    <row r="26" spans="2:11" x14ac:dyDescent="0.25">
      <c r="B26">
        <v>23</v>
      </c>
      <c r="C26" t="s">
        <v>46</v>
      </c>
      <c r="D26" t="s">
        <v>11</v>
      </c>
      <c r="E26">
        <v>1075626865</v>
      </c>
      <c r="J26" t="s">
        <v>50</v>
      </c>
    </row>
    <row r="27" spans="2:11" x14ac:dyDescent="0.25">
      <c r="B27">
        <v>24</v>
      </c>
      <c r="C27" t="s">
        <v>47</v>
      </c>
      <c r="D27" t="s">
        <v>11</v>
      </c>
      <c r="E27">
        <v>21017274</v>
      </c>
      <c r="J27" t="s">
        <v>50</v>
      </c>
    </row>
    <row r="28" spans="2:11" x14ac:dyDescent="0.25">
      <c r="B28">
        <v>25</v>
      </c>
      <c r="C28" t="s">
        <v>48</v>
      </c>
      <c r="J28" t="s">
        <v>50</v>
      </c>
    </row>
    <row r="29" spans="2:11" x14ac:dyDescent="0.25">
      <c r="B29">
        <v>26</v>
      </c>
      <c r="C29" t="s">
        <v>49</v>
      </c>
      <c r="J29" t="s">
        <v>50</v>
      </c>
    </row>
    <row r="30" spans="2:11" x14ac:dyDescent="0.25">
      <c r="B30">
        <v>27</v>
      </c>
      <c r="C30" t="s">
        <v>51</v>
      </c>
      <c r="D30" t="s">
        <v>11</v>
      </c>
      <c r="E30" s="6">
        <v>80356348</v>
      </c>
      <c r="H30" t="s">
        <v>13</v>
      </c>
      <c r="I30" t="s">
        <v>14</v>
      </c>
      <c r="J30" s="7"/>
    </row>
    <row r="31" spans="2:11" x14ac:dyDescent="0.25">
      <c r="B31">
        <v>28</v>
      </c>
      <c r="C31" t="s">
        <v>52</v>
      </c>
      <c r="D31" t="s">
        <v>11</v>
      </c>
      <c r="E31" s="6">
        <v>1064576139</v>
      </c>
      <c r="H31" t="s">
        <v>13</v>
      </c>
      <c r="I31" t="s">
        <v>14</v>
      </c>
      <c r="J31" s="7"/>
    </row>
    <row r="32" spans="2:11" x14ac:dyDescent="0.25">
      <c r="B32">
        <v>29</v>
      </c>
      <c r="C32" t="s">
        <v>53</v>
      </c>
      <c r="D32" t="s">
        <v>9</v>
      </c>
      <c r="E32" s="6">
        <v>1067035410</v>
      </c>
      <c r="H32" t="s">
        <v>13</v>
      </c>
      <c r="I32" t="s">
        <v>14</v>
      </c>
      <c r="J32" s="7"/>
    </row>
    <row r="33" spans="2:10" x14ac:dyDescent="0.25">
      <c r="B33">
        <v>30</v>
      </c>
      <c r="C33" t="s">
        <v>54</v>
      </c>
      <c r="D33" t="s">
        <v>55</v>
      </c>
      <c r="E33" s="6">
        <v>1067037481</v>
      </c>
      <c r="H33" t="s">
        <v>13</v>
      </c>
      <c r="I33" t="s">
        <v>14</v>
      </c>
      <c r="J33" s="7"/>
    </row>
    <row r="34" spans="2:10" x14ac:dyDescent="0.25">
      <c r="B34">
        <v>31</v>
      </c>
      <c r="C34" t="s">
        <v>56</v>
      </c>
      <c r="D34" t="s">
        <v>11</v>
      </c>
      <c r="E34">
        <v>20872317</v>
      </c>
      <c r="H34" t="s">
        <v>32</v>
      </c>
      <c r="I34" t="s">
        <v>14</v>
      </c>
      <c r="J34" s="7"/>
    </row>
    <row r="35" spans="2:10" x14ac:dyDescent="0.25">
      <c r="B35">
        <v>32</v>
      </c>
      <c r="C35" t="s">
        <v>57</v>
      </c>
      <c r="D35" t="s">
        <v>11</v>
      </c>
      <c r="E35" s="6">
        <v>73628363</v>
      </c>
      <c r="H35" t="s">
        <v>32</v>
      </c>
      <c r="I35" t="s">
        <v>14</v>
      </c>
      <c r="J35" s="7"/>
    </row>
    <row r="36" spans="2:10" x14ac:dyDescent="0.25">
      <c r="B36">
        <v>33</v>
      </c>
      <c r="C36" t="s">
        <v>58</v>
      </c>
      <c r="D36" t="s">
        <v>11</v>
      </c>
      <c r="E36" s="8">
        <v>79656808</v>
      </c>
      <c r="H36" t="s">
        <v>13</v>
      </c>
      <c r="I36" t="s">
        <v>59</v>
      </c>
      <c r="J36" s="7"/>
    </row>
    <row r="37" spans="2:10" x14ac:dyDescent="0.25">
      <c r="B37">
        <v>34</v>
      </c>
      <c r="C37" t="s">
        <v>60</v>
      </c>
      <c r="D37" t="s">
        <v>11</v>
      </c>
      <c r="E37" s="6">
        <v>79538678</v>
      </c>
      <c r="H37" t="s">
        <v>32</v>
      </c>
      <c r="I37" t="s">
        <v>59</v>
      </c>
      <c r="J37" s="7"/>
    </row>
    <row r="38" spans="2:10" x14ac:dyDescent="0.25">
      <c r="B38">
        <v>35</v>
      </c>
      <c r="C38" t="s">
        <v>61</v>
      </c>
      <c r="D38" t="s">
        <v>11</v>
      </c>
      <c r="E38" s="2">
        <v>1075628177</v>
      </c>
      <c r="H38" t="s">
        <v>13</v>
      </c>
      <c r="I38" t="s">
        <v>59</v>
      </c>
      <c r="J38" s="7"/>
    </row>
    <row r="39" spans="2:10" x14ac:dyDescent="0.25">
      <c r="B39">
        <v>36</v>
      </c>
      <c r="C39" t="s">
        <v>62</v>
      </c>
      <c r="D39" t="s">
        <v>11</v>
      </c>
      <c r="E39" s="6">
        <v>52546175</v>
      </c>
      <c r="H39" t="s">
        <v>32</v>
      </c>
      <c r="I39" t="s">
        <v>30</v>
      </c>
      <c r="J39" s="7"/>
    </row>
    <row r="40" spans="2:10" x14ac:dyDescent="0.25">
      <c r="B40">
        <v>37</v>
      </c>
      <c r="C40" t="s">
        <v>63</v>
      </c>
      <c r="D40" t="s">
        <v>11</v>
      </c>
      <c r="E40" s="6">
        <v>1024591569</v>
      </c>
      <c r="H40" t="s">
        <v>32</v>
      </c>
      <c r="I40" t="s">
        <v>30</v>
      </c>
      <c r="J40" s="7"/>
    </row>
    <row r="41" spans="2:10" x14ac:dyDescent="0.25">
      <c r="B41">
        <v>38</v>
      </c>
      <c r="C41" t="s">
        <v>64</v>
      </c>
      <c r="D41" t="s">
        <v>55</v>
      </c>
      <c r="E41" s="6">
        <v>1073630515</v>
      </c>
      <c r="H41" t="s">
        <v>32</v>
      </c>
      <c r="I41" t="s">
        <v>30</v>
      </c>
      <c r="J41" s="7"/>
    </row>
    <row r="42" spans="2:10" x14ac:dyDescent="0.25">
      <c r="B42">
        <v>39</v>
      </c>
      <c r="C42" t="s">
        <v>65</v>
      </c>
      <c r="D42" t="s">
        <v>11</v>
      </c>
      <c r="E42" s="6">
        <v>52876946</v>
      </c>
      <c r="H42" t="s">
        <v>32</v>
      </c>
      <c r="I42" t="s">
        <v>30</v>
      </c>
      <c r="J42" s="7"/>
    </row>
    <row r="43" spans="2:10" x14ac:dyDescent="0.25">
      <c r="B43">
        <v>40</v>
      </c>
      <c r="C43" t="s">
        <v>66</v>
      </c>
      <c r="D43" t="s">
        <v>11</v>
      </c>
      <c r="E43" s="6">
        <v>91431055</v>
      </c>
      <c r="H43" t="s">
        <v>32</v>
      </c>
      <c r="I43" t="s">
        <v>30</v>
      </c>
      <c r="J43" s="7"/>
    </row>
    <row r="44" spans="2:10" x14ac:dyDescent="0.25">
      <c r="B44">
        <v>41</v>
      </c>
      <c r="C44" t="s">
        <v>67</v>
      </c>
      <c r="D44" t="s">
        <v>9</v>
      </c>
      <c r="E44" s="6">
        <v>1028870072</v>
      </c>
      <c r="H44" t="s">
        <v>32</v>
      </c>
      <c r="I44" t="s">
        <v>30</v>
      </c>
      <c r="J44" s="7"/>
    </row>
  </sheetData>
  <conditionalFormatting sqref="E4:E44">
    <cfRule type="duplicateValues" dxfId="5" priority="3"/>
  </conditionalFormatting>
  <conditionalFormatting sqref="E30:E44">
    <cfRule type="duplicateValues" dxfId="4" priority="1"/>
    <cfRule type="duplicateValues" dxfId="3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B55A-82F0-4E77-A5B1-6D3F059DC30E}">
  <dimension ref="B2:L26"/>
  <sheetViews>
    <sheetView workbookViewId="0">
      <selection activeCell="B2" sqref="B2:H40"/>
    </sheetView>
  </sheetViews>
  <sheetFormatPr baseColWidth="10" defaultRowHeight="15" x14ac:dyDescent="0.25"/>
  <cols>
    <col min="2" max="2" width="5.28515625" style="1" customWidth="1"/>
    <col min="3" max="3" width="31" style="3" bestFit="1" customWidth="1"/>
    <col min="4" max="4" width="6" style="1" customWidth="1"/>
    <col min="5" max="5" width="13.7109375" style="1" bestFit="1" customWidth="1"/>
    <col min="6" max="6" width="17.28515625" style="1" bestFit="1" customWidth="1"/>
    <col min="7" max="7" width="12.5703125" style="1" customWidth="1"/>
    <col min="8" max="8" width="15.7109375" style="1" bestFit="1" customWidth="1"/>
    <col min="9" max="9" width="11" style="1" bestFit="1" customWidth="1"/>
    <col min="10" max="10" width="16.42578125" style="1" customWidth="1"/>
    <col min="11" max="11" width="9.85546875" style="1" customWidth="1"/>
    <col min="12" max="12" width="12.5703125" style="1" customWidth="1"/>
  </cols>
  <sheetData>
    <row r="2" spans="2:12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16</v>
      </c>
      <c r="G2" s="1" t="s">
        <v>26</v>
      </c>
      <c r="H2" s="1" t="s">
        <v>12</v>
      </c>
      <c r="I2" s="1" t="s">
        <v>4</v>
      </c>
      <c r="J2" s="1" t="s">
        <v>5</v>
      </c>
      <c r="K2" s="1" t="s">
        <v>6</v>
      </c>
      <c r="L2" s="1" t="s">
        <v>7</v>
      </c>
    </row>
    <row r="3" spans="2:12" x14ac:dyDescent="0.25">
      <c r="B3" s="1">
        <v>1</v>
      </c>
      <c r="C3" s="3" t="s">
        <v>8</v>
      </c>
      <c r="D3" s="1" t="s">
        <v>9</v>
      </c>
      <c r="E3" s="2">
        <v>1075629884</v>
      </c>
      <c r="H3" s="1" t="s">
        <v>13</v>
      </c>
      <c r="J3" s="1" t="s">
        <v>14</v>
      </c>
    </row>
    <row r="4" spans="2:12" x14ac:dyDescent="0.25">
      <c r="B4" s="1">
        <v>2</v>
      </c>
      <c r="C4" s="3" t="s">
        <v>10</v>
      </c>
      <c r="D4" s="1" t="s">
        <v>11</v>
      </c>
      <c r="E4" s="2">
        <v>21018743</v>
      </c>
      <c r="H4" s="1" t="s">
        <v>13</v>
      </c>
      <c r="I4" s="1">
        <v>3138859110</v>
      </c>
      <c r="J4" s="1" t="s">
        <v>14</v>
      </c>
    </row>
    <row r="5" spans="2:12" x14ac:dyDescent="0.25">
      <c r="B5" s="1">
        <v>3</v>
      </c>
      <c r="C5" s="3" t="s">
        <v>15</v>
      </c>
      <c r="D5" s="1" t="s">
        <v>11</v>
      </c>
      <c r="E5" s="2">
        <v>24162429</v>
      </c>
      <c r="F5" s="1">
        <v>57</v>
      </c>
      <c r="H5" s="1" t="s">
        <v>13</v>
      </c>
      <c r="J5" s="1" t="s">
        <v>14</v>
      </c>
    </row>
    <row r="6" spans="2:12" x14ac:dyDescent="0.25">
      <c r="B6" s="1">
        <v>4</v>
      </c>
      <c r="C6" s="3" t="s">
        <v>17</v>
      </c>
      <c r="D6" s="1" t="s">
        <v>11</v>
      </c>
      <c r="E6" s="2">
        <v>54800058</v>
      </c>
      <c r="F6" s="1">
        <v>38</v>
      </c>
      <c r="H6" s="1" t="s">
        <v>13</v>
      </c>
      <c r="J6" s="1" t="s">
        <v>14</v>
      </c>
    </row>
    <row r="7" spans="2:12" x14ac:dyDescent="0.25">
      <c r="B7" s="1">
        <v>5</v>
      </c>
      <c r="C7" s="3" t="s">
        <v>18</v>
      </c>
      <c r="D7" s="1" t="s">
        <v>9</v>
      </c>
      <c r="E7" s="2">
        <v>1016014254</v>
      </c>
      <c r="F7" s="1">
        <v>17</v>
      </c>
      <c r="H7" s="1" t="s">
        <v>13</v>
      </c>
      <c r="J7" s="1" t="s">
        <v>14</v>
      </c>
    </row>
    <row r="8" spans="2:12" x14ac:dyDescent="0.25">
      <c r="B8" s="1">
        <v>6</v>
      </c>
      <c r="C8" s="3" t="s">
        <v>19</v>
      </c>
      <c r="D8" s="1" t="s">
        <v>9</v>
      </c>
      <c r="E8" s="2">
        <v>1016014252</v>
      </c>
      <c r="F8" s="1">
        <v>17</v>
      </c>
      <c r="H8" s="1" t="s">
        <v>13</v>
      </c>
      <c r="J8" s="1" t="s">
        <v>14</v>
      </c>
    </row>
    <row r="9" spans="2:12" x14ac:dyDescent="0.25">
      <c r="B9" s="1">
        <v>7</v>
      </c>
      <c r="C9" s="3" t="s">
        <v>20</v>
      </c>
      <c r="D9" s="1" t="s">
        <v>9</v>
      </c>
      <c r="E9" s="2">
        <v>21018645</v>
      </c>
      <c r="F9" s="1">
        <v>42</v>
      </c>
      <c r="H9" s="1" t="s">
        <v>13</v>
      </c>
      <c r="J9" s="1" t="s">
        <v>14</v>
      </c>
    </row>
    <row r="10" spans="2:12" x14ac:dyDescent="0.25">
      <c r="B10" s="1">
        <v>8</v>
      </c>
      <c r="C10" s="3" t="s">
        <v>21</v>
      </c>
      <c r="D10" s="1" t="s">
        <v>11</v>
      </c>
      <c r="E10" s="2">
        <v>80357344</v>
      </c>
      <c r="F10" s="1">
        <v>43</v>
      </c>
      <c r="H10" s="1" t="s">
        <v>13</v>
      </c>
      <c r="J10" s="1" t="s">
        <v>14</v>
      </c>
    </row>
    <row r="11" spans="2:12" x14ac:dyDescent="0.25">
      <c r="B11" s="1">
        <v>9</v>
      </c>
      <c r="C11" s="3" t="s">
        <v>22</v>
      </c>
      <c r="D11" s="1" t="s">
        <v>11</v>
      </c>
      <c r="E11" s="2">
        <v>1075624459</v>
      </c>
      <c r="F11" s="1">
        <v>37</v>
      </c>
      <c r="H11" s="1" t="s">
        <v>13</v>
      </c>
      <c r="J11" s="1" t="s">
        <v>14</v>
      </c>
    </row>
    <row r="12" spans="2:12" x14ac:dyDescent="0.25">
      <c r="B12" s="1">
        <v>10</v>
      </c>
      <c r="C12" s="3" t="s">
        <v>23</v>
      </c>
      <c r="D12" s="1" t="s">
        <v>9</v>
      </c>
      <c r="E12" s="2">
        <v>1072099839</v>
      </c>
      <c r="F12" s="1">
        <v>17</v>
      </c>
      <c r="H12" s="1" t="s">
        <v>13</v>
      </c>
      <c r="J12" s="1" t="s">
        <v>14</v>
      </c>
    </row>
    <row r="13" spans="2:12" x14ac:dyDescent="0.25">
      <c r="B13" s="1">
        <v>11</v>
      </c>
      <c r="C13" s="3" t="s">
        <v>24</v>
      </c>
      <c r="D13" s="1" t="s">
        <v>11</v>
      </c>
      <c r="E13" s="2">
        <v>1010085329</v>
      </c>
      <c r="G13" s="1" t="s">
        <v>27</v>
      </c>
      <c r="J13" s="1" t="s">
        <v>30</v>
      </c>
    </row>
    <row r="14" spans="2:12" x14ac:dyDescent="0.25">
      <c r="B14" s="1">
        <v>12</v>
      </c>
      <c r="C14" s="3" t="s">
        <v>28</v>
      </c>
      <c r="D14" s="1" t="s">
        <v>11</v>
      </c>
      <c r="E14" s="2">
        <v>1073629857</v>
      </c>
      <c r="F14" s="1" t="s">
        <v>29</v>
      </c>
      <c r="J14" s="1" t="s">
        <v>30</v>
      </c>
    </row>
    <row r="15" spans="2:12" x14ac:dyDescent="0.25">
      <c r="B15" s="1">
        <v>13</v>
      </c>
      <c r="C15" s="3" t="s">
        <v>31</v>
      </c>
      <c r="D15" s="1" t="s">
        <v>9</v>
      </c>
      <c r="E15" s="2">
        <v>1141333372</v>
      </c>
      <c r="F15" s="1">
        <v>13</v>
      </c>
      <c r="G15" s="4">
        <v>40749</v>
      </c>
      <c r="H15" s="1" t="s">
        <v>32</v>
      </c>
      <c r="I15" s="1" t="s">
        <v>33</v>
      </c>
      <c r="J15" s="1" t="s">
        <v>14</v>
      </c>
    </row>
    <row r="16" spans="2:12" x14ac:dyDescent="0.25">
      <c r="B16" s="1">
        <v>14</v>
      </c>
      <c r="C16" s="3" t="s">
        <v>35</v>
      </c>
      <c r="D16" s="1" t="s">
        <v>11</v>
      </c>
      <c r="E16" s="2">
        <v>21015872</v>
      </c>
      <c r="G16" s="4">
        <v>24885</v>
      </c>
      <c r="H16" s="1" t="s">
        <v>32</v>
      </c>
      <c r="I16" s="1" t="s">
        <v>34</v>
      </c>
      <c r="J16" s="1" t="s">
        <v>14</v>
      </c>
      <c r="K16" s="2"/>
    </row>
    <row r="17" spans="2:12" x14ac:dyDescent="0.25">
      <c r="B17" s="1">
        <v>15</v>
      </c>
      <c r="C17" s="3" t="s">
        <v>36</v>
      </c>
      <c r="D17" s="1" t="s">
        <v>11</v>
      </c>
      <c r="E17" s="2">
        <v>20871935</v>
      </c>
      <c r="F17" s="1">
        <f>2023-1974</f>
        <v>49</v>
      </c>
      <c r="G17" s="4">
        <v>27246</v>
      </c>
      <c r="H17" s="1" t="s">
        <v>32</v>
      </c>
      <c r="J17" s="1" t="s">
        <v>38</v>
      </c>
      <c r="K17" s="2">
        <v>50000</v>
      </c>
    </row>
    <row r="18" spans="2:12" x14ac:dyDescent="0.25">
      <c r="B18" s="1">
        <v>16</v>
      </c>
      <c r="C18" s="3" t="s">
        <v>37</v>
      </c>
      <c r="D18" s="1" t="s">
        <v>11</v>
      </c>
      <c r="E18" s="2">
        <v>11451193</v>
      </c>
      <c r="F18" s="1">
        <f>2024-1972</f>
        <v>52</v>
      </c>
      <c r="G18" s="4">
        <v>26311</v>
      </c>
      <c r="H18" s="1" t="s">
        <v>32</v>
      </c>
      <c r="J18" s="1" t="s">
        <v>38</v>
      </c>
      <c r="K18" s="2">
        <v>50000</v>
      </c>
    </row>
    <row r="19" spans="2:12" x14ac:dyDescent="0.25">
      <c r="B19" s="1">
        <v>17</v>
      </c>
      <c r="C19" s="3" t="s">
        <v>39</v>
      </c>
      <c r="D19" s="1" t="s">
        <v>11</v>
      </c>
      <c r="E19" s="2">
        <v>21017103</v>
      </c>
      <c r="H19" s="1" t="s">
        <v>13</v>
      </c>
      <c r="J19" s="1" t="s">
        <v>14</v>
      </c>
    </row>
    <row r="20" spans="2:12" x14ac:dyDescent="0.25">
      <c r="B20" s="1">
        <v>18</v>
      </c>
      <c r="C20" s="3" t="s">
        <v>8</v>
      </c>
      <c r="D20" s="1" t="s">
        <v>9</v>
      </c>
      <c r="E20" s="2">
        <v>1075629884</v>
      </c>
      <c r="I20" s="1">
        <v>3138859110</v>
      </c>
      <c r="J20" s="1" t="s">
        <v>14</v>
      </c>
      <c r="K20" s="1" t="s">
        <v>40</v>
      </c>
      <c r="L20" s="1" t="s">
        <v>25</v>
      </c>
    </row>
    <row r="21" spans="2:12" x14ac:dyDescent="0.25">
      <c r="B21" s="1">
        <v>19</v>
      </c>
      <c r="C21" s="3" t="s">
        <v>10</v>
      </c>
      <c r="D21" s="1" t="s">
        <v>11</v>
      </c>
      <c r="E21" s="2">
        <v>21018743</v>
      </c>
      <c r="J21" s="1" t="s">
        <v>14</v>
      </c>
    </row>
    <row r="22" spans="2:12" x14ac:dyDescent="0.25">
      <c r="B22" s="1">
        <v>20</v>
      </c>
      <c r="C22" s="3" t="s">
        <v>41</v>
      </c>
      <c r="D22" s="1" t="s">
        <v>11</v>
      </c>
      <c r="E22" s="1">
        <v>1073628525</v>
      </c>
      <c r="F22" s="1">
        <f>2023-1988</f>
        <v>35</v>
      </c>
      <c r="G22" s="4">
        <v>32461</v>
      </c>
      <c r="J22" s="1" t="s">
        <v>38</v>
      </c>
    </row>
    <row r="23" spans="2:12" x14ac:dyDescent="0.25">
      <c r="B23" s="1">
        <v>21</v>
      </c>
      <c r="C23" s="3" t="s">
        <v>42</v>
      </c>
      <c r="D23" s="1" t="s">
        <v>11</v>
      </c>
      <c r="E23" s="1">
        <v>1000459494</v>
      </c>
      <c r="F23" s="1">
        <v>23</v>
      </c>
      <c r="G23" s="4">
        <v>36782</v>
      </c>
      <c r="J23" s="1" t="s">
        <v>38</v>
      </c>
    </row>
    <row r="24" spans="2:12" x14ac:dyDescent="0.25">
      <c r="B24" s="1">
        <v>22</v>
      </c>
      <c r="C24" s="3" t="s">
        <v>43</v>
      </c>
      <c r="D24" s="1" t="s">
        <v>11</v>
      </c>
      <c r="E24" s="1">
        <v>1073630707</v>
      </c>
      <c r="F24" s="1">
        <f>2023-2018</f>
        <v>5</v>
      </c>
      <c r="G24" s="4">
        <v>43341</v>
      </c>
      <c r="J24" s="1" t="s">
        <v>38</v>
      </c>
    </row>
    <row r="25" spans="2:12" x14ac:dyDescent="0.25">
      <c r="B25" s="1">
        <v>23</v>
      </c>
      <c r="C25" s="3" t="s">
        <v>44</v>
      </c>
      <c r="D25" s="1" t="s">
        <v>11</v>
      </c>
      <c r="E25" s="1">
        <v>21013782</v>
      </c>
      <c r="F25" s="1">
        <f>2023-1958</f>
        <v>65</v>
      </c>
      <c r="G25" s="4">
        <v>21443</v>
      </c>
      <c r="J25" s="1" t="s">
        <v>38</v>
      </c>
    </row>
    <row r="26" spans="2:12" x14ac:dyDescent="0.25">
      <c r="B26" s="1">
        <v>24</v>
      </c>
      <c r="E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F5CC-EBE6-4723-A3F1-EF520A653757}">
  <dimension ref="C3:N43"/>
  <sheetViews>
    <sheetView tabSelected="1" topLeftCell="B7" workbookViewId="0">
      <selection activeCell="L8" sqref="L8:N24"/>
    </sheetView>
  </sheetViews>
  <sheetFormatPr baseColWidth="10" defaultRowHeight="15" x14ac:dyDescent="0.25"/>
  <cols>
    <col min="3" max="3" width="3.140625" bestFit="1" customWidth="1"/>
    <col min="4" max="4" width="31" bestFit="1" customWidth="1"/>
    <col min="8" max="8" width="14.28515625" bestFit="1" customWidth="1"/>
    <col min="9" max="10" width="12" bestFit="1" customWidth="1"/>
    <col min="12" max="12" width="27.28515625" bestFit="1" customWidth="1"/>
    <col min="13" max="13" width="12" bestFit="1" customWidth="1"/>
    <col min="14" max="14" width="11.42578125" style="31"/>
  </cols>
  <sheetData>
    <row r="3" spans="3:13" x14ac:dyDescent="0.25">
      <c r="C3" s="12" t="s">
        <v>0</v>
      </c>
      <c r="D3" s="13" t="s">
        <v>1</v>
      </c>
      <c r="E3" s="13" t="s">
        <v>2</v>
      </c>
      <c r="F3" s="13" t="s">
        <v>3</v>
      </c>
      <c r="G3" s="13" t="s">
        <v>12</v>
      </c>
      <c r="H3" s="13" t="s">
        <v>5</v>
      </c>
      <c r="I3" s="35" t="s">
        <v>88</v>
      </c>
      <c r="J3" s="35" t="s">
        <v>7</v>
      </c>
      <c r="L3" s="27" t="s">
        <v>13</v>
      </c>
      <c r="M3" s="28">
        <v>17</v>
      </c>
    </row>
    <row r="4" spans="3:13" x14ac:dyDescent="0.25">
      <c r="C4" s="14">
        <v>1</v>
      </c>
      <c r="D4" s="15" t="s">
        <v>8</v>
      </c>
      <c r="E4" s="18" t="s">
        <v>9</v>
      </c>
      <c r="F4" s="15">
        <v>1075629884</v>
      </c>
      <c r="G4" s="19" t="s">
        <v>13</v>
      </c>
      <c r="H4" s="15" t="s">
        <v>14</v>
      </c>
      <c r="I4" s="37">
        <v>195000</v>
      </c>
      <c r="J4" s="39">
        <f>I4-15000</f>
        <v>180000</v>
      </c>
      <c r="L4" s="29" t="s">
        <v>32</v>
      </c>
      <c r="M4" s="28">
        <v>4</v>
      </c>
    </row>
    <row r="5" spans="3:13" x14ac:dyDescent="0.25">
      <c r="C5" s="16">
        <v>2</v>
      </c>
      <c r="D5" s="17" t="s">
        <v>10</v>
      </c>
      <c r="E5" s="20" t="s">
        <v>11</v>
      </c>
      <c r="F5" s="17">
        <v>21018743</v>
      </c>
      <c r="G5" s="19" t="s">
        <v>13</v>
      </c>
      <c r="H5" s="17" t="s">
        <v>14</v>
      </c>
      <c r="I5" s="37">
        <v>195000</v>
      </c>
      <c r="J5" s="39">
        <f t="shared" ref="J5:J41" si="0">I5-15000</f>
        <v>180000</v>
      </c>
      <c r="L5" s="30" t="s">
        <v>74</v>
      </c>
      <c r="M5" s="28">
        <v>17</v>
      </c>
    </row>
    <row r="6" spans="3:13" x14ac:dyDescent="0.25">
      <c r="C6" s="14">
        <v>3</v>
      </c>
      <c r="D6" s="15" t="s">
        <v>15</v>
      </c>
      <c r="E6" s="18" t="s">
        <v>11</v>
      </c>
      <c r="F6" s="15">
        <v>24162429</v>
      </c>
      <c r="G6" s="19" t="s">
        <v>13</v>
      </c>
      <c r="H6" s="15" t="s">
        <v>14</v>
      </c>
      <c r="I6" s="37">
        <v>195000</v>
      </c>
      <c r="J6" s="39">
        <f t="shared" si="0"/>
        <v>180000</v>
      </c>
      <c r="L6" s="28" t="s">
        <v>40</v>
      </c>
      <c r="M6" s="28">
        <f>SUM(M3:M5)</f>
        <v>38</v>
      </c>
    </row>
    <row r="7" spans="3:13" x14ac:dyDescent="0.25">
      <c r="C7" s="16">
        <v>4</v>
      </c>
      <c r="D7" s="17" t="s">
        <v>17</v>
      </c>
      <c r="E7" s="20" t="s">
        <v>11</v>
      </c>
      <c r="F7" s="17">
        <v>54800058</v>
      </c>
      <c r="G7" s="19" t="s">
        <v>13</v>
      </c>
      <c r="H7" s="17" t="s">
        <v>14</v>
      </c>
      <c r="I7" s="37">
        <v>195000</v>
      </c>
      <c r="J7" s="39">
        <f t="shared" si="0"/>
        <v>180000</v>
      </c>
    </row>
    <row r="8" spans="3:13" x14ac:dyDescent="0.25">
      <c r="C8" s="14">
        <v>5</v>
      </c>
      <c r="D8" s="15" t="s">
        <v>18</v>
      </c>
      <c r="E8" s="18" t="s">
        <v>9</v>
      </c>
      <c r="F8" s="15">
        <v>1016014254</v>
      </c>
      <c r="G8" s="19" t="s">
        <v>13</v>
      </c>
      <c r="H8" s="15" t="s">
        <v>14</v>
      </c>
      <c r="I8" s="37">
        <v>195000</v>
      </c>
      <c r="J8" s="39">
        <f t="shared" si="0"/>
        <v>180000</v>
      </c>
      <c r="L8" s="32" t="s">
        <v>86</v>
      </c>
      <c r="M8" s="32"/>
    </row>
    <row r="9" spans="3:13" x14ac:dyDescent="0.25">
      <c r="C9" s="16">
        <v>6</v>
      </c>
      <c r="D9" s="17" t="s">
        <v>19</v>
      </c>
      <c r="E9" s="20" t="s">
        <v>9</v>
      </c>
      <c r="F9" s="17">
        <v>1016014252</v>
      </c>
      <c r="G9" s="19" t="s">
        <v>13</v>
      </c>
      <c r="H9" s="17" t="s">
        <v>14</v>
      </c>
      <c r="I9" s="37">
        <v>195000</v>
      </c>
      <c r="J9" s="39">
        <f t="shared" si="0"/>
        <v>180000</v>
      </c>
      <c r="L9" s="28" t="s">
        <v>81</v>
      </c>
      <c r="M9" s="33">
        <v>2000000</v>
      </c>
    </row>
    <row r="10" spans="3:13" x14ac:dyDescent="0.25">
      <c r="C10" s="14">
        <v>7</v>
      </c>
      <c r="D10" s="15" t="s">
        <v>20</v>
      </c>
      <c r="E10" s="18" t="s">
        <v>9</v>
      </c>
      <c r="F10" s="15">
        <v>21018645</v>
      </c>
      <c r="G10" s="19" t="s">
        <v>13</v>
      </c>
      <c r="H10" s="15" t="s">
        <v>14</v>
      </c>
      <c r="I10" s="37">
        <v>195000</v>
      </c>
      <c r="J10" s="39">
        <f t="shared" si="0"/>
        <v>180000</v>
      </c>
      <c r="L10" s="28" t="s">
        <v>82</v>
      </c>
      <c r="M10" s="33">
        <v>78000</v>
      </c>
    </row>
    <row r="11" spans="3:13" x14ac:dyDescent="0.25">
      <c r="C11" s="16">
        <v>8</v>
      </c>
      <c r="D11" s="17" t="s">
        <v>21</v>
      </c>
      <c r="E11" s="20" t="s">
        <v>11</v>
      </c>
      <c r="F11" s="17">
        <v>80357344</v>
      </c>
      <c r="G11" s="19" t="s">
        <v>13</v>
      </c>
      <c r="H11" s="17" t="s">
        <v>14</v>
      </c>
      <c r="I11" s="37">
        <v>195000</v>
      </c>
      <c r="J11" s="39">
        <f t="shared" si="0"/>
        <v>180000</v>
      </c>
      <c r="L11" s="28" t="s">
        <v>83</v>
      </c>
      <c r="M11" s="33">
        <v>3003000</v>
      </c>
    </row>
    <row r="12" spans="3:13" x14ac:dyDescent="0.25">
      <c r="C12" s="14">
        <v>9</v>
      </c>
      <c r="D12" s="15" t="s">
        <v>22</v>
      </c>
      <c r="E12" s="18" t="s">
        <v>11</v>
      </c>
      <c r="F12" s="15">
        <v>1075624459</v>
      </c>
      <c r="G12" s="19" t="s">
        <v>13</v>
      </c>
      <c r="H12" s="15" t="s">
        <v>14</v>
      </c>
      <c r="I12" s="37">
        <v>195000</v>
      </c>
      <c r="J12" s="39">
        <f t="shared" si="0"/>
        <v>180000</v>
      </c>
      <c r="L12" s="28" t="s">
        <v>84</v>
      </c>
      <c r="M12" s="33">
        <v>722000</v>
      </c>
    </row>
    <row r="13" spans="3:13" ht="15.75" thickBot="1" x14ac:dyDescent="0.3">
      <c r="C13" s="16">
        <v>10</v>
      </c>
      <c r="D13" s="17" t="s">
        <v>23</v>
      </c>
      <c r="E13" s="20" t="s">
        <v>9</v>
      </c>
      <c r="F13" s="17">
        <v>1072099839</v>
      </c>
      <c r="G13" s="19" t="s">
        <v>13</v>
      </c>
      <c r="H13" s="17" t="s">
        <v>14</v>
      </c>
      <c r="I13" s="37">
        <v>195000</v>
      </c>
      <c r="J13" s="39">
        <f t="shared" si="0"/>
        <v>180000</v>
      </c>
      <c r="L13" s="42" t="s">
        <v>85</v>
      </c>
      <c r="M13" s="43">
        <v>65000</v>
      </c>
    </row>
    <row r="14" spans="3:13" x14ac:dyDescent="0.25">
      <c r="C14" s="14">
        <v>11</v>
      </c>
      <c r="D14" s="15" t="s">
        <v>24</v>
      </c>
      <c r="E14" s="18" t="s">
        <v>11</v>
      </c>
      <c r="F14" s="15">
        <v>1010085329</v>
      </c>
      <c r="G14" s="21" t="s">
        <v>32</v>
      </c>
      <c r="H14" s="15" t="s">
        <v>30</v>
      </c>
      <c r="I14" s="37">
        <v>195000</v>
      </c>
      <c r="J14" s="39">
        <f t="shared" si="0"/>
        <v>180000</v>
      </c>
      <c r="L14" s="41" t="s">
        <v>40</v>
      </c>
      <c r="M14" s="44">
        <f>SUM(M9:M13)</f>
        <v>5868000</v>
      </c>
    </row>
    <row r="15" spans="3:13" x14ac:dyDescent="0.25">
      <c r="C15" s="16">
        <v>12</v>
      </c>
      <c r="D15" s="17" t="s">
        <v>28</v>
      </c>
      <c r="E15" s="20" t="s">
        <v>11</v>
      </c>
      <c r="F15" s="17">
        <v>1073629857</v>
      </c>
      <c r="G15" s="21" t="s">
        <v>32</v>
      </c>
      <c r="H15" s="17" t="s">
        <v>30</v>
      </c>
      <c r="I15" s="37">
        <v>195000</v>
      </c>
      <c r="J15" s="39">
        <f t="shared" si="0"/>
        <v>180000</v>
      </c>
      <c r="L15" s="34" t="s">
        <v>90</v>
      </c>
      <c r="M15" s="45">
        <f>J42</f>
        <v>6505000</v>
      </c>
    </row>
    <row r="16" spans="3:13" x14ac:dyDescent="0.25">
      <c r="C16" s="14">
        <v>13</v>
      </c>
      <c r="D16" s="15" t="s">
        <v>69</v>
      </c>
      <c r="E16" s="18" t="s">
        <v>11</v>
      </c>
      <c r="F16" s="15">
        <v>1141333372</v>
      </c>
      <c r="G16" s="21" t="s">
        <v>32</v>
      </c>
      <c r="H16" s="15" t="s">
        <v>14</v>
      </c>
      <c r="I16" s="37">
        <v>195000</v>
      </c>
      <c r="J16" s="39">
        <f t="shared" si="0"/>
        <v>180000</v>
      </c>
      <c r="L16" s="34" t="s">
        <v>91</v>
      </c>
      <c r="M16" s="46">
        <f>M15-M14</f>
        <v>637000</v>
      </c>
    </row>
    <row r="17" spans="3:14" x14ac:dyDescent="0.25">
      <c r="C17" s="16">
        <v>14</v>
      </c>
      <c r="D17" s="17" t="s">
        <v>35</v>
      </c>
      <c r="E17" s="20" t="s">
        <v>11</v>
      </c>
      <c r="F17" s="17">
        <v>21015872</v>
      </c>
      <c r="G17" s="21" t="s">
        <v>32</v>
      </c>
      <c r="H17" s="17" t="s">
        <v>30</v>
      </c>
      <c r="I17" s="37">
        <v>195000</v>
      </c>
      <c r="J17" s="39">
        <f t="shared" si="0"/>
        <v>180000</v>
      </c>
    </row>
    <row r="18" spans="3:14" x14ac:dyDescent="0.25">
      <c r="C18" s="14">
        <v>15</v>
      </c>
      <c r="D18" s="15" t="s">
        <v>39</v>
      </c>
      <c r="E18" s="18" t="s">
        <v>11</v>
      </c>
      <c r="F18" s="15">
        <v>21017103</v>
      </c>
      <c r="G18" s="19" t="s">
        <v>13</v>
      </c>
      <c r="H18" s="15" t="s">
        <v>14</v>
      </c>
      <c r="I18" s="37">
        <v>195000</v>
      </c>
      <c r="J18" s="39">
        <f t="shared" si="0"/>
        <v>180000</v>
      </c>
    </row>
    <row r="19" spans="3:14" x14ac:dyDescent="0.25">
      <c r="C19" s="16">
        <v>16</v>
      </c>
      <c r="D19" s="17" t="s">
        <v>41</v>
      </c>
      <c r="E19" s="20" t="s">
        <v>11</v>
      </c>
      <c r="F19" s="17">
        <v>1073628525</v>
      </c>
      <c r="G19" s="21" t="s">
        <v>32</v>
      </c>
      <c r="H19" s="17" t="s">
        <v>38</v>
      </c>
      <c r="I19" s="37">
        <v>195000</v>
      </c>
      <c r="J19" s="39">
        <f t="shared" si="0"/>
        <v>180000</v>
      </c>
      <c r="L19" s="28" t="s">
        <v>5</v>
      </c>
      <c r="M19" s="28" t="s">
        <v>87</v>
      </c>
      <c r="N19" s="33" t="s">
        <v>88</v>
      </c>
    </row>
    <row r="20" spans="3:14" x14ac:dyDescent="0.25">
      <c r="C20" s="14">
        <v>17</v>
      </c>
      <c r="D20" s="15" t="s">
        <v>42</v>
      </c>
      <c r="E20" s="18" t="s">
        <v>11</v>
      </c>
      <c r="F20" s="15">
        <v>1000459494</v>
      </c>
      <c r="G20" s="21" t="s">
        <v>32</v>
      </c>
      <c r="H20" s="15" t="s">
        <v>38</v>
      </c>
      <c r="I20" s="37">
        <v>195000</v>
      </c>
      <c r="J20" s="39">
        <f t="shared" si="0"/>
        <v>180000</v>
      </c>
      <c r="L20" s="28" t="s">
        <v>14</v>
      </c>
      <c r="M20" s="28">
        <f>COUNTIF(H4:H41,"LAD")</f>
        <v>20</v>
      </c>
      <c r="N20" s="33">
        <f>M20*15000</f>
        <v>300000</v>
      </c>
    </row>
    <row r="21" spans="3:14" x14ac:dyDescent="0.25">
      <c r="C21" s="16">
        <v>18</v>
      </c>
      <c r="D21" s="17" t="s">
        <v>43</v>
      </c>
      <c r="E21" s="20" t="s">
        <v>11</v>
      </c>
      <c r="F21" s="17">
        <v>1073630707</v>
      </c>
      <c r="G21" s="21" t="s">
        <v>32</v>
      </c>
      <c r="H21" s="17" t="s">
        <v>38</v>
      </c>
      <c r="I21" s="37">
        <v>195000</v>
      </c>
      <c r="J21" s="39">
        <f t="shared" si="0"/>
        <v>180000</v>
      </c>
      <c r="L21" s="28" t="s">
        <v>30</v>
      </c>
      <c r="M21" s="28">
        <f>COUNTIF(H4:H42,"EDITH")</f>
        <v>9</v>
      </c>
      <c r="N21" s="33">
        <f t="shared" ref="N21:N23" si="1">M21*15000</f>
        <v>135000</v>
      </c>
    </row>
    <row r="22" spans="3:14" x14ac:dyDescent="0.25">
      <c r="C22" s="14">
        <v>19</v>
      </c>
      <c r="D22" s="15" t="s">
        <v>44</v>
      </c>
      <c r="E22" s="18" t="s">
        <v>11</v>
      </c>
      <c r="F22" s="15">
        <v>21013782</v>
      </c>
      <c r="G22" s="21" t="s">
        <v>32</v>
      </c>
      <c r="H22" s="15" t="s">
        <v>38</v>
      </c>
      <c r="I22" s="37">
        <v>195000</v>
      </c>
      <c r="J22" s="39">
        <f t="shared" si="0"/>
        <v>180000</v>
      </c>
      <c r="L22" s="28" t="s">
        <v>38</v>
      </c>
      <c r="M22" s="28">
        <f>COUNTIF(H6:H43,"TETE")</f>
        <v>4</v>
      </c>
      <c r="N22" s="33">
        <f t="shared" si="1"/>
        <v>60000</v>
      </c>
    </row>
    <row r="23" spans="3:14" x14ac:dyDescent="0.25">
      <c r="C23" s="16">
        <v>20</v>
      </c>
      <c r="D23" s="17" t="s">
        <v>71</v>
      </c>
      <c r="E23" s="20" t="s">
        <v>11</v>
      </c>
      <c r="F23" s="17">
        <v>21015278</v>
      </c>
      <c r="G23" s="19" t="s">
        <v>13</v>
      </c>
      <c r="H23" s="17" t="s">
        <v>14</v>
      </c>
      <c r="I23" s="37">
        <v>195000</v>
      </c>
      <c r="J23" s="39">
        <f t="shared" si="0"/>
        <v>180000</v>
      </c>
      <c r="L23" s="28" t="s">
        <v>89</v>
      </c>
      <c r="M23" s="28">
        <f>COUNTIF(H4:H44,"ALEJANDRA")</f>
        <v>3</v>
      </c>
      <c r="N23" s="33">
        <f t="shared" si="1"/>
        <v>45000</v>
      </c>
    </row>
    <row r="24" spans="3:14" x14ac:dyDescent="0.25">
      <c r="C24" s="14">
        <v>21</v>
      </c>
      <c r="D24" s="15" t="s">
        <v>72</v>
      </c>
      <c r="E24" s="18" t="s">
        <v>11</v>
      </c>
      <c r="F24" s="15">
        <v>80356348</v>
      </c>
      <c r="G24" s="19" t="s">
        <v>13</v>
      </c>
      <c r="H24" s="15" t="s">
        <v>14</v>
      </c>
      <c r="I24" s="37">
        <v>195000</v>
      </c>
      <c r="J24" s="39">
        <f t="shared" si="0"/>
        <v>180000</v>
      </c>
      <c r="L24" s="28" t="s">
        <v>40</v>
      </c>
      <c r="M24" s="28">
        <f>SUM(M20:M23)</f>
        <v>36</v>
      </c>
      <c r="N24" s="33">
        <f>SUM(N20:N23)</f>
        <v>540000</v>
      </c>
    </row>
    <row r="25" spans="3:14" x14ac:dyDescent="0.25">
      <c r="C25" s="16">
        <v>22</v>
      </c>
      <c r="D25" s="17" t="s">
        <v>52</v>
      </c>
      <c r="E25" s="20" t="s">
        <v>11</v>
      </c>
      <c r="F25" s="17">
        <v>1064576139</v>
      </c>
      <c r="G25" s="19" t="s">
        <v>13</v>
      </c>
      <c r="H25" s="17" t="s">
        <v>14</v>
      </c>
      <c r="I25" s="37">
        <v>195000</v>
      </c>
      <c r="J25" s="39">
        <f t="shared" si="0"/>
        <v>180000</v>
      </c>
    </row>
    <row r="26" spans="3:14" x14ac:dyDescent="0.25">
      <c r="C26" s="14">
        <v>23</v>
      </c>
      <c r="D26" s="15" t="s">
        <v>53</v>
      </c>
      <c r="E26" s="18" t="s">
        <v>9</v>
      </c>
      <c r="F26" s="15">
        <v>1067035410</v>
      </c>
      <c r="G26" s="19" t="s">
        <v>13</v>
      </c>
      <c r="H26" s="15" t="s">
        <v>14</v>
      </c>
      <c r="I26" s="37">
        <v>195000</v>
      </c>
      <c r="J26" s="39">
        <f t="shared" si="0"/>
        <v>180000</v>
      </c>
    </row>
    <row r="27" spans="3:14" x14ac:dyDescent="0.25">
      <c r="C27" s="16">
        <v>24</v>
      </c>
      <c r="D27" s="17" t="s">
        <v>54</v>
      </c>
      <c r="E27" s="20" t="s">
        <v>55</v>
      </c>
      <c r="F27" s="17">
        <v>1067037481</v>
      </c>
      <c r="G27" s="19" t="s">
        <v>13</v>
      </c>
      <c r="H27" s="17" t="s">
        <v>14</v>
      </c>
      <c r="I27" s="37">
        <v>195000</v>
      </c>
      <c r="J27" s="39">
        <f t="shared" si="0"/>
        <v>180000</v>
      </c>
    </row>
    <row r="28" spans="3:14" x14ac:dyDescent="0.25">
      <c r="C28" s="14">
        <v>25</v>
      </c>
      <c r="D28" s="15" t="s">
        <v>56</v>
      </c>
      <c r="E28" s="18" t="s">
        <v>11</v>
      </c>
      <c r="F28" s="15">
        <v>20872317</v>
      </c>
      <c r="G28" s="21" t="s">
        <v>32</v>
      </c>
      <c r="H28" s="15" t="s">
        <v>14</v>
      </c>
      <c r="I28" s="37">
        <v>195000</v>
      </c>
      <c r="J28" s="39">
        <f t="shared" si="0"/>
        <v>180000</v>
      </c>
    </row>
    <row r="29" spans="3:14" x14ac:dyDescent="0.25">
      <c r="C29" s="16">
        <v>26</v>
      </c>
      <c r="D29" s="17" t="s">
        <v>57</v>
      </c>
      <c r="E29" s="20" t="s">
        <v>11</v>
      </c>
      <c r="F29" s="17">
        <v>73628363</v>
      </c>
      <c r="G29" s="21" t="s">
        <v>32</v>
      </c>
      <c r="H29" s="17" t="s">
        <v>14</v>
      </c>
      <c r="I29" s="37">
        <v>195000</v>
      </c>
      <c r="J29" s="39">
        <f t="shared" si="0"/>
        <v>180000</v>
      </c>
    </row>
    <row r="30" spans="3:14" x14ac:dyDescent="0.25">
      <c r="C30" s="14">
        <v>27</v>
      </c>
      <c r="D30" s="15" t="s">
        <v>60</v>
      </c>
      <c r="E30" s="18" t="s">
        <v>11</v>
      </c>
      <c r="F30" s="15">
        <v>79538678</v>
      </c>
      <c r="G30" s="21" t="s">
        <v>32</v>
      </c>
      <c r="H30" s="15" t="s">
        <v>59</v>
      </c>
      <c r="I30" s="36">
        <v>0</v>
      </c>
      <c r="J30" s="39">
        <v>0</v>
      </c>
    </row>
    <row r="31" spans="3:14" x14ac:dyDescent="0.25">
      <c r="C31" s="16">
        <v>28</v>
      </c>
      <c r="D31" s="17" t="s">
        <v>62</v>
      </c>
      <c r="E31" s="20" t="s">
        <v>11</v>
      </c>
      <c r="F31" s="17">
        <v>52546175</v>
      </c>
      <c r="G31" s="21" t="s">
        <v>32</v>
      </c>
      <c r="H31" s="17" t="s">
        <v>30</v>
      </c>
      <c r="I31" s="37">
        <v>195000</v>
      </c>
      <c r="J31" s="39">
        <f t="shared" si="0"/>
        <v>180000</v>
      </c>
    </row>
    <row r="32" spans="3:14" x14ac:dyDescent="0.25">
      <c r="C32" s="14">
        <v>29</v>
      </c>
      <c r="D32" s="15" t="s">
        <v>63</v>
      </c>
      <c r="E32" s="18" t="s">
        <v>11</v>
      </c>
      <c r="F32" s="15">
        <v>1024591569</v>
      </c>
      <c r="G32" s="21" t="s">
        <v>32</v>
      </c>
      <c r="H32" s="15" t="s">
        <v>30</v>
      </c>
      <c r="I32" s="37">
        <v>195000</v>
      </c>
      <c r="J32" s="39">
        <f t="shared" si="0"/>
        <v>180000</v>
      </c>
    </row>
    <row r="33" spans="3:12" x14ac:dyDescent="0.25">
      <c r="C33" s="16">
        <v>30</v>
      </c>
      <c r="D33" s="17" t="s">
        <v>64</v>
      </c>
      <c r="E33" s="20" t="s">
        <v>55</v>
      </c>
      <c r="F33" s="17">
        <v>1073630515</v>
      </c>
      <c r="G33" s="21" t="s">
        <v>32</v>
      </c>
      <c r="H33" s="17" t="s">
        <v>30</v>
      </c>
      <c r="I33" s="37">
        <v>195000</v>
      </c>
      <c r="J33" s="39">
        <f t="shared" si="0"/>
        <v>180000</v>
      </c>
    </row>
    <row r="34" spans="3:12" x14ac:dyDescent="0.25">
      <c r="C34" s="14">
        <v>31</v>
      </c>
      <c r="D34" s="15" t="s">
        <v>65</v>
      </c>
      <c r="E34" s="18" t="s">
        <v>11</v>
      </c>
      <c r="F34" s="15">
        <v>52876946</v>
      </c>
      <c r="G34" s="21" t="s">
        <v>32</v>
      </c>
      <c r="H34" s="15" t="s">
        <v>30</v>
      </c>
      <c r="I34" s="37">
        <v>195000</v>
      </c>
      <c r="J34" s="39">
        <f t="shared" si="0"/>
        <v>180000</v>
      </c>
    </row>
    <row r="35" spans="3:12" x14ac:dyDescent="0.25">
      <c r="C35" s="16">
        <v>32</v>
      </c>
      <c r="D35" s="17" t="s">
        <v>66</v>
      </c>
      <c r="E35" s="20" t="s">
        <v>11</v>
      </c>
      <c r="F35" s="17">
        <v>91431055</v>
      </c>
      <c r="G35" s="21" t="s">
        <v>32</v>
      </c>
      <c r="H35" s="17" t="s">
        <v>30</v>
      </c>
      <c r="I35" s="37">
        <v>195000</v>
      </c>
      <c r="J35" s="39">
        <f t="shared" si="0"/>
        <v>180000</v>
      </c>
    </row>
    <row r="36" spans="3:12" x14ac:dyDescent="0.25">
      <c r="C36" s="14">
        <v>33</v>
      </c>
      <c r="D36" s="15" t="s">
        <v>67</v>
      </c>
      <c r="E36" s="18" t="s">
        <v>9</v>
      </c>
      <c r="F36" s="15">
        <v>1028870072</v>
      </c>
      <c r="G36" s="21" t="s">
        <v>32</v>
      </c>
      <c r="H36" s="15" t="s">
        <v>30</v>
      </c>
      <c r="I36" s="37">
        <v>195000</v>
      </c>
      <c r="J36" s="39">
        <f t="shared" si="0"/>
        <v>180000</v>
      </c>
    </row>
    <row r="37" spans="3:12" x14ac:dyDescent="0.25">
      <c r="C37" s="16">
        <v>34</v>
      </c>
      <c r="D37" s="22" t="s">
        <v>73</v>
      </c>
      <c r="E37" s="20" t="s">
        <v>11</v>
      </c>
      <c r="F37" s="20">
        <v>1073630384</v>
      </c>
      <c r="G37" s="25" t="s">
        <v>74</v>
      </c>
      <c r="H37" s="17" t="s">
        <v>75</v>
      </c>
      <c r="I37" s="37">
        <v>195000</v>
      </c>
      <c r="J37" s="39">
        <f t="shared" si="0"/>
        <v>180000</v>
      </c>
    </row>
    <row r="38" spans="3:12" x14ac:dyDescent="0.25">
      <c r="C38" s="14">
        <v>35</v>
      </c>
      <c r="D38" s="23" t="s">
        <v>76</v>
      </c>
      <c r="E38" s="18" t="s">
        <v>11</v>
      </c>
      <c r="F38" s="18">
        <v>1121888616</v>
      </c>
      <c r="G38" s="26" t="s">
        <v>74</v>
      </c>
      <c r="H38" s="15" t="s">
        <v>75</v>
      </c>
      <c r="I38" s="37">
        <v>195000</v>
      </c>
      <c r="J38" s="39">
        <f t="shared" si="0"/>
        <v>180000</v>
      </c>
    </row>
    <row r="39" spans="3:12" x14ac:dyDescent="0.25">
      <c r="C39" s="16">
        <v>36</v>
      </c>
      <c r="D39" s="22" t="s">
        <v>77</v>
      </c>
      <c r="E39" s="20" t="s">
        <v>9</v>
      </c>
      <c r="F39" s="20">
        <v>1195464772</v>
      </c>
      <c r="G39" s="25" t="s">
        <v>74</v>
      </c>
      <c r="H39" s="17" t="s">
        <v>75</v>
      </c>
      <c r="I39" s="37">
        <v>195000</v>
      </c>
      <c r="J39" s="39">
        <f t="shared" si="0"/>
        <v>180000</v>
      </c>
    </row>
    <row r="40" spans="3:12" x14ac:dyDescent="0.25">
      <c r="C40" s="24"/>
      <c r="D40" s="23" t="s">
        <v>78</v>
      </c>
      <c r="E40" s="18" t="s">
        <v>55</v>
      </c>
      <c r="F40" s="18">
        <v>1072964377</v>
      </c>
      <c r="G40" s="26" t="s">
        <v>74</v>
      </c>
      <c r="H40" s="15"/>
      <c r="I40" s="36">
        <v>25000</v>
      </c>
      <c r="J40" s="39">
        <v>25000</v>
      </c>
    </row>
    <row r="41" spans="3:12" x14ac:dyDescent="0.25">
      <c r="C41" s="16">
        <v>37</v>
      </c>
      <c r="D41" s="17" t="s">
        <v>80</v>
      </c>
      <c r="E41" s="20" t="s">
        <v>11</v>
      </c>
      <c r="F41" s="17">
        <v>1007159495</v>
      </c>
      <c r="G41" s="19" t="s">
        <v>13</v>
      </c>
      <c r="H41" s="17" t="s">
        <v>14</v>
      </c>
      <c r="I41" s="38">
        <v>195000</v>
      </c>
      <c r="J41" s="39">
        <f t="shared" si="0"/>
        <v>180000</v>
      </c>
    </row>
    <row r="42" spans="3:12" x14ac:dyDescent="0.25">
      <c r="I42" s="40">
        <f>SUM(I4:I41)</f>
        <v>7045000</v>
      </c>
      <c r="J42" s="40">
        <f>SUM(J4:J41)</f>
        <v>6505000</v>
      </c>
    </row>
    <row r="43" spans="3:12" x14ac:dyDescent="0.25">
      <c r="L43" s="40">
        <f>J42+N24</f>
        <v>7045000</v>
      </c>
    </row>
  </sheetData>
  <mergeCells count="1">
    <mergeCell ref="L8:M8"/>
  </mergeCells>
  <conditionalFormatting sqref="F3:F41">
    <cfRule type="duplicateValues" dxfId="2" priority="1"/>
  </conditionalFormatting>
  <conditionalFormatting sqref="F4:F41">
    <cfRule type="duplicateValues" dxfId="1" priority="13"/>
    <cfRule type="duplicateValues" dxfId="0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Hoja2</vt:lpstr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2024-05-06T23:42:31Z</dcterms:created>
  <dcterms:modified xsi:type="dcterms:W3CDTF">2024-08-28T15:17:38Z</dcterms:modified>
</cp:coreProperties>
</file>