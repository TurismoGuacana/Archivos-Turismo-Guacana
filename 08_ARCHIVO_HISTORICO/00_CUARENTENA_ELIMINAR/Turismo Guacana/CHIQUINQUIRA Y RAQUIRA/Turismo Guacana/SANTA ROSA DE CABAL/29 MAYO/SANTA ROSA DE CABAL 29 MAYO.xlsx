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A ROSA DE CABAL\29 MAYO\"/>
    </mc:Choice>
  </mc:AlternateContent>
  <xr:revisionPtr revIDLastSave="0" documentId="13_ncr:1_{136D86AC-175B-46B1-B2B8-B8314DAF05ED}" xr6:coauthVersionLast="47" xr6:coauthVersionMax="47" xr10:uidLastSave="{00000000-0000-0000-0000-000000000000}"/>
  <bookViews>
    <workbookView xWindow="-120" yWindow="-120" windowWidth="20730" windowHeight="11040" xr2:uid="{EF9E4D13-42EB-4FAD-A5F9-7DB6F04D1D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4" i="2"/>
  <c r="K3" i="2"/>
  <c r="G38" i="1"/>
  <c r="G37" i="1"/>
  <c r="G40" i="1" s="1"/>
  <c r="G39" i="1"/>
  <c r="K6" i="2" l="1"/>
</calcChain>
</file>

<file path=xl/sharedStrings.xml><?xml version="1.0" encoding="utf-8"?>
<sst xmlns="http://schemas.openxmlformats.org/spreadsheetml/2006/main" count="349" uniqueCount="68">
  <si>
    <t>N°</t>
  </si>
  <si>
    <t>NOMBRE</t>
  </si>
  <si>
    <t>T.D</t>
  </si>
  <si>
    <t>N.D</t>
  </si>
  <si>
    <t>FECHA DE NACIMIENTO</t>
  </si>
  <si>
    <t>CELULAR</t>
  </si>
  <si>
    <t>PUEBLO</t>
  </si>
  <si>
    <t>COMISIONISTA</t>
  </si>
  <si>
    <t>VALOR</t>
  </si>
  <si>
    <t>COMISIÓN</t>
  </si>
  <si>
    <t>Maria Consuelo Hernández Rodríguez</t>
  </si>
  <si>
    <t>C.C</t>
  </si>
  <si>
    <t>TOCAIMA</t>
  </si>
  <si>
    <t>LAD</t>
  </si>
  <si>
    <t>Dary matias clavijo rico</t>
  </si>
  <si>
    <t>Dareth ghael gutierrez rico</t>
  </si>
  <si>
    <t>Martha liliana rico cortes</t>
  </si>
  <si>
    <t>t.i</t>
  </si>
  <si>
    <t>R.C</t>
  </si>
  <si>
    <t>TETE</t>
  </si>
  <si>
    <t>ANAPOIMA</t>
  </si>
  <si>
    <t>ABONO</t>
  </si>
  <si>
    <t>paga 60 mil</t>
  </si>
  <si>
    <t>Diciembre 1-1975</t>
  </si>
  <si>
    <t>APULO</t>
  </si>
  <si>
    <t>MARTHA LILIANA MEDINA MOYA</t>
  </si>
  <si>
    <t>Carlos Alfonso torres Galindo</t>
  </si>
  <si>
    <t>Leidy Johana Vargas Cano</t>
  </si>
  <si>
    <t>Giovanny Rodríguez Olaya</t>
  </si>
  <si>
    <t>Maricela Vargas Cano</t>
  </si>
  <si>
    <t>Gilmar Aponte Caviedes</t>
  </si>
  <si>
    <t xml:space="preserve">Alejandra Huertas Molina </t>
  </si>
  <si>
    <t>ALEJA</t>
  </si>
  <si>
    <t xml:space="preserve"> 320 3404530</t>
  </si>
  <si>
    <t>Maria Cristina Caviedes Moreno</t>
  </si>
  <si>
    <t>JUAN PABLO YATE</t>
  </si>
  <si>
    <t>Soledad Cano</t>
  </si>
  <si>
    <t>Pedro Cantor</t>
  </si>
  <si>
    <t xml:space="preserve">Rosa Rodriguez Cantor </t>
  </si>
  <si>
    <t>Andrea Katerine Zabala R</t>
  </si>
  <si>
    <t xml:space="preserve">José Adolfo Guerrero Martinez </t>
  </si>
  <si>
    <t>Luz Marina Pachon Liberato</t>
  </si>
  <si>
    <t xml:space="preserve">Ghiner Lilian Cantor Suárez </t>
  </si>
  <si>
    <t>Sandro Alberto Angel Acosta</t>
  </si>
  <si>
    <t>Jeimy Rocio Bohorquez Lopez</t>
  </si>
  <si>
    <t>MAFE</t>
  </si>
  <si>
    <t>TOTAL</t>
  </si>
  <si>
    <t>Marcos Yuri Zabala Vanegas</t>
  </si>
  <si>
    <t>Luis Duarte</t>
  </si>
  <si>
    <t>Gabriel Cabrera</t>
  </si>
  <si>
    <t>Jackeline cruz</t>
  </si>
  <si>
    <t>Carlos andres hernandez</t>
  </si>
  <si>
    <t>Maria Clara Barragán</t>
  </si>
  <si>
    <t xml:space="preserve">Carmen Elisa González </t>
  </si>
  <si>
    <t xml:space="preserve">María Patricia Cortes </t>
  </si>
  <si>
    <t xml:space="preserve">María Ruth Diaz García </t>
  </si>
  <si>
    <t>Luz Yanira Aragon Camargo</t>
  </si>
  <si>
    <t>EDITH</t>
  </si>
  <si>
    <t>310 3091852</t>
  </si>
  <si>
    <t>EMPRESA</t>
  </si>
  <si>
    <t>EN LA BOMBA</t>
  </si>
  <si>
    <t>Martha Liliana Arias Velez</t>
  </si>
  <si>
    <t>7 de julio del 68</t>
  </si>
  <si>
    <t>322 3346504</t>
  </si>
  <si>
    <t>310 2042982</t>
  </si>
  <si>
    <t>302 3118609</t>
  </si>
  <si>
    <t>310 3327379</t>
  </si>
  <si>
    <t>311 875 7572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</si>
</sst>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44" fontId="0" fillId="0" borderId="0" xfId="1" applyFont="1"/>
    <xf numFmtId="0" fontId="0" fillId="4" borderId="0" xfId="0" applyFill="1"/>
    <xf numFmtId="14" fontId="0" fillId="0" borderId="0" xfId="0" applyNumberFormat="1"/>
    <xf numFmtId="0" fontId="0" fillId="0" borderId="0" xfId="0" applyFill="1"/>
    <xf numFmtId="0" fontId="0" fillId="0" borderId="2" xfId="0" applyFont="1" applyBorder="1"/>
    <xf numFmtId="0" fontId="0" fillId="5" borderId="2" xfId="0" applyFont="1" applyFill="1" applyBorder="1"/>
    <xf numFmtId="0" fontId="0" fillId="5" borderId="1" xfId="0" applyFont="1" applyFill="1" applyBorder="1"/>
    <xf numFmtId="0" fontId="0" fillId="0" borderId="1" xfId="0" applyFont="1" applyBorder="1"/>
    <xf numFmtId="0" fontId="2" fillId="6" borderId="1" xfId="0" applyFont="1" applyFill="1" applyBorder="1"/>
    <xf numFmtId="0" fontId="2" fillId="6" borderId="2" xfId="0" applyFont="1" applyFill="1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3" xfId="0" applyBorder="1"/>
    <xf numFmtId="0" fontId="0" fillId="2" borderId="2" xfId="0" applyFont="1" applyFill="1" applyBorder="1"/>
    <xf numFmtId="0" fontId="0" fillId="8" borderId="2" xfId="0" applyFont="1" applyFill="1" applyBorder="1"/>
    <xf numFmtId="3" fontId="0" fillId="5" borderId="2" xfId="0" applyNumberFormat="1" applyFont="1" applyFill="1" applyBorder="1"/>
    <xf numFmtId="0" fontId="0" fillId="4" borderId="2" xfId="0" applyFont="1" applyFill="1" applyBorder="1"/>
    <xf numFmtId="3" fontId="0" fillId="0" borderId="2" xfId="0" applyNumberFormat="1" applyFont="1" applyBorder="1"/>
    <xf numFmtId="0" fontId="0" fillId="10" borderId="1" xfId="0" applyFont="1" applyFill="1" applyBorder="1"/>
    <xf numFmtId="0" fontId="0" fillId="3" borderId="1" xfId="0" applyFont="1" applyFill="1" applyBorder="1"/>
    <xf numFmtId="0" fontId="0" fillId="7" borderId="2" xfId="0" applyFont="1" applyFill="1" applyBorder="1"/>
    <xf numFmtId="0" fontId="0" fillId="9" borderId="2" xfId="0" applyFont="1" applyFill="1" applyBorder="1"/>
    <xf numFmtId="0" fontId="2" fillId="6" borderId="2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ill="1" applyBorder="1"/>
    <xf numFmtId="0" fontId="0" fillId="2" borderId="3" xfId="0" applyFill="1" applyBorder="1"/>
    <xf numFmtId="0" fontId="0" fillId="4" borderId="3" xfId="0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F6296-60E6-4FC8-BB53-0886FED4B16D}" name="Tabla1" displayName="Tabla1" ref="B2:L34" totalsRowShown="0">
  <autoFilter ref="B2:L34" xr:uid="{D3DF6296-60E6-4FC8-BB53-0886FED4B16D}"/>
  <tableColumns count="11">
    <tableColumn id="1" xr3:uid="{7039FC9C-444E-43DC-8F66-8D351A1E95C9}" name="N°"/>
    <tableColumn id="2" xr3:uid="{AE2AC416-1C6F-41E8-9AA0-C259F8FE301A}" name="NOMBRE"/>
    <tableColumn id="3" xr3:uid="{96F74937-D13E-45E2-B3CB-D75B2F36069D}" name="T.D"/>
    <tableColumn id="4" xr3:uid="{B735F8BD-0A63-4F98-90DD-23F8BFE080E0}" name="N.D"/>
    <tableColumn id="5" xr3:uid="{5198357A-BD6F-4D68-B9D4-7D225279B217}" name="FECHA DE NACIMIENTO"/>
    <tableColumn id="6" xr3:uid="{6B7CDE66-023E-4C6D-BDE1-130947257BB4}" name="CELULAR"/>
    <tableColumn id="7" xr3:uid="{2020AC3D-A088-4E0F-87AF-60C1BD202122}" name="PUEBLO"/>
    <tableColumn id="8" xr3:uid="{10DB9C6F-666D-442A-AE16-EC4A64C3B3B9}" name="COMISIONISTA"/>
    <tableColumn id="11" xr3:uid="{14E9F991-B719-493D-9880-93B79056DB7D}" name="ABONO" dataCellStyle="Moneda"/>
    <tableColumn id="9" xr3:uid="{C22BDE49-1C65-4F42-8A0D-EB902013B757}" name="VALOR"/>
    <tableColumn id="10" xr3:uid="{5E52A385-6BE6-4DFF-9DBB-0298A45402A9}" name="COM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B371-DBB4-4150-9B19-196F0E7262D4}">
  <dimension ref="B2:L40"/>
  <sheetViews>
    <sheetView tabSelected="1" topLeftCell="A16" zoomScale="86" workbookViewId="0">
      <selection activeCell="B34" sqref="B34"/>
    </sheetView>
  </sheetViews>
  <sheetFormatPr baseColWidth="10" defaultRowHeight="15" x14ac:dyDescent="0.25"/>
  <cols>
    <col min="2" max="2" width="5.28515625" customWidth="1"/>
    <col min="3" max="3" width="35.7109375" bestFit="1" customWidth="1"/>
    <col min="4" max="4" width="6" customWidth="1"/>
    <col min="5" max="5" width="14.28515625" bestFit="1" customWidth="1"/>
    <col min="6" max="6" width="23.7109375" customWidth="1"/>
    <col min="7" max="7" width="13.7109375" bestFit="1" customWidth="1"/>
    <col min="9" max="9" width="16.42578125" customWidth="1"/>
    <col min="10" max="10" width="16.42578125" style="4" customWidth="1"/>
    <col min="12" max="12" width="12.5703125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4" t="s">
        <v>21</v>
      </c>
      <c r="K2" t="s">
        <v>8</v>
      </c>
      <c r="L2" t="s">
        <v>9</v>
      </c>
    </row>
    <row r="3" spans="2:12" x14ac:dyDescent="0.25">
      <c r="B3">
        <v>1</v>
      </c>
      <c r="C3" t="s">
        <v>25</v>
      </c>
      <c r="D3" t="s">
        <v>11</v>
      </c>
      <c r="E3">
        <v>52333511</v>
      </c>
      <c r="F3" t="s">
        <v>23</v>
      </c>
      <c r="G3">
        <v>3224054491</v>
      </c>
      <c r="H3" s="2" t="s">
        <v>24</v>
      </c>
      <c r="I3" t="s">
        <v>13</v>
      </c>
      <c r="J3" s="4">
        <v>200000</v>
      </c>
    </row>
    <row r="4" spans="2:12" x14ac:dyDescent="0.25">
      <c r="B4">
        <v>2</v>
      </c>
      <c r="C4" t="s">
        <v>35</v>
      </c>
      <c r="D4" t="s">
        <v>11</v>
      </c>
      <c r="E4">
        <v>79139636</v>
      </c>
      <c r="G4" t="s">
        <v>58</v>
      </c>
      <c r="H4" s="2" t="s">
        <v>24</v>
      </c>
      <c r="I4" t="s">
        <v>13</v>
      </c>
    </row>
    <row r="5" spans="2:12" x14ac:dyDescent="0.25">
      <c r="B5">
        <v>3</v>
      </c>
      <c r="C5" s="15" t="s">
        <v>10</v>
      </c>
      <c r="D5" t="s">
        <v>11</v>
      </c>
      <c r="E5" s="1">
        <v>21017103</v>
      </c>
      <c r="G5" t="s">
        <v>63</v>
      </c>
      <c r="H5" s="5" t="s">
        <v>12</v>
      </c>
      <c r="I5" t="s">
        <v>13</v>
      </c>
    </row>
    <row r="6" spans="2:12" x14ac:dyDescent="0.25">
      <c r="B6">
        <v>4</v>
      </c>
      <c r="C6" s="2" t="s">
        <v>14</v>
      </c>
      <c r="D6" t="s">
        <v>17</v>
      </c>
      <c r="E6" s="1">
        <v>1195464818</v>
      </c>
      <c r="H6" s="3" t="s">
        <v>20</v>
      </c>
      <c r="I6" t="s">
        <v>19</v>
      </c>
      <c r="J6" s="4">
        <v>150000</v>
      </c>
    </row>
    <row r="7" spans="2:12" x14ac:dyDescent="0.25">
      <c r="B7" s="17"/>
      <c r="C7" s="2" t="s">
        <v>15</v>
      </c>
      <c r="D7" t="s">
        <v>18</v>
      </c>
      <c r="E7" s="1">
        <v>1195467984</v>
      </c>
      <c r="G7" t="s">
        <v>22</v>
      </c>
      <c r="H7" s="3" t="s">
        <v>20</v>
      </c>
      <c r="I7" t="s">
        <v>19</v>
      </c>
      <c r="K7" s="1">
        <v>436000</v>
      </c>
    </row>
    <row r="8" spans="2:12" x14ac:dyDescent="0.25">
      <c r="B8">
        <v>5</v>
      </c>
      <c r="C8" s="2" t="s">
        <v>16</v>
      </c>
      <c r="D8" t="s">
        <v>11</v>
      </c>
      <c r="E8" s="1">
        <v>1072961833</v>
      </c>
      <c r="H8" s="3" t="s">
        <v>20</v>
      </c>
      <c r="I8" t="s">
        <v>19</v>
      </c>
      <c r="J8" s="4" t="s">
        <v>46</v>
      </c>
    </row>
    <row r="9" spans="2:12" x14ac:dyDescent="0.25">
      <c r="B9" s="3">
        <v>6</v>
      </c>
      <c r="C9" s="2" t="s">
        <v>26</v>
      </c>
      <c r="D9" t="s">
        <v>11</v>
      </c>
      <c r="E9" s="1">
        <v>1073628781</v>
      </c>
      <c r="H9" s="3" t="s">
        <v>20</v>
      </c>
      <c r="I9" t="s">
        <v>13</v>
      </c>
      <c r="J9" s="4">
        <v>100000</v>
      </c>
    </row>
    <row r="10" spans="2:12" x14ac:dyDescent="0.25">
      <c r="B10" s="3">
        <v>7</v>
      </c>
      <c r="C10" s="2" t="s">
        <v>27</v>
      </c>
      <c r="D10" t="s">
        <v>11</v>
      </c>
      <c r="E10" s="1">
        <v>1072962666</v>
      </c>
      <c r="H10" s="3" t="s">
        <v>20</v>
      </c>
      <c r="I10" t="s">
        <v>13</v>
      </c>
      <c r="J10" s="4">
        <v>270000</v>
      </c>
    </row>
    <row r="11" spans="2:12" x14ac:dyDescent="0.25">
      <c r="B11" s="3">
        <v>8</v>
      </c>
      <c r="C11" s="2" t="s">
        <v>28</v>
      </c>
      <c r="D11" t="s">
        <v>11</v>
      </c>
      <c r="E11" s="1">
        <v>1072421457</v>
      </c>
      <c r="H11" s="3" t="s">
        <v>20</v>
      </c>
      <c r="I11" t="s">
        <v>13</v>
      </c>
    </row>
    <row r="12" spans="2:12" x14ac:dyDescent="0.25">
      <c r="B12" s="3">
        <v>9</v>
      </c>
      <c r="C12" s="2" t="s">
        <v>29</v>
      </c>
      <c r="D12" t="s">
        <v>11</v>
      </c>
      <c r="E12" s="1">
        <v>1072961043</v>
      </c>
      <c r="G12" t="s">
        <v>64</v>
      </c>
      <c r="H12" s="3" t="s">
        <v>20</v>
      </c>
      <c r="I12" t="s">
        <v>13</v>
      </c>
    </row>
    <row r="13" spans="2:12" x14ac:dyDescent="0.25">
      <c r="B13" s="3">
        <v>10</v>
      </c>
      <c r="C13" s="2" t="s">
        <v>36</v>
      </c>
      <c r="D13" t="s">
        <v>11</v>
      </c>
      <c r="E13" s="1">
        <v>20357814</v>
      </c>
      <c r="H13" s="3" t="s">
        <v>20</v>
      </c>
      <c r="I13" t="s">
        <v>13</v>
      </c>
      <c r="J13" s="4">
        <v>100000</v>
      </c>
    </row>
    <row r="14" spans="2:12" x14ac:dyDescent="0.25">
      <c r="B14" s="7">
        <v>11</v>
      </c>
      <c r="C14" t="s">
        <v>30</v>
      </c>
      <c r="D14" t="s">
        <v>11</v>
      </c>
      <c r="E14" s="1">
        <v>1003629015</v>
      </c>
      <c r="G14">
        <v>3103281126</v>
      </c>
      <c r="H14" s="2" t="s">
        <v>24</v>
      </c>
      <c r="I14" t="s">
        <v>32</v>
      </c>
    </row>
    <row r="15" spans="2:12" x14ac:dyDescent="0.25">
      <c r="B15" s="7">
        <v>12</v>
      </c>
      <c r="C15" t="s">
        <v>31</v>
      </c>
      <c r="D15" t="s">
        <v>11</v>
      </c>
      <c r="E15" s="1">
        <v>1003635450</v>
      </c>
      <c r="G15" t="s">
        <v>67</v>
      </c>
      <c r="H15" s="2" t="s">
        <v>24</v>
      </c>
      <c r="I15" t="s">
        <v>32</v>
      </c>
    </row>
    <row r="16" spans="2:12" x14ac:dyDescent="0.25">
      <c r="B16" s="7">
        <v>13</v>
      </c>
      <c r="C16" t="s">
        <v>34</v>
      </c>
      <c r="D16" t="s">
        <v>11</v>
      </c>
      <c r="E16" s="1">
        <v>52616010</v>
      </c>
      <c r="G16" t="s">
        <v>33</v>
      </c>
      <c r="H16" s="2" t="s">
        <v>24</v>
      </c>
      <c r="I16" t="s">
        <v>32</v>
      </c>
    </row>
    <row r="17" spans="2:10" x14ac:dyDescent="0.25">
      <c r="B17" s="7">
        <v>14</v>
      </c>
      <c r="C17" s="5" t="s">
        <v>37</v>
      </c>
      <c r="D17" t="s">
        <v>11</v>
      </c>
      <c r="E17" s="1">
        <v>3206763</v>
      </c>
      <c r="H17" s="5" t="s">
        <v>12</v>
      </c>
      <c r="I17" t="s">
        <v>13</v>
      </c>
    </row>
    <row r="18" spans="2:10" x14ac:dyDescent="0.25">
      <c r="B18" s="7">
        <v>15</v>
      </c>
      <c r="C18" s="5" t="s">
        <v>38</v>
      </c>
      <c r="D18" t="s">
        <v>11</v>
      </c>
      <c r="E18" s="1">
        <v>21014455</v>
      </c>
      <c r="H18" s="5" t="s">
        <v>12</v>
      </c>
      <c r="I18" t="s">
        <v>13</v>
      </c>
    </row>
    <row r="19" spans="2:10" x14ac:dyDescent="0.25">
      <c r="B19" s="7">
        <v>16</v>
      </c>
      <c r="C19" s="5" t="s">
        <v>39</v>
      </c>
      <c r="D19" t="s">
        <v>11</v>
      </c>
      <c r="E19" s="1">
        <v>1075626762</v>
      </c>
      <c r="H19" s="5" t="s">
        <v>12</v>
      </c>
      <c r="I19" t="s">
        <v>13</v>
      </c>
    </row>
    <row r="20" spans="2:10" x14ac:dyDescent="0.25">
      <c r="B20" s="7">
        <v>17</v>
      </c>
      <c r="C20" t="s">
        <v>41</v>
      </c>
      <c r="D20" t="s">
        <v>11</v>
      </c>
      <c r="E20">
        <v>52502797</v>
      </c>
      <c r="F20" s="6">
        <v>28542</v>
      </c>
      <c r="G20">
        <v>3214854061</v>
      </c>
      <c r="H20" s="3" t="s">
        <v>20</v>
      </c>
      <c r="I20" t="s">
        <v>13</v>
      </c>
      <c r="J20" s="4">
        <v>50000</v>
      </c>
    </row>
    <row r="21" spans="2:10" x14ac:dyDescent="0.25">
      <c r="B21" s="7">
        <v>18</v>
      </c>
      <c r="C21" s="14" t="s">
        <v>42</v>
      </c>
      <c r="D21" t="s">
        <v>11</v>
      </c>
      <c r="E21">
        <v>21017274</v>
      </c>
      <c r="H21" s="5" t="s">
        <v>12</v>
      </c>
      <c r="I21" t="s">
        <v>45</v>
      </c>
    </row>
    <row r="22" spans="2:10" x14ac:dyDescent="0.25">
      <c r="B22" s="7">
        <v>19</v>
      </c>
      <c r="C22" s="14" t="s">
        <v>43</v>
      </c>
      <c r="D22" t="s">
        <v>11</v>
      </c>
      <c r="E22">
        <v>93338047</v>
      </c>
      <c r="H22" s="5" t="s">
        <v>12</v>
      </c>
      <c r="I22" t="s">
        <v>45</v>
      </c>
    </row>
    <row r="23" spans="2:10" x14ac:dyDescent="0.25">
      <c r="B23" s="7">
        <v>20</v>
      </c>
      <c r="C23" s="14" t="s">
        <v>44</v>
      </c>
      <c r="D23" t="s">
        <v>11</v>
      </c>
      <c r="E23">
        <v>1075626865</v>
      </c>
      <c r="H23" s="5" t="s">
        <v>12</v>
      </c>
      <c r="I23" t="s">
        <v>45</v>
      </c>
    </row>
    <row r="24" spans="2:10" x14ac:dyDescent="0.25">
      <c r="B24" s="7">
        <v>21</v>
      </c>
      <c r="C24" t="s">
        <v>61</v>
      </c>
      <c r="D24" t="s">
        <v>11</v>
      </c>
      <c r="E24">
        <v>41922972</v>
      </c>
      <c r="F24" t="s">
        <v>62</v>
      </c>
      <c r="H24" s="3" t="s">
        <v>20</v>
      </c>
      <c r="I24" t="s">
        <v>57</v>
      </c>
      <c r="J24" s="4" t="s">
        <v>46</v>
      </c>
    </row>
    <row r="25" spans="2:10" x14ac:dyDescent="0.25">
      <c r="B25" s="7">
        <v>22</v>
      </c>
      <c r="C25" s="5" t="s">
        <v>47</v>
      </c>
      <c r="D25" t="s">
        <v>11</v>
      </c>
      <c r="E25" s="1">
        <v>3209147</v>
      </c>
      <c r="H25" s="5" t="s">
        <v>12</v>
      </c>
      <c r="I25" t="s">
        <v>13</v>
      </c>
    </row>
    <row r="26" spans="2:10" x14ac:dyDescent="0.25">
      <c r="B26" s="7">
        <v>23</v>
      </c>
      <c r="C26" t="s">
        <v>48</v>
      </c>
      <c r="D26" t="s">
        <v>11</v>
      </c>
      <c r="E26">
        <v>79538678</v>
      </c>
      <c r="H26" s="2" t="s">
        <v>24</v>
      </c>
      <c r="I26" t="s">
        <v>59</v>
      </c>
    </row>
    <row r="27" spans="2:10" x14ac:dyDescent="0.25">
      <c r="B27" s="7">
        <v>24</v>
      </c>
      <c r="C27" t="s">
        <v>49</v>
      </c>
      <c r="D27" t="s">
        <v>11</v>
      </c>
      <c r="E27">
        <v>79656808</v>
      </c>
      <c r="H27" s="5" t="s">
        <v>12</v>
      </c>
      <c r="I27" t="s">
        <v>59</v>
      </c>
    </row>
    <row r="28" spans="2:10" x14ac:dyDescent="0.25">
      <c r="B28" s="7">
        <v>25</v>
      </c>
      <c r="C28" s="15" t="s">
        <v>50</v>
      </c>
      <c r="D28" t="s">
        <v>11</v>
      </c>
      <c r="E28">
        <v>1075627678</v>
      </c>
      <c r="G28">
        <v>3214145468</v>
      </c>
      <c r="H28" s="5" t="s">
        <v>12</v>
      </c>
      <c r="I28" t="s">
        <v>13</v>
      </c>
    </row>
    <row r="29" spans="2:10" x14ac:dyDescent="0.25">
      <c r="B29" s="7">
        <v>26</v>
      </c>
      <c r="C29" s="15" t="s">
        <v>51</v>
      </c>
      <c r="D29" t="s">
        <v>11</v>
      </c>
      <c r="E29">
        <v>80357805</v>
      </c>
      <c r="G29">
        <v>3125571587</v>
      </c>
      <c r="H29" s="5" t="s">
        <v>12</v>
      </c>
      <c r="I29" t="s">
        <v>13</v>
      </c>
    </row>
    <row r="30" spans="2:10" x14ac:dyDescent="0.25">
      <c r="B30" s="7">
        <v>27</v>
      </c>
      <c r="C30" s="16" t="s">
        <v>52</v>
      </c>
      <c r="D30" t="s">
        <v>11</v>
      </c>
      <c r="E30">
        <v>41745302</v>
      </c>
      <c r="H30" s="5" t="s">
        <v>12</v>
      </c>
      <c r="I30" t="s">
        <v>13</v>
      </c>
    </row>
    <row r="31" spans="2:10" x14ac:dyDescent="0.25">
      <c r="B31" s="7">
        <v>28</v>
      </c>
      <c r="C31" s="16" t="s">
        <v>53</v>
      </c>
      <c r="D31" t="s">
        <v>11</v>
      </c>
      <c r="E31" s="1">
        <v>35504848</v>
      </c>
      <c r="H31" s="5" t="s">
        <v>12</v>
      </c>
      <c r="I31" t="s">
        <v>13</v>
      </c>
    </row>
    <row r="32" spans="2:10" x14ac:dyDescent="0.25">
      <c r="B32" s="7">
        <v>29</v>
      </c>
      <c r="C32" s="16" t="s">
        <v>54</v>
      </c>
      <c r="D32" t="s">
        <v>11</v>
      </c>
      <c r="E32" s="1">
        <v>51747869</v>
      </c>
      <c r="H32" s="5" t="s">
        <v>12</v>
      </c>
      <c r="I32" t="s">
        <v>13</v>
      </c>
    </row>
    <row r="33" spans="2:10" x14ac:dyDescent="0.25">
      <c r="B33" s="7">
        <v>30</v>
      </c>
      <c r="C33" t="s">
        <v>55</v>
      </c>
      <c r="D33" t="s">
        <v>11</v>
      </c>
      <c r="E33" s="1">
        <v>20871334</v>
      </c>
      <c r="G33" t="s">
        <v>65</v>
      </c>
      <c r="H33" s="3" t="s">
        <v>20</v>
      </c>
      <c r="I33" t="s">
        <v>13</v>
      </c>
      <c r="J33" s="4" t="s">
        <v>60</v>
      </c>
    </row>
    <row r="34" spans="2:10" x14ac:dyDescent="0.25">
      <c r="B34" s="7">
        <v>31</v>
      </c>
      <c r="C34" t="s">
        <v>56</v>
      </c>
      <c r="D34" t="s">
        <v>11</v>
      </c>
      <c r="E34" s="1">
        <v>32711220</v>
      </c>
      <c r="G34" t="s">
        <v>66</v>
      </c>
      <c r="H34" s="2" t="s">
        <v>24</v>
      </c>
      <c r="I34" t="s">
        <v>32</v>
      </c>
    </row>
    <row r="37" spans="2:10" x14ac:dyDescent="0.25">
      <c r="F37" s="18" t="s">
        <v>20</v>
      </c>
      <c r="G37" s="18">
        <f>COUNTIF(Tabla1[PUEBLO],"ANAPOIMA")</f>
        <v>11</v>
      </c>
    </row>
    <row r="38" spans="2:10" x14ac:dyDescent="0.25">
      <c r="F38" s="18" t="s">
        <v>24</v>
      </c>
      <c r="G38" s="18">
        <f>COUNTIF(Tabla1[PUEBLO],"APULO")</f>
        <v>7</v>
      </c>
    </row>
    <row r="39" spans="2:10" x14ac:dyDescent="0.25">
      <c r="F39" s="18" t="s">
        <v>12</v>
      </c>
      <c r="G39" s="18">
        <f>COUNTIF(Tabla1[PUEBLO],"TOCAIMA")</f>
        <v>14</v>
      </c>
    </row>
    <row r="40" spans="2:10" x14ac:dyDescent="0.25">
      <c r="F40" s="18" t="s">
        <v>46</v>
      </c>
      <c r="G40" s="18">
        <f>SUM(G37:G39)</f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7D1B-7EF1-4E39-A419-9DC1DE53375F}">
  <dimension ref="B2:S35"/>
  <sheetViews>
    <sheetView topLeftCell="A19" workbookViewId="0">
      <selection activeCell="G25" sqref="G25"/>
    </sheetView>
  </sheetViews>
  <sheetFormatPr baseColWidth="10" defaultRowHeight="15" x14ac:dyDescent="0.25"/>
  <cols>
    <col min="2" max="2" width="3.140625" bestFit="1" customWidth="1"/>
    <col min="3" max="3" width="34.42578125" bestFit="1" customWidth="1"/>
    <col min="4" max="4" width="3.85546875" style="31" bestFit="1" customWidth="1"/>
    <col min="5" max="5" width="12.7109375" bestFit="1" customWidth="1"/>
    <col min="7" max="7" width="11.42578125" style="31"/>
    <col min="8" max="8" width="14.28515625" style="31" bestFit="1" customWidth="1"/>
    <col min="10" max="10" width="11.140625" bestFit="1" customWidth="1"/>
    <col min="13" max="13" width="12.7109375" bestFit="1" customWidth="1"/>
    <col min="14" max="14" width="3.140625" bestFit="1" customWidth="1"/>
    <col min="15" max="15" width="34.42578125" bestFit="1" customWidth="1"/>
    <col min="17" max="17" width="12.7109375" bestFit="1" customWidth="1"/>
  </cols>
  <sheetData>
    <row r="2" spans="2:19" x14ac:dyDescent="0.25">
      <c r="B2" s="12" t="s">
        <v>0</v>
      </c>
      <c r="C2" s="13" t="s">
        <v>1</v>
      </c>
      <c r="D2" s="28" t="s">
        <v>2</v>
      </c>
      <c r="E2" s="13" t="s">
        <v>3</v>
      </c>
      <c r="F2" s="13" t="s">
        <v>5</v>
      </c>
      <c r="G2" s="28" t="s">
        <v>6</v>
      </c>
      <c r="H2" s="28" t="s">
        <v>7</v>
      </c>
    </row>
    <row r="3" spans="2:19" x14ac:dyDescent="0.25">
      <c r="B3" s="10">
        <v>1</v>
      </c>
      <c r="C3" s="9" t="s">
        <v>25</v>
      </c>
      <c r="D3" s="29" t="s">
        <v>11</v>
      </c>
      <c r="E3" s="9">
        <v>52333511</v>
      </c>
      <c r="F3" s="9">
        <v>3224054491</v>
      </c>
      <c r="G3" s="32" t="s">
        <v>24</v>
      </c>
      <c r="H3" s="29" t="s">
        <v>13</v>
      </c>
      <c r="J3" s="35" t="s">
        <v>20</v>
      </c>
      <c r="K3" s="18">
        <f>COUNTIF(Tabla1[PUEBLO],"ANAPOIMA")</f>
        <v>11</v>
      </c>
    </row>
    <row r="4" spans="2:19" x14ac:dyDescent="0.25">
      <c r="B4" s="11">
        <v>2</v>
      </c>
      <c r="C4" s="8" t="s">
        <v>35</v>
      </c>
      <c r="D4" s="30" t="s">
        <v>11</v>
      </c>
      <c r="E4" s="8">
        <v>79139636</v>
      </c>
      <c r="F4" s="8" t="s">
        <v>58</v>
      </c>
      <c r="G4" s="32" t="s">
        <v>24</v>
      </c>
      <c r="H4" s="30" t="s">
        <v>13</v>
      </c>
      <c r="J4" s="36" t="s">
        <v>24</v>
      </c>
      <c r="K4" s="18">
        <f>COUNTIF(Tabla1[PUEBLO],"APULO")</f>
        <v>7</v>
      </c>
    </row>
    <row r="5" spans="2:19" x14ac:dyDescent="0.25">
      <c r="B5" s="10">
        <v>3</v>
      </c>
      <c r="C5" s="20" t="s">
        <v>10</v>
      </c>
      <c r="D5" s="29" t="s">
        <v>11</v>
      </c>
      <c r="E5" s="21">
        <v>21017103</v>
      </c>
      <c r="F5" s="9">
        <v>3223346504</v>
      </c>
      <c r="G5" s="33" t="s">
        <v>12</v>
      </c>
      <c r="H5" s="29" t="s">
        <v>13</v>
      </c>
      <c r="J5" s="37" t="s">
        <v>12</v>
      </c>
      <c r="K5" s="18">
        <f>COUNTIF(Tabla1[PUEBLO],"TOCAIMA")</f>
        <v>14</v>
      </c>
    </row>
    <row r="6" spans="2:19" x14ac:dyDescent="0.25">
      <c r="B6" s="11">
        <v>4</v>
      </c>
      <c r="C6" s="19" t="s">
        <v>14</v>
      </c>
      <c r="D6" s="30" t="s">
        <v>17</v>
      </c>
      <c r="E6" s="23">
        <v>1195464818</v>
      </c>
      <c r="F6" s="8"/>
      <c r="G6" s="34" t="s">
        <v>20</v>
      </c>
      <c r="H6" s="30" t="s">
        <v>19</v>
      </c>
      <c r="J6" s="18" t="s">
        <v>46</v>
      </c>
      <c r="K6" s="18">
        <f>SUM(K3:K5)</f>
        <v>32</v>
      </c>
    </row>
    <row r="7" spans="2:19" x14ac:dyDescent="0.25">
      <c r="B7" s="24"/>
      <c r="C7" s="19" t="s">
        <v>15</v>
      </c>
      <c r="D7" s="29" t="s">
        <v>18</v>
      </c>
      <c r="E7" s="21">
        <v>1195467984</v>
      </c>
      <c r="F7" s="9" t="s">
        <v>22</v>
      </c>
      <c r="G7" s="34" t="s">
        <v>20</v>
      </c>
      <c r="H7" s="29" t="s">
        <v>19</v>
      </c>
    </row>
    <row r="8" spans="2:19" x14ac:dyDescent="0.25">
      <c r="B8" s="11">
        <v>5</v>
      </c>
      <c r="C8" s="19" t="s">
        <v>16</v>
      </c>
      <c r="D8" s="30" t="s">
        <v>11</v>
      </c>
      <c r="E8" s="23">
        <v>1072961833</v>
      </c>
      <c r="F8" s="8"/>
      <c r="G8" s="34" t="s">
        <v>20</v>
      </c>
      <c r="H8" s="30" t="s">
        <v>19</v>
      </c>
    </row>
    <row r="9" spans="2:19" x14ac:dyDescent="0.25">
      <c r="B9" s="25">
        <v>6</v>
      </c>
      <c r="C9" s="19" t="s">
        <v>26</v>
      </c>
      <c r="D9" s="29" t="s">
        <v>11</v>
      </c>
      <c r="E9" s="21">
        <v>1073628781</v>
      </c>
      <c r="F9" s="9"/>
      <c r="G9" s="34" t="s">
        <v>20</v>
      </c>
      <c r="H9" s="29" t="s">
        <v>13</v>
      </c>
    </row>
    <row r="10" spans="2:19" x14ac:dyDescent="0.25">
      <c r="B10" s="25">
        <v>7</v>
      </c>
      <c r="C10" s="19" t="s">
        <v>27</v>
      </c>
      <c r="D10" s="30" t="s">
        <v>11</v>
      </c>
      <c r="E10" s="23">
        <v>1072962666</v>
      </c>
      <c r="F10" s="8"/>
      <c r="G10" s="34" t="s">
        <v>20</v>
      </c>
      <c r="H10" s="30" t="s">
        <v>13</v>
      </c>
    </row>
    <row r="11" spans="2:19" x14ac:dyDescent="0.25">
      <c r="B11" s="25">
        <v>8</v>
      </c>
      <c r="C11" s="19" t="s">
        <v>28</v>
      </c>
      <c r="D11" s="29" t="s">
        <v>11</v>
      </c>
      <c r="E11" s="21">
        <v>1072421457</v>
      </c>
      <c r="F11" s="9"/>
      <c r="G11" s="34" t="s">
        <v>20</v>
      </c>
      <c r="H11" s="29" t="s">
        <v>13</v>
      </c>
    </row>
    <row r="12" spans="2:19" x14ac:dyDescent="0.25">
      <c r="B12" s="25">
        <v>9</v>
      </c>
      <c r="C12" s="19" t="s">
        <v>29</v>
      </c>
      <c r="D12" s="30" t="s">
        <v>11</v>
      </c>
      <c r="E12" s="23">
        <v>1072961043</v>
      </c>
      <c r="F12" s="8">
        <v>3102042982</v>
      </c>
      <c r="G12" s="34" t="s">
        <v>20</v>
      </c>
      <c r="H12" s="30" t="s">
        <v>13</v>
      </c>
      <c r="N12" s="12" t="s">
        <v>0</v>
      </c>
      <c r="O12" s="13" t="s">
        <v>1</v>
      </c>
      <c r="P12" s="28" t="s">
        <v>2</v>
      </c>
      <c r="Q12" s="13" t="s">
        <v>3</v>
      </c>
      <c r="R12" s="13" t="s">
        <v>5</v>
      </c>
      <c r="S12" s="28" t="s">
        <v>6</v>
      </c>
    </row>
    <row r="13" spans="2:19" x14ac:dyDescent="0.25">
      <c r="B13" s="25">
        <v>10</v>
      </c>
      <c r="C13" s="19" t="s">
        <v>36</v>
      </c>
      <c r="D13" s="29" t="s">
        <v>11</v>
      </c>
      <c r="E13" s="21">
        <v>20357814</v>
      </c>
      <c r="F13" s="9"/>
      <c r="G13" s="34" t="s">
        <v>20</v>
      </c>
      <c r="H13" s="29" t="s">
        <v>13</v>
      </c>
      <c r="N13" s="10">
        <v>1</v>
      </c>
      <c r="O13" s="20" t="s">
        <v>10</v>
      </c>
      <c r="P13" s="29" t="s">
        <v>11</v>
      </c>
      <c r="Q13" s="21">
        <v>21017103</v>
      </c>
      <c r="R13" s="9">
        <v>3223346504</v>
      </c>
      <c r="S13" s="33" t="s">
        <v>12</v>
      </c>
    </row>
    <row r="14" spans="2:19" x14ac:dyDescent="0.25">
      <c r="B14" s="11">
        <v>11</v>
      </c>
      <c r="C14" s="8" t="s">
        <v>30</v>
      </c>
      <c r="D14" s="30" t="s">
        <v>11</v>
      </c>
      <c r="E14" s="23">
        <v>1003629015</v>
      </c>
      <c r="F14" s="8">
        <v>3103281126</v>
      </c>
      <c r="G14" s="32" t="s">
        <v>24</v>
      </c>
      <c r="H14" s="30" t="s">
        <v>32</v>
      </c>
      <c r="N14" s="10">
        <v>2</v>
      </c>
      <c r="O14" s="22" t="s">
        <v>37</v>
      </c>
      <c r="P14" s="29" t="s">
        <v>11</v>
      </c>
      <c r="Q14" s="21">
        <v>3206763</v>
      </c>
      <c r="R14" s="9"/>
      <c r="S14" s="33" t="s">
        <v>12</v>
      </c>
    </row>
    <row r="15" spans="2:19" x14ac:dyDescent="0.25">
      <c r="B15" s="10">
        <v>12</v>
      </c>
      <c r="C15" s="9" t="s">
        <v>31</v>
      </c>
      <c r="D15" s="29" t="s">
        <v>11</v>
      </c>
      <c r="E15" s="21">
        <v>1003635450</v>
      </c>
      <c r="F15" s="9">
        <v>3118757572</v>
      </c>
      <c r="G15" s="32" t="s">
        <v>24</v>
      </c>
      <c r="H15" s="29" t="s">
        <v>32</v>
      </c>
      <c r="N15" s="10">
        <v>3</v>
      </c>
      <c r="O15" s="22" t="s">
        <v>38</v>
      </c>
      <c r="P15" s="30" t="s">
        <v>11</v>
      </c>
      <c r="Q15" s="23">
        <v>21014455</v>
      </c>
      <c r="R15" s="8"/>
      <c r="S15" s="33" t="s">
        <v>12</v>
      </c>
    </row>
    <row r="16" spans="2:19" x14ac:dyDescent="0.25">
      <c r="B16" s="11">
        <v>13</v>
      </c>
      <c r="C16" s="8" t="s">
        <v>34</v>
      </c>
      <c r="D16" s="30" t="s">
        <v>11</v>
      </c>
      <c r="E16" s="23">
        <v>52616010</v>
      </c>
      <c r="F16" s="8" t="s">
        <v>33</v>
      </c>
      <c r="G16" s="32" t="s">
        <v>24</v>
      </c>
      <c r="H16" s="30" t="s">
        <v>32</v>
      </c>
      <c r="N16" s="10">
        <v>4</v>
      </c>
      <c r="O16" s="22" t="s">
        <v>39</v>
      </c>
      <c r="P16" s="29" t="s">
        <v>11</v>
      </c>
      <c r="Q16" s="21">
        <v>1075626762</v>
      </c>
      <c r="R16" s="9"/>
      <c r="S16" s="33" t="s">
        <v>12</v>
      </c>
    </row>
    <row r="17" spans="2:19" x14ac:dyDescent="0.25">
      <c r="B17" s="10">
        <v>14</v>
      </c>
      <c r="C17" s="22" t="s">
        <v>37</v>
      </c>
      <c r="D17" s="29" t="s">
        <v>11</v>
      </c>
      <c r="E17" s="21">
        <v>3206763</v>
      </c>
      <c r="F17" s="9"/>
      <c r="G17" s="33" t="s">
        <v>12</v>
      </c>
      <c r="H17" s="29" t="s">
        <v>13</v>
      </c>
      <c r="N17" s="10">
        <v>5</v>
      </c>
      <c r="O17" s="26" t="s">
        <v>42</v>
      </c>
      <c r="P17" s="30" t="s">
        <v>11</v>
      </c>
      <c r="Q17" s="8">
        <v>21017274</v>
      </c>
      <c r="R17" s="8"/>
      <c r="S17" s="33" t="s">
        <v>12</v>
      </c>
    </row>
    <row r="18" spans="2:19" x14ac:dyDescent="0.25">
      <c r="B18" s="11">
        <v>15</v>
      </c>
      <c r="C18" s="22" t="s">
        <v>38</v>
      </c>
      <c r="D18" s="30" t="s">
        <v>11</v>
      </c>
      <c r="E18" s="23">
        <v>21014455</v>
      </c>
      <c r="F18" s="8"/>
      <c r="G18" s="33" t="s">
        <v>12</v>
      </c>
      <c r="H18" s="30" t="s">
        <v>13</v>
      </c>
      <c r="N18" s="10">
        <v>6</v>
      </c>
      <c r="O18" s="26" t="s">
        <v>43</v>
      </c>
      <c r="P18" s="29" t="s">
        <v>11</v>
      </c>
      <c r="Q18" s="9">
        <v>93338047</v>
      </c>
      <c r="R18" s="9"/>
      <c r="S18" s="33" t="s">
        <v>12</v>
      </c>
    </row>
    <row r="19" spans="2:19" x14ac:dyDescent="0.25">
      <c r="B19" s="10">
        <v>16</v>
      </c>
      <c r="C19" s="22" t="s">
        <v>39</v>
      </c>
      <c r="D19" s="29" t="s">
        <v>11</v>
      </c>
      <c r="E19" s="21">
        <v>1075626762</v>
      </c>
      <c r="F19" s="9"/>
      <c r="G19" s="33" t="s">
        <v>12</v>
      </c>
      <c r="H19" s="29" t="s">
        <v>13</v>
      </c>
      <c r="N19" s="10">
        <v>7</v>
      </c>
      <c r="O19" s="26" t="s">
        <v>44</v>
      </c>
      <c r="P19" s="30" t="s">
        <v>11</v>
      </c>
      <c r="Q19" s="8">
        <v>1075626865</v>
      </c>
      <c r="R19" s="8"/>
      <c r="S19" s="33" t="s">
        <v>12</v>
      </c>
    </row>
    <row r="20" spans="2:19" x14ac:dyDescent="0.25">
      <c r="B20" s="11">
        <v>17</v>
      </c>
      <c r="C20" s="8" t="s">
        <v>40</v>
      </c>
      <c r="D20" s="30" t="s">
        <v>11</v>
      </c>
      <c r="E20" s="8">
        <v>179187</v>
      </c>
      <c r="F20" s="8">
        <v>3203404530</v>
      </c>
      <c r="G20" s="32" t="s">
        <v>24</v>
      </c>
      <c r="H20" s="30" t="s">
        <v>32</v>
      </c>
      <c r="N20" s="10">
        <v>8</v>
      </c>
      <c r="O20" s="22" t="s">
        <v>47</v>
      </c>
      <c r="P20" s="30" t="s">
        <v>11</v>
      </c>
      <c r="Q20" s="23">
        <v>3209147</v>
      </c>
      <c r="R20" s="8"/>
      <c r="S20" s="33" t="s">
        <v>12</v>
      </c>
    </row>
    <row r="21" spans="2:19" x14ac:dyDescent="0.25">
      <c r="B21" s="10">
        <v>18</v>
      </c>
      <c r="C21" s="9" t="s">
        <v>41</v>
      </c>
      <c r="D21" s="29" t="s">
        <v>11</v>
      </c>
      <c r="E21" s="9">
        <v>52502797</v>
      </c>
      <c r="F21" s="9">
        <v>3214854061</v>
      </c>
      <c r="G21" s="34" t="s">
        <v>20</v>
      </c>
      <c r="H21" s="29" t="s">
        <v>13</v>
      </c>
      <c r="N21" s="10">
        <v>9</v>
      </c>
      <c r="O21" s="8" t="s">
        <v>49</v>
      </c>
      <c r="P21" s="30" t="s">
        <v>11</v>
      </c>
      <c r="Q21" s="8">
        <v>79656808</v>
      </c>
      <c r="R21" s="8"/>
      <c r="S21" s="33" t="s">
        <v>12</v>
      </c>
    </row>
    <row r="22" spans="2:19" x14ac:dyDescent="0.25">
      <c r="B22" s="11">
        <v>19</v>
      </c>
      <c r="C22" s="26" t="s">
        <v>42</v>
      </c>
      <c r="D22" s="30" t="s">
        <v>11</v>
      </c>
      <c r="E22" s="8">
        <v>21017274</v>
      </c>
      <c r="F22" s="8"/>
      <c r="G22" s="33" t="s">
        <v>12</v>
      </c>
      <c r="H22" s="30" t="s">
        <v>45</v>
      </c>
      <c r="N22" s="10">
        <v>10</v>
      </c>
      <c r="O22" s="20" t="s">
        <v>50</v>
      </c>
      <c r="P22" s="29" t="s">
        <v>11</v>
      </c>
      <c r="Q22" s="9">
        <v>1075627678</v>
      </c>
      <c r="R22" s="9">
        <v>3214145468</v>
      </c>
      <c r="S22" s="33" t="s">
        <v>12</v>
      </c>
    </row>
    <row r="23" spans="2:19" x14ac:dyDescent="0.25">
      <c r="B23" s="10">
        <v>20</v>
      </c>
      <c r="C23" s="26" t="s">
        <v>43</v>
      </c>
      <c r="D23" s="29" t="s">
        <v>11</v>
      </c>
      <c r="E23" s="9">
        <v>93338047</v>
      </c>
      <c r="F23" s="9"/>
      <c r="G23" s="33" t="s">
        <v>12</v>
      </c>
      <c r="H23" s="29" t="s">
        <v>45</v>
      </c>
      <c r="N23" s="10">
        <v>11</v>
      </c>
      <c r="O23" s="20" t="s">
        <v>51</v>
      </c>
      <c r="P23" s="30" t="s">
        <v>11</v>
      </c>
      <c r="Q23" s="8">
        <v>80357805</v>
      </c>
      <c r="R23" s="8">
        <v>3125571587</v>
      </c>
      <c r="S23" s="33" t="s">
        <v>12</v>
      </c>
    </row>
    <row r="24" spans="2:19" x14ac:dyDescent="0.25">
      <c r="B24" s="11">
        <v>21</v>
      </c>
      <c r="C24" s="26" t="s">
        <v>44</v>
      </c>
      <c r="D24" s="30" t="s">
        <v>11</v>
      </c>
      <c r="E24" s="8">
        <v>1075626865</v>
      </c>
      <c r="F24" s="8"/>
      <c r="G24" s="33" t="s">
        <v>12</v>
      </c>
      <c r="H24" s="30" t="s">
        <v>45</v>
      </c>
      <c r="N24" s="10">
        <v>12</v>
      </c>
      <c r="O24" s="27" t="s">
        <v>52</v>
      </c>
      <c r="P24" s="29" t="s">
        <v>11</v>
      </c>
      <c r="Q24" s="9">
        <v>41745302</v>
      </c>
      <c r="R24" s="9"/>
      <c r="S24" s="33" t="s">
        <v>12</v>
      </c>
    </row>
    <row r="25" spans="2:19" x14ac:dyDescent="0.25">
      <c r="B25" s="10">
        <v>22</v>
      </c>
      <c r="C25" s="9" t="s">
        <v>61</v>
      </c>
      <c r="D25" s="29" t="s">
        <v>11</v>
      </c>
      <c r="E25" s="9">
        <v>41922972</v>
      </c>
      <c r="F25" s="9"/>
      <c r="G25" s="33" t="s">
        <v>12</v>
      </c>
      <c r="H25" s="29" t="s">
        <v>57</v>
      </c>
      <c r="N25" s="10">
        <v>13</v>
      </c>
      <c r="O25" s="27" t="s">
        <v>53</v>
      </c>
      <c r="P25" s="30" t="s">
        <v>11</v>
      </c>
      <c r="Q25" s="23">
        <v>35504848</v>
      </c>
      <c r="R25" s="8"/>
      <c r="S25" s="33" t="s">
        <v>12</v>
      </c>
    </row>
    <row r="26" spans="2:19" x14ac:dyDescent="0.25">
      <c r="B26" s="11">
        <v>23</v>
      </c>
      <c r="C26" s="22" t="s">
        <v>47</v>
      </c>
      <c r="D26" s="30" t="s">
        <v>11</v>
      </c>
      <c r="E26" s="23">
        <v>3209147</v>
      </c>
      <c r="F26" s="8"/>
      <c r="G26" s="32" t="s">
        <v>24</v>
      </c>
      <c r="H26" s="30" t="s">
        <v>13</v>
      </c>
      <c r="N26" s="10">
        <v>14</v>
      </c>
      <c r="O26" s="27" t="s">
        <v>54</v>
      </c>
      <c r="P26" s="29" t="s">
        <v>11</v>
      </c>
      <c r="Q26" s="21">
        <v>51747869</v>
      </c>
      <c r="R26" s="9"/>
      <c r="S26" s="33" t="s">
        <v>12</v>
      </c>
    </row>
    <row r="27" spans="2:19" x14ac:dyDescent="0.25">
      <c r="B27" s="10">
        <v>24</v>
      </c>
      <c r="C27" s="9" t="s">
        <v>48</v>
      </c>
      <c r="D27" s="29" t="s">
        <v>11</v>
      </c>
      <c r="E27" s="9">
        <v>79538678</v>
      </c>
      <c r="F27" s="9"/>
      <c r="G27" s="33" t="s">
        <v>12</v>
      </c>
      <c r="H27" s="29" t="s">
        <v>59</v>
      </c>
    </row>
    <row r="28" spans="2:19" x14ac:dyDescent="0.25">
      <c r="B28" s="11">
        <v>25</v>
      </c>
      <c r="C28" s="8" t="s">
        <v>49</v>
      </c>
      <c r="D28" s="30" t="s">
        <v>11</v>
      </c>
      <c r="E28" s="8">
        <v>79656808</v>
      </c>
      <c r="F28" s="8"/>
      <c r="G28" s="33" t="s">
        <v>12</v>
      </c>
      <c r="H28" s="30" t="s">
        <v>59</v>
      </c>
    </row>
    <row r="29" spans="2:19" x14ac:dyDescent="0.25">
      <c r="B29" s="10">
        <v>26</v>
      </c>
      <c r="C29" s="20" t="s">
        <v>50</v>
      </c>
      <c r="D29" s="29" t="s">
        <v>11</v>
      </c>
      <c r="E29" s="9">
        <v>1075627678</v>
      </c>
      <c r="F29" s="9">
        <v>3214145468</v>
      </c>
      <c r="G29" s="33" t="s">
        <v>12</v>
      </c>
      <c r="H29" s="29" t="s">
        <v>13</v>
      </c>
    </row>
    <row r="30" spans="2:19" x14ac:dyDescent="0.25">
      <c r="B30" s="11">
        <v>27</v>
      </c>
      <c r="C30" s="20" t="s">
        <v>51</v>
      </c>
      <c r="D30" s="30" t="s">
        <v>11</v>
      </c>
      <c r="E30" s="8">
        <v>80357805</v>
      </c>
      <c r="F30" s="8">
        <v>3125571587</v>
      </c>
      <c r="G30" s="33" t="s">
        <v>12</v>
      </c>
      <c r="H30" s="30" t="s">
        <v>13</v>
      </c>
    </row>
    <row r="31" spans="2:19" x14ac:dyDescent="0.25">
      <c r="B31" s="10">
        <v>28</v>
      </c>
      <c r="C31" s="27" t="s">
        <v>52</v>
      </c>
      <c r="D31" s="29" t="s">
        <v>11</v>
      </c>
      <c r="E31" s="9">
        <v>41745302</v>
      </c>
      <c r="F31" s="9"/>
      <c r="G31" s="33" t="s">
        <v>12</v>
      </c>
      <c r="H31" s="29" t="s">
        <v>13</v>
      </c>
    </row>
    <row r="32" spans="2:19" x14ac:dyDescent="0.25">
      <c r="B32" s="11">
        <v>29</v>
      </c>
      <c r="C32" s="27" t="s">
        <v>53</v>
      </c>
      <c r="D32" s="30" t="s">
        <v>11</v>
      </c>
      <c r="E32" s="23">
        <v>35504848</v>
      </c>
      <c r="F32" s="8"/>
      <c r="G32" s="33" t="s">
        <v>12</v>
      </c>
      <c r="H32" s="30" t="s">
        <v>13</v>
      </c>
    </row>
    <row r="33" spans="2:8" x14ac:dyDescent="0.25">
      <c r="B33" s="10">
        <v>30</v>
      </c>
      <c r="C33" s="27" t="s">
        <v>54</v>
      </c>
      <c r="D33" s="29" t="s">
        <v>11</v>
      </c>
      <c r="E33" s="21">
        <v>51747869</v>
      </c>
      <c r="F33" s="9"/>
      <c r="G33" s="34" t="s">
        <v>20</v>
      </c>
      <c r="H33" s="29" t="s">
        <v>13</v>
      </c>
    </row>
    <row r="34" spans="2:8" x14ac:dyDescent="0.25">
      <c r="B34" s="11">
        <v>31</v>
      </c>
      <c r="C34" s="8" t="s">
        <v>55</v>
      </c>
      <c r="D34" s="30" t="s">
        <v>11</v>
      </c>
      <c r="E34" s="23">
        <v>20871334</v>
      </c>
      <c r="F34" s="8">
        <v>3023118609</v>
      </c>
      <c r="G34" s="32" t="s">
        <v>24</v>
      </c>
      <c r="H34" s="30" t="s">
        <v>13</v>
      </c>
    </row>
    <row r="35" spans="2:8" x14ac:dyDescent="0.25">
      <c r="B35" s="10">
        <v>32</v>
      </c>
      <c r="C35" s="9" t="s">
        <v>56</v>
      </c>
      <c r="D35" s="29" t="s">
        <v>11</v>
      </c>
      <c r="E35" s="21">
        <v>32711220</v>
      </c>
      <c r="F35" s="9">
        <v>3103327379</v>
      </c>
      <c r="H35" s="2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2024-03-18T18:35:06Z</dcterms:created>
  <dcterms:modified xsi:type="dcterms:W3CDTF">2024-05-28T21:00:02Z</dcterms:modified>
</cp:coreProperties>
</file>