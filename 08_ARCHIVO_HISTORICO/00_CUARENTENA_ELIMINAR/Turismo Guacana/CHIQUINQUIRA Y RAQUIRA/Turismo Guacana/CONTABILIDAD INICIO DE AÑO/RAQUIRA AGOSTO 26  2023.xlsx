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73BA02CF-87D4-4AFA-A0D5-53A6575430F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US Y SALDOS " sheetId="1" r:id="rId1"/>
    <sheet name="ALMUERZOS " sheetId="3" r:id="rId2"/>
    <sheet name="COSTOS Y GASTOS " sheetId="2" r:id="rId3"/>
  </sheets>
  <definedNames>
    <definedName name="_xlnm._FilterDatabase" localSheetId="1" hidden="1">'ALMUERZOS '!$A$2:$C$44</definedName>
    <definedName name="_xlnm._FilterDatabase" localSheetId="0" hidden="1">'BUS Y SALDOS '!$A$1:$L$46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I46" i="1"/>
  <c r="E15" i="2"/>
  <c r="I45" i="1"/>
  <c r="J45" i="1"/>
  <c r="H4" i="2"/>
  <c r="H5" i="2"/>
  <c r="H6" i="2"/>
  <c r="H7" i="2"/>
  <c r="H8" i="2"/>
  <c r="H9" i="2"/>
  <c r="H3" i="2"/>
  <c r="G10" i="2"/>
  <c r="H10" i="2" l="1"/>
  <c r="F5" i="3"/>
  <c r="I36" i="1" l="1"/>
  <c r="I39" i="1"/>
  <c r="I40" i="1"/>
  <c r="F11" i="1" l="1"/>
  <c r="F10" i="1"/>
  <c r="F9" i="1"/>
  <c r="F8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" i="1"/>
  <c r="E17" i="2" l="1"/>
  <c r="C9" i="2" l="1"/>
  <c r="C10" i="2" l="1"/>
  <c r="C13" i="2" s="1"/>
</calcChain>
</file>

<file path=xl/sharedStrings.xml><?xml version="1.0" encoding="utf-8"?>
<sst xmlns="http://schemas.openxmlformats.org/spreadsheetml/2006/main" count="283" uniqueCount="120">
  <si>
    <t xml:space="preserve">NOMBRES Y APELLIDOS </t>
  </si>
  <si>
    <t>IDENTIFICACION</t>
  </si>
  <si>
    <t>ABONO</t>
  </si>
  <si>
    <t>SALDO</t>
  </si>
  <si>
    <t>CELULAR</t>
  </si>
  <si>
    <t xml:space="preserve">EMPRESA </t>
  </si>
  <si>
    <t>TOTAL</t>
  </si>
  <si>
    <t>VALOR TOTAL</t>
  </si>
  <si>
    <t xml:space="preserve">VENDEDOR </t>
  </si>
  <si>
    <t xml:space="preserve">COSTOS Y GASTOS </t>
  </si>
  <si>
    <t xml:space="preserve">COMISIONES </t>
  </si>
  <si>
    <t>BUS</t>
  </si>
  <si>
    <t>SEGURO</t>
  </si>
  <si>
    <t xml:space="preserve">TOTAL </t>
  </si>
  <si>
    <t xml:space="preserve">INGRESO </t>
  </si>
  <si>
    <t>UTILIDAD</t>
  </si>
  <si>
    <t>N°</t>
  </si>
  <si>
    <t>PERSONAS</t>
  </si>
  <si>
    <t>EMPRESA</t>
  </si>
  <si>
    <t>LUIS ALBERTO DUARTE MOLINA</t>
  </si>
  <si>
    <t>EDITH APULO</t>
  </si>
  <si>
    <t xml:space="preserve">FECHA DE NACIMIENTO </t>
  </si>
  <si>
    <t>EDAD</t>
  </si>
  <si>
    <t xml:space="preserve">LUIS HERNANDO ROMERO </t>
  </si>
  <si>
    <t>311 247 2544</t>
  </si>
  <si>
    <t xml:space="preserve">LUISA FERNANDA ROMERO </t>
  </si>
  <si>
    <t xml:space="preserve">LAD APULO </t>
  </si>
  <si>
    <t>PATRICIA GARZON CASTELLO</t>
  </si>
  <si>
    <t>26. AGOT- 1995</t>
  </si>
  <si>
    <t xml:space="preserve">CRISTIAN CAMILO BERNAL MARTINEZ </t>
  </si>
  <si>
    <t>312 403 4585</t>
  </si>
  <si>
    <t xml:space="preserve">LIGIA CUCAYTA RAMIREZ </t>
  </si>
  <si>
    <t>311 758 5173</t>
  </si>
  <si>
    <t xml:space="preserve">ALICIA RAMIREZ </t>
  </si>
  <si>
    <t>4. MAR- 1967</t>
  </si>
  <si>
    <t>7. AGOT- 1949</t>
  </si>
  <si>
    <t>18. MARZ- 1981</t>
  </si>
  <si>
    <t>320 832 1311</t>
  </si>
  <si>
    <t xml:space="preserve">YENY MARIANA RORIGUEZ SUAREZ </t>
  </si>
  <si>
    <t>28. OCT - 1984</t>
  </si>
  <si>
    <t>312 495 8532</t>
  </si>
  <si>
    <t>26. AGOS- 2004</t>
  </si>
  <si>
    <t>312 491 0082</t>
  </si>
  <si>
    <t xml:space="preserve">SANDRA YULIEHT APONTE RODRIGUEZ </t>
  </si>
  <si>
    <t>TI 1.075.624.350</t>
  </si>
  <si>
    <t>11. AGOS- 2007</t>
  </si>
  <si>
    <t>313 473 9023</t>
  </si>
  <si>
    <t xml:space="preserve">MARIA MARLENE DIAZ SANCHEZ </t>
  </si>
  <si>
    <t xml:space="preserve">MARCOS BARRERA MANCERA </t>
  </si>
  <si>
    <t xml:space="preserve">EDITH </t>
  </si>
  <si>
    <t xml:space="preserve">ANA EDITH MORENO SILVA </t>
  </si>
  <si>
    <t xml:space="preserve">JAKELINE HERRERA DIAZ </t>
  </si>
  <si>
    <t xml:space="preserve">FRANCY ROMERO SANABRIA </t>
  </si>
  <si>
    <t>MARIA GRACIELA ALZATE DE ZULUAGA</t>
  </si>
  <si>
    <t xml:space="preserve">GISETH ALEJANDRA GARCIA RODRIGUEZ </t>
  </si>
  <si>
    <t>TI 1.073.629.756</t>
  </si>
  <si>
    <t xml:space="preserve">MARIA HERMELINDA RODRIGUEZ </t>
  </si>
  <si>
    <t xml:space="preserve">CARLOS ENRIQUE ROBAYO </t>
  </si>
  <si>
    <t xml:space="preserve">RIDA ALEJANDRA GARCIA RODRIGUEZ </t>
  </si>
  <si>
    <t>ROSALBA MONCADA PEDRAZA</t>
  </si>
  <si>
    <t>311 240 9340</t>
  </si>
  <si>
    <t>17. AGOS- 1961</t>
  </si>
  <si>
    <t xml:space="preserve">NANCY ESPERANZA ESPINOZA </t>
  </si>
  <si>
    <t xml:space="preserve">ANAPOIMA GLORIA </t>
  </si>
  <si>
    <t>312 435 5025</t>
  </si>
  <si>
    <t xml:space="preserve">FABIO HERRERA OVIEDO </t>
  </si>
  <si>
    <t xml:space="preserve">EDITH APULO </t>
  </si>
  <si>
    <t xml:space="preserve">ANA ELISA PAEZ DE PORRAS </t>
  </si>
  <si>
    <t xml:space="preserve">DEILLY LORENA LLANOS HERRERA </t>
  </si>
  <si>
    <t xml:space="preserve">GINA GISELA HERRERA DIAZ </t>
  </si>
  <si>
    <t xml:space="preserve">FLOR MARINA MORENO CAMACHO </t>
  </si>
  <si>
    <t>322 315 1658</t>
  </si>
  <si>
    <t>28. JUN- 1974</t>
  </si>
  <si>
    <t xml:space="preserve">MARIA ALEJANDRA ARGUMERO MORENO </t>
  </si>
  <si>
    <t>12. 10- 2007</t>
  </si>
  <si>
    <t xml:space="preserve">LUZ NELLY RUBIO FORERO </t>
  </si>
  <si>
    <t xml:space="preserve">MAFE </t>
  </si>
  <si>
    <t>JUANA LUCIA CADENA LOPEZ</t>
  </si>
  <si>
    <t xml:space="preserve">MARIA TERESA SARMIENTO DE LOPEZ </t>
  </si>
  <si>
    <t>3. FEB- 1957</t>
  </si>
  <si>
    <t xml:space="preserve">EDITH IBAGUE </t>
  </si>
  <si>
    <t xml:space="preserve">KAREN DAYAN ROMERO ABREU </t>
  </si>
  <si>
    <t>21. AGOST- 1969</t>
  </si>
  <si>
    <t>312 480 7496</t>
  </si>
  <si>
    <t xml:space="preserve">MARTHA ROSIO LOPEZ AMAYA  </t>
  </si>
  <si>
    <t>26. FEB- 1968</t>
  </si>
  <si>
    <t>312 471 2702</t>
  </si>
  <si>
    <t xml:space="preserve">ELSY LOPEZ ESCOBAR </t>
  </si>
  <si>
    <t xml:space="preserve">LUZ MIREYA RODRIGUEZ LEON </t>
  </si>
  <si>
    <t xml:space="preserve">ROSA YOLANDA MORENO </t>
  </si>
  <si>
    <t xml:space="preserve">ERNESTO  MARQUEZ </t>
  </si>
  <si>
    <t xml:space="preserve">DIANA CORDOBA </t>
  </si>
  <si>
    <t xml:space="preserve">CARLOS HERNAN APONTE RUBIO </t>
  </si>
  <si>
    <t xml:space="preserve">PAULA ANDREA APONTE RODRIGUEZ </t>
  </si>
  <si>
    <t>TI 1073180559</t>
  </si>
  <si>
    <t>JULIA ELEANOR SARMINETO DE RODRIGUEZ</t>
  </si>
  <si>
    <t xml:space="preserve">LUZ MARINA FARIAS DE LOPEZ </t>
  </si>
  <si>
    <t>EDITH</t>
  </si>
  <si>
    <t xml:space="preserve">TANIA YISELA JIMENEZ </t>
  </si>
  <si>
    <t xml:space="preserve">GALLINA </t>
  </si>
  <si>
    <t xml:space="preserve">LUZ MERY PEDRAZA </t>
  </si>
  <si>
    <t xml:space="preserve">PICADA </t>
  </si>
  <si>
    <t xml:space="preserve">JOSE GABRIEL CABRERA PINZON </t>
  </si>
  <si>
    <t xml:space="preserve">LUIS FERNANDO TORRES FORERO </t>
  </si>
  <si>
    <t xml:space="preserve">LUISA MARIA FERNANDA BENAVIDES </t>
  </si>
  <si>
    <t>ALMUERZO</t>
  </si>
  <si>
    <t xml:space="preserve">ALMUERZOS </t>
  </si>
  <si>
    <t>RAQUIRA  CONTROL DE PASAJEROS Y SALDOS QUE ADEUDAN</t>
  </si>
  <si>
    <t xml:space="preserve">MANO DEL ARTESANO </t>
  </si>
  <si>
    <t>ALMUERZO 40</t>
  </si>
  <si>
    <t xml:space="preserve">OBSEQUIOS - POCILLOS </t>
  </si>
  <si>
    <t xml:space="preserve">HIDRATACION -WISKEY </t>
  </si>
  <si>
    <t xml:space="preserve">LAD </t>
  </si>
  <si>
    <t xml:space="preserve">TETE </t>
  </si>
  <si>
    <t xml:space="preserve">GLORIA ANAPOIMA </t>
  </si>
  <si>
    <t>VALOR</t>
  </si>
  <si>
    <t>COMISÓN</t>
  </si>
  <si>
    <t>TETE</t>
  </si>
  <si>
    <t>GUSTAVO</t>
  </si>
  <si>
    <t>LUIS FENANDO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</si>
</sst>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&quot;$&quot;#,##0;[Red]\-&quot;$&quot;#,##0"/>
    <numFmt numFmtId="165" formatCode="_-&quot;$&quot;* #,##0.00_-;\-&quot;$&quot;* #,##0.00_-;_-&quot;$&quot;* &quot;-&quot;??_-;_-@_-"/>
    <numFmt numFmtId="166" formatCode="&quot;$&quot;\ #,##0_);[Red]\(&quot;$&quot;\ #,##0\)"/>
    <numFmt numFmtId="167" formatCode="_(* #,##0.00_);_(* \(#,##0.00\);_(* &quot;-&quot;??_);_(@_)"/>
    <numFmt numFmtId="168" formatCode="_-&quot;$&quot;* #,##0_-;\-&quot;$&quot;* #,##0_-;_-&quot;$&quot;* &quot;-&quot;??_-;_-@_-"/>
    <numFmt numFmtId="169" formatCode="_(* #,##0_);_(* \(#,##0\);_(* &quot;-&quot;??_);_(@_)"/>
    <numFmt numFmtId="170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Font="1" applyBorder="1"/>
    <xf numFmtId="168" fontId="0" fillId="0" borderId="1" xfId="1" applyNumberFormat="1" applyFont="1" applyBorder="1"/>
    <xf numFmtId="168" fontId="0" fillId="0" borderId="0" xfId="1" applyNumberFormat="1" applyFont="1"/>
    <xf numFmtId="168" fontId="2" fillId="0" borderId="1" xfId="1" applyNumberFormat="1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68" fontId="0" fillId="0" borderId="4" xfId="1" applyNumberFormat="1" applyFont="1" applyBorder="1"/>
    <xf numFmtId="0" fontId="0" fillId="0" borderId="5" xfId="0" applyFont="1" applyBorder="1"/>
    <xf numFmtId="169" fontId="0" fillId="0" borderId="1" xfId="2" applyNumberFormat="1" applyFont="1" applyBorder="1"/>
    <xf numFmtId="169" fontId="0" fillId="0" borderId="4" xfId="2" applyNumberFormat="1" applyFont="1" applyBorder="1"/>
    <xf numFmtId="169" fontId="0" fillId="0" borderId="0" xfId="2" applyNumberFormat="1" applyFont="1"/>
    <xf numFmtId="166" fontId="0" fillId="0" borderId="0" xfId="0" applyNumberFormat="1"/>
    <xf numFmtId="0" fontId="6" fillId="0" borderId="0" xfId="0" applyFont="1"/>
    <xf numFmtId="0" fontId="6" fillId="0" borderId="1" xfId="0" applyFont="1" applyBorder="1"/>
    <xf numFmtId="170" fontId="0" fillId="0" borderId="0" xfId="2" applyNumberFormat="1" applyFont="1"/>
    <xf numFmtId="170" fontId="6" fillId="2" borderId="1" xfId="2" applyNumberFormat="1" applyFont="1" applyFill="1" applyBorder="1"/>
    <xf numFmtId="168" fontId="6" fillId="0" borderId="1" xfId="1" applyNumberFormat="1" applyFont="1" applyBorder="1"/>
    <xf numFmtId="170" fontId="6" fillId="0" borderId="1" xfId="2" applyNumberFormat="1" applyFont="1" applyBorder="1"/>
    <xf numFmtId="164" fontId="6" fillId="0" borderId="1" xfId="0" applyNumberFormat="1" applyFont="1" applyBorder="1"/>
    <xf numFmtId="0" fontId="6" fillId="0" borderId="0" xfId="0" applyFont="1" applyBorder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164" fontId="6" fillId="0" borderId="0" xfId="0" applyNumberFormat="1" applyFont="1" applyBorder="1"/>
    <xf numFmtId="170" fontId="6" fillId="0" borderId="0" xfId="2" applyNumberFormat="1" applyFont="1"/>
    <xf numFmtId="168" fontId="6" fillId="0" borderId="0" xfId="1" applyNumberFormat="1" applyFont="1"/>
    <xf numFmtId="164" fontId="6" fillId="0" borderId="0" xfId="0" applyNumberFormat="1" applyFont="1"/>
    <xf numFmtId="168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9" fontId="3" fillId="0" borderId="1" xfId="2" applyNumberFormat="1" applyFont="1" applyBorder="1"/>
    <xf numFmtId="168" fontId="3" fillId="0" borderId="1" xfId="1" applyNumberFormat="1" applyFont="1" applyBorder="1"/>
    <xf numFmtId="0" fontId="3" fillId="0" borderId="1" xfId="0" applyFont="1" applyBorder="1" applyAlignment="1">
      <alignment horizontal="center"/>
    </xf>
    <xf numFmtId="169" fontId="0" fillId="3" borderId="1" xfId="2" applyNumberFormat="1" applyFont="1" applyFill="1" applyBorder="1"/>
    <xf numFmtId="0" fontId="0" fillId="3" borderId="1" xfId="0" applyFill="1" applyBorder="1"/>
    <xf numFmtId="0" fontId="0" fillId="3" borderId="1" xfId="0" applyFont="1" applyFill="1" applyBorder="1"/>
    <xf numFmtId="168" fontId="0" fillId="3" borderId="1" xfId="1" applyNumberFormat="1" applyFont="1" applyFill="1" applyBorder="1"/>
    <xf numFmtId="0" fontId="0" fillId="3" borderId="0" xfId="0" applyFill="1"/>
    <xf numFmtId="0" fontId="7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9" fontId="0" fillId="2" borderId="1" xfId="2" applyNumberFormat="1" applyFont="1" applyFill="1" applyBorder="1"/>
    <xf numFmtId="168" fontId="0" fillId="2" borderId="1" xfId="1" applyNumberFormat="1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/>
    </xf>
    <xf numFmtId="169" fontId="8" fillId="0" borderId="1" xfId="2" applyNumberFormat="1" applyFont="1" applyBorder="1"/>
    <xf numFmtId="0" fontId="7" fillId="3" borderId="1" xfId="0" applyFont="1" applyFill="1" applyBorder="1" applyAlignment="1">
      <alignment vertical="center" wrapText="1"/>
    </xf>
    <xf numFmtId="0" fontId="0" fillId="3" borderId="0" xfId="0" applyFont="1" applyFill="1"/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2" borderId="1" xfId="0" applyFont="1" applyFill="1" applyBorder="1" applyAlignment="1">
      <alignment horizontal="center"/>
    </xf>
    <xf numFmtId="0" fontId="0" fillId="2" borderId="0" xfId="0" applyFont="1" applyFill="1"/>
    <xf numFmtId="0" fontId="0" fillId="0" borderId="1" xfId="0" applyBorder="1"/>
    <xf numFmtId="41" fontId="0" fillId="3" borderId="1" xfId="3" applyFont="1" applyFill="1" applyBorder="1"/>
    <xf numFmtId="0" fontId="0" fillId="2" borderId="1" xfId="0" applyFill="1" applyBorder="1"/>
    <xf numFmtId="0" fontId="9" fillId="0" borderId="1" xfId="0" applyFont="1" applyBorder="1"/>
    <xf numFmtId="169" fontId="6" fillId="0" borderId="0" xfId="2" applyNumberFormat="1" applyFont="1"/>
    <xf numFmtId="0" fontId="6" fillId="0" borderId="1" xfId="0" applyFont="1" applyBorder="1" applyAlignment="1"/>
    <xf numFmtId="170" fontId="6" fillId="0" borderId="1" xfId="0" applyNumberFormat="1" applyFont="1" applyBorder="1" applyAlignment="1"/>
    <xf numFmtId="0" fontId="5" fillId="0" borderId="1" xfId="0" applyFont="1" applyBorder="1" applyAlignment="1">
      <alignment wrapText="1"/>
    </xf>
    <xf numFmtId="170" fontId="6" fillId="0" borderId="1" xfId="0" applyNumberFormat="1" applyFont="1" applyBorder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8" fontId="2" fillId="0" borderId="6" xfId="1" applyNumberFormat="1" applyFont="1" applyBorder="1"/>
    <xf numFmtId="168" fontId="0" fillId="0" borderId="7" xfId="1" applyNumberFormat="1" applyFont="1" applyBorder="1"/>
    <xf numFmtId="168" fontId="6" fillId="2" borderId="1" xfId="1" applyNumberFormat="1" applyFont="1" applyFill="1" applyBorder="1"/>
    <xf numFmtId="168" fontId="6" fillId="0" borderId="6" xfId="1" applyNumberFormat="1" applyFont="1" applyBorder="1"/>
  </cellXfs>
  <cellStyles count="4">
    <cellStyle name="Millares" xfId="2" builtinId="3"/>
    <cellStyle name="Millares [0]" xfId="3" builtinId="6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5C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opLeftCell="A24" zoomScale="83" zoomScaleNormal="100" workbookViewId="0">
      <selection activeCell="L26" sqref="L26"/>
    </sheetView>
  </sheetViews>
  <sheetFormatPr baseColWidth="10" defaultRowHeight="15" x14ac:dyDescent="0.25"/>
  <cols>
    <col min="1" max="1" width="4.140625" bestFit="1" customWidth="1"/>
    <col min="2" max="2" width="39.7109375" customWidth="1"/>
    <col min="3" max="3" width="20" style="12" bestFit="1" customWidth="1"/>
    <col min="4" max="5" width="20" style="12" customWidth="1"/>
    <col min="6" max="6" width="9.85546875" style="12" bestFit="1" customWidth="1"/>
    <col min="7" max="7" width="22.42578125" style="54" customWidth="1"/>
    <col min="8" max="8" width="16.140625" style="3" bestFit="1" customWidth="1"/>
    <col min="9" max="9" width="14.140625" style="3" bestFit="1" customWidth="1"/>
    <col min="10" max="10" width="14.140625" style="3" customWidth="1"/>
    <col min="11" max="11" width="18.7109375" style="3" bestFit="1" customWidth="1"/>
    <col min="12" max="12" width="21.5703125" bestFit="1" customWidth="1"/>
    <col min="13" max="13" width="38.140625" bestFit="1" customWidth="1"/>
    <col min="14" max="14" width="15" bestFit="1" customWidth="1"/>
  </cols>
  <sheetData>
    <row r="1" spans="1:13" ht="23.25" customHeight="1" x14ac:dyDescent="0.35">
      <c r="A1" s="65" t="s">
        <v>107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13">
        <v>155000</v>
      </c>
    </row>
    <row r="2" spans="1:13" ht="15" customHeight="1" x14ac:dyDescent="0.3">
      <c r="A2" s="28" t="s">
        <v>16</v>
      </c>
      <c r="B2" s="29" t="s">
        <v>0</v>
      </c>
      <c r="C2" s="30" t="s">
        <v>1</v>
      </c>
      <c r="D2" s="30" t="s">
        <v>105</v>
      </c>
      <c r="E2" s="46" t="s">
        <v>21</v>
      </c>
      <c r="F2" s="46" t="s">
        <v>22</v>
      </c>
      <c r="G2" s="32" t="s">
        <v>4</v>
      </c>
      <c r="H2" s="31" t="s">
        <v>2</v>
      </c>
      <c r="I2" s="31" t="s">
        <v>3</v>
      </c>
      <c r="J2" s="31" t="s">
        <v>115</v>
      </c>
      <c r="K2" s="31" t="s">
        <v>116</v>
      </c>
      <c r="L2" s="28" t="s">
        <v>8</v>
      </c>
    </row>
    <row r="3" spans="1:13" s="43" customFormat="1" ht="15" customHeight="1" x14ac:dyDescent="0.25">
      <c r="A3" s="1">
        <v>1</v>
      </c>
      <c r="B3" s="44" t="s">
        <v>23</v>
      </c>
      <c r="C3" s="10">
        <v>11451254</v>
      </c>
      <c r="D3" s="10" t="s">
        <v>101</v>
      </c>
      <c r="E3" s="10"/>
      <c r="F3" s="10"/>
      <c r="G3" s="45" t="s">
        <v>24</v>
      </c>
      <c r="H3" s="2"/>
      <c r="I3" s="2">
        <f>+$M$1-H3</f>
        <v>155000</v>
      </c>
      <c r="J3" s="2">
        <v>155000</v>
      </c>
      <c r="K3" s="2"/>
      <c r="L3" s="1" t="s">
        <v>26</v>
      </c>
      <c r="M3" s="43">
        <v>1</v>
      </c>
    </row>
    <row r="4" spans="1:13" s="43" customFormat="1" ht="15" customHeight="1" x14ac:dyDescent="0.25">
      <c r="A4" s="1">
        <v>2</v>
      </c>
      <c r="B4" s="44" t="s">
        <v>25</v>
      </c>
      <c r="C4" s="10">
        <v>1031656157</v>
      </c>
      <c r="D4" s="10" t="s">
        <v>101</v>
      </c>
      <c r="E4" s="10"/>
      <c r="F4" s="10"/>
      <c r="G4" s="45"/>
      <c r="H4" s="2"/>
      <c r="I4" s="2">
        <f t="shared" ref="I4:I40" si="0">+$M$1-H4</f>
        <v>155000</v>
      </c>
      <c r="J4" s="2">
        <v>155000</v>
      </c>
      <c r="K4" s="2"/>
      <c r="L4" s="1" t="s">
        <v>26</v>
      </c>
      <c r="M4" s="43">
        <v>2</v>
      </c>
    </row>
    <row r="5" spans="1:13" s="43" customFormat="1" ht="15" customHeight="1" x14ac:dyDescent="0.25">
      <c r="A5" s="1">
        <v>3</v>
      </c>
      <c r="B5" s="44" t="s">
        <v>90</v>
      </c>
      <c r="C5" s="10">
        <v>17192569</v>
      </c>
      <c r="D5" s="10" t="s">
        <v>101</v>
      </c>
      <c r="E5" s="10"/>
      <c r="F5" s="10"/>
      <c r="G5" s="45"/>
      <c r="H5" s="2"/>
      <c r="I5" s="2">
        <f t="shared" si="0"/>
        <v>155000</v>
      </c>
      <c r="J5" s="2">
        <v>155000</v>
      </c>
      <c r="K5" s="2"/>
      <c r="L5" s="1" t="s">
        <v>26</v>
      </c>
      <c r="M5" s="43">
        <v>3</v>
      </c>
    </row>
    <row r="6" spans="1:13" s="43" customFormat="1" ht="15" customHeight="1" x14ac:dyDescent="0.25">
      <c r="A6" s="1">
        <v>4</v>
      </c>
      <c r="B6" s="44" t="s">
        <v>27</v>
      </c>
      <c r="C6" s="10">
        <v>41770474</v>
      </c>
      <c r="D6" s="10" t="s">
        <v>99</v>
      </c>
      <c r="E6" s="10"/>
      <c r="F6" s="10"/>
      <c r="G6" s="45"/>
      <c r="H6" s="2"/>
      <c r="I6" s="2">
        <f t="shared" si="0"/>
        <v>155000</v>
      </c>
      <c r="J6" s="2">
        <v>155000</v>
      </c>
      <c r="K6" s="2"/>
      <c r="L6" s="1" t="s">
        <v>26</v>
      </c>
      <c r="M6" s="43">
        <v>4</v>
      </c>
    </row>
    <row r="7" spans="1:13" s="43" customFormat="1" ht="15" customHeight="1" x14ac:dyDescent="0.25">
      <c r="A7" s="1">
        <v>5</v>
      </c>
      <c r="B7" t="s">
        <v>88</v>
      </c>
      <c r="C7" s="12">
        <v>41792549</v>
      </c>
      <c r="D7" s="12" t="s">
        <v>101</v>
      </c>
      <c r="E7" s="10"/>
      <c r="F7" s="10"/>
      <c r="G7" s="45"/>
      <c r="H7" s="2"/>
      <c r="I7" s="2">
        <f t="shared" si="0"/>
        <v>155000</v>
      </c>
      <c r="J7" s="2">
        <v>155000</v>
      </c>
      <c r="K7" s="2"/>
      <c r="L7" s="1" t="s">
        <v>91</v>
      </c>
      <c r="M7" s="43">
        <v>1</v>
      </c>
    </row>
    <row r="8" spans="1:13" s="43" customFormat="1" ht="15" customHeight="1" x14ac:dyDescent="0.25">
      <c r="A8" s="1">
        <v>6</v>
      </c>
      <c r="B8" s="44" t="s">
        <v>29</v>
      </c>
      <c r="C8" s="10">
        <v>1073629922</v>
      </c>
      <c r="D8" s="10" t="s">
        <v>101</v>
      </c>
      <c r="E8" s="33" t="s">
        <v>28</v>
      </c>
      <c r="F8" s="33">
        <f>2023-1995</f>
        <v>28</v>
      </c>
      <c r="G8" s="45" t="s">
        <v>30</v>
      </c>
      <c r="H8" s="2"/>
      <c r="I8" s="2">
        <f t="shared" si="0"/>
        <v>155000</v>
      </c>
      <c r="J8" s="2">
        <v>155000</v>
      </c>
      <c r="K8" s="2"/>
      <c r="L8" s="1" t="s">
        <v>117</v>
      </c>
      <c r="M8" s="43">
        <v>1</v>
      </c>
    </row>
    <row r="9" spans="1:13" s="43" customFormat="1" ht="15" customHeight="1" x14ac:dyDescent="0.25">
      <c r="A9" s="1">
        <v>7</v>
      </c>
      <c r="B9" s="44" t="s">
        <v>31</v>
      </c>
      <c r="C9" s="10">
        <v>51859091</v>
      </c>
      <c r="D9" s="10" t="s">
        <v>101</v>
      </c>
      <c r="E9" s="33" t="s">
        <v>34</v>
      </c>
      <c r="F9" s="33">
        <f>2023-1967</f>
        <v>56</v>
      </c>
      <c r="G9" s="45" t="s">
        <v>32</v>
      </c>
      <c r="H9" s="2"/>
      <c r="I9" s="2">
        <f t="shared" si="0"/>
        <v>155000</v>
      </c>
      <c r="J9" s="2">
        <v>155000</v>
      </c>
      <c r="K9" s="2"/>
      <c r="L9" s="1" t="s">
        <v>26</v>
      </c>
      <c r="M9" s="43">
        <v>5</v>
      </c>
    </row>
    <row r="10" spans="1:13" s="43" customFormat="1" ht="15" customHeight="1" x14ac:dyDescent="0.25">
      <c r="A10" s="1">
        <v>8</v>
      </c>
      <c r="B10" s="44" t="s">
        <v>33</v>
      </c>
      <c r="C10" s="10">
        <v>41632626</v>
      </c>
      <c r="D10" s="10" t="s">
        <v>99</v>
      </c>
      <c r="E10" s="33" t="s">
        <v>35</v>
      </c>
      <c r="F10" s="33">
        <f>2023-1949</f>
        <v>74</v>
      </c>
      <c r="G10" s="45"/>
      <c r="H10" s="2"/>
      <c r="I10" s="2">
        <f t="shared" si="0"/>
        <v>155000</v>
      </c>
      <c r="J10" s="2">
        <v>155000</v>
      </c>
      <c r="K10" s="2"/>
      <c r="L10" s="35" t="s">
        <v>63</v>
      </c>
    </row>
    <row r="11" spans="1:13" s="43" customFormat="1" ht="15" customHeight="1" x14ac:dyDescent="0.25">
      <c r="A11" s="1">
        <v>9</v>
      </c>
      <c r="B11" s="44" t="s">
        <v>92</v>
      </c>
      <c r="C11" s="10">
        <v>80357645</v>
      </c>
      <c r="D11" s="10" t="s">
        <v>101</v>
      </c>
      <c r="E11" s="33" t="s">
        <v>36</v>
      </c>
      <c r="F11" s="33">
        <f>2023-1981</f>
        <v>42</v>
      </c>
      <c r="G11" s="45" t="s">
        <v>37</v>
      </c>
      <c r="H11" s="2"/>
      <c r="I11" s="2">
        <f t="shared" si="0"/>
        <v>155000</v>
      </c>
      <c r="J11" s="2">
        <v>155000</v>
      </c>
      <c r="K11" s="2"/>
      <c r="L11" s="1" t="s">
        <v>26</v>
      </c>
      <c r="M11" s="43">
        <v>6</v>
      </c>
    </row>
    <row r="12" spans="1:13" s="43" customFormat="1" ht="15" customHeight="1" x14ac:dyDescent="0.25">
      <c r="A12" s="1">
        <v>10</v>
      </c>
      <c r="B12" s="44" t="s">
        <v>38</v>
      </c>
      <c r="C12" s="10">
        <v>20872350</v>
      </c>
      <c r="D12" s="10" t="s">
        <v>101</v>
      </c>
      <c r="E12" s="33" t="s">
        <v>39</v>
      </c>
      <c r="F12" s="10"/>
      <c r="G12" s="45" t="s">
        <v>40</v>
      </c>
      <c r="H12" s="2"/>
      <c r="I12" s="2">
        <f t="shared" si="0"/>
        <v>155000</v>
      </c>
      <c r="J12" s="2">
        <v>155000</v>
      </c>
      <c r="K12" s="2"/>
      <c r="L12" s="1" t="s">
        <v>26</v>
      </c>
      <c r="M12" s="43">
        <v>7</v>
      </c>
    </row>
    <row r="13" spans="1:13" s="43" customFormat="1" ht="15" customHeight="1" x14ac:dyDescent="0.25">
      <c r="A13" s="1">
        <v>11</v>
      </c>
      <c r="B13" s="47" t="s">
        <v>43</v>
      </c>
      <c r="C13" s="33">
        <v>1075624350</v>
      </c>
      <c r="D13" s="33" t="s">
        <v>101</v>
      </c>
      <c r="E13" s="33" t="s">
        <v>41</v>
      </c>
      <c r="F13" s="10"/>
      <c r="G13" s="49" t="s">
        <v>42</v>
      </c>
      <c r="H13" s="2"/>
      <c r="I13" s="2">
        <f t="shared" si="0"/>
        <v>155000</v>
      </c>
      <c r="J13" s="2">
        <v>155000</v>
      </c>
      <c r="K13" s="2"/>
      <c r="L13" s="1" t="s">
        <v>26</v>
      </c>
      <c r="M13" s="43">
        <v>8</v>
      </c>
    </row>
    <row r="14" spans="1:13" s="43" customFormat="1" ht="15" customHeight="1" x14ac:dyDescent="0.25">
      <c r="A14" s="1">
        <v>12</v>
      </c>
      <c r="B14" s="47" t="s">
        <v>93</v>
      </c>
      <c r="C14" s="33" t="s">
        <v>44</v>
      </c>
      <c r="D14" s="33" t="s">
        <v>99</v>
      </c>
      <c r="E14" s="33" t="s">
        <v>45</v>
      </c>
      <c r="F14" s="10"/>
      <c r="G14" s="49" t="s">
        <v>46</v>
      </c>
      <c r="H14" s="2"/>
      <c r="I14" s="2">
        <f t="shared" si="0"/>
        <v>155000</v>
      </c>
      <c r="J14" s="2">
        <v>155000</v>
      </c>
      <c r="K14" s="2"/>
      <c r="L14" s="1" t="s">
        <v>26</v>
      </c>
      <c r="M14" s="43">
        <v>9</v>
      </c>
    </row>
    <row r="15" spans="1:13" s="43" customFormat="1" ht="15" customHeight="1" x14ac:dyDescent="0.25">
      <c r="A15" s="1">
        <v>13</v>
      </c>
      <c r="B15" s="47" t="s">
        <v>47</v>
      </c>
      <c r="C15" s="33">
        <v>20871069</v>
      </c>
      <c r="D15" s="33" t="s">
        <v>101</v>
      </c>
      <c r="E15" s="10"/>
      <c r="F15" s="10"/>
      <c r="G15" s="49"/>
      <c r="H15" s="2"/>
      <c r="I15" s="2">
        <f t="shared" si="0"/>
        <v>155000</v>
      </c>
      <c r="J15" s="2">
        <v>155000</v>
      </c>
      <c r="K15" s="2"/>
      <c r="L15" s="1" t="s">
        <v>49</v>
      </c>
      <c r="M15" s="43">
        <v>14</v>
      </c>
    </row>
    <row r="16" spans="1:13" s="43" customFormat="1" ht="15" customHeight="1" x14ac:dyDescent="0.25">
      <c r="A16" s="1">
        <v>14</v>
      </c>
      <c r="B16" s="47" t="s">
        <v>48</v>
      </c>
      <c r="C16" s="33">
        <v>3149137</v>
      </c>
      <c r="D16" s="33" t="s">
        <v>101</v>
      </c>
      <c r="E16" s="10"/>
      <c r="F16" s="10"/>
      <c r="G16" s="49"/>
      <c r="H16" s="2"/>
      <c r="I16" s="2">
        <f t="shared" si="0"/>
        <v>155000</v>
      </c>
      <c r="J16" s="2">
        <v>155000</v>
      </c>
      <c r="K16" s="2"/>
      <c r="L16" s="1" t="s">
        <v>49</v>
      </c>
      <c r="M16" s="43">
        <v>13</v>
      </c>
    </row>
    <row r="17" spans="1:13" s="43" customFormat="1" ht="15" customHeight="1" x14ac:dyDescent="0.25">
      <c r="A17" s="1">
        <v>15</v>
      </c>
      <c r="B17" s="47" t="s">
        <v>50</v>
      </c>
      <c r="C17" s="33">
        <v>51651341</v>
      </c>
      <c r="D17" s="1"/>
      <c r="E17" s="10"/>
      <c r="F17" s="10"/>
      <c r="G17" s="49"/>
      <c r="H17" s="2"/>
      <c r="I17" s="2">
        <f t="shared" si="0"/>
        <v>155000</v>
      </c>
      <c r="J17" s="2">
        <v>155000</v>
      </c>
      <c r="K17" s="2"/>
      <c r="L17" s="1" t="s">
        <v>97</v>
      </c>
      <c r="M17" s="43">
        <v>12</v>
      </c>
    </row>
    <row r="18" spans="1:13" s="43" customFormat="1" ht="15" customHeight="1" x14ac:dyDescent="0.25">
      <c r="A18" s="1">
        <v>16</v>
      </c>
      <c r="B18" s="47" t="s">
        <v>81</v>
      </c>
      <c r="C18" s="33">
        <v>1073630594</v>
      </c>
      <c r="D18" s="33" t="s">
        <v>101</v>
      </c>
      <c r="E18" s="10"/>
      <c r="F18" s="10"/>
      <c r="G18" s="49"/>
      <c r="H18" s="2"/>
      <c r="I18" s="2">
        <f t="shared" si="0"/>
        <v>155000</v>
      </c>
      <c r="J18" s="2">
        <v>155000</v>
      </c>
      <c r="K18" s="2"/>
      <c r="L18" s="1" t="s">
        <v>118</v>
      </c>
      <c r="M18" s="43">
        <v>2</v>
      </c>
    </row>
    <row r="19" spans="1:13" s="43" customFormat="1" ht="15" customHeight="1" x14ac:dyDescent="0.25">
      <c r="A19" s="1">
        <v>17</v>
      </c>
      <c r="B19" s="47" t="s">
        <v>51</v>
      </c>
      <c r="C19" s="33">
        <v>20872307</v>
      </c>
      <c r="D19" s="33" t="s">
        <v>101</v>
      </c>
      <c r="E19" s="10"/>
      <c r="F19" s="10"/>
      <c r="G19" s="49"/>
      <c r="H19" s="2"/>
      <c r="I19" s="2">
        <f t="shared" si="0"/>
        <v>155000</v>
      </c>
      <c r="J19" s="2">
        <v>155000</v>
      </c>
      <c r="K19" s="2"/>
      <c r="L19" s="1" t="s">
        <v>49</v>
      </c>
      <c r="M19" s="43">
        <v>11</v>
      </c>
    </row>
    <row r="20" spans="1:13" s="43" customFormat="1" ht="15" customHeight="1" x14ac:dyDescent="0.25">
      <c r="A20" s="1">
        <v>18</v>
      </c>
      <c r="B20" s="47" t="s">
        <v>52</v>
      </c>
      <c r="C20" s="33">
        <v>20871590</v>
      </c>
      <c r="D20" s="33" t="s">
        <v>101</v>
      </c>
      <c r="E20" s="10"/>
      <c r="F20" s="10"/>
      <c r="G20" s="49"/>
      <c r="H20" s="2"/>
      <c r="I20" s="2">
        <f t="shared" si="0"/>
        <v>155000</v>
      </c>
      <c r="J20" s="2">
        <v>155000</v>
      </c>
      <c r="K20" s="2"/>
      <c r="L20" s="1" t="s">
        <v>49</v>
      </c>
      <c r="M20" s="43">
        <v>10</v>
      </c>
    </row>
    <row r="21" spans="1:13" s="43" customFormat="1" ht="15" customHeight="1" x14ac:dyDescent="0.25">
      <c r="A21" s="1">
        <v>19</v>
      </c>
      <c r="B21" s="55" t="s">
        <v>53</v>
      </c>
      <c r="C21" s="33">
        <v>43043664</v>
      </c>
      <c r="D21" s="33" t="s">
        <v>99</v>
      </c>
      <c r="E21" s="10"/>
      <c r="F21" s="10"/>
      <c r="G21" s="49"/>
      <c r="H21" s="2"/>
      <c r="I21" s="2">
        <f t="shared" si="0"/>
        <v>155000</v>
      </c>
      <c r="J21" s="2">
        <v>155000</v>
      </c>
      <c r="K21" s="2"/>
      <c r="L21" s="1" t="s">
        <v>49</v>
      </c>
      <c r="M21" s="43">
        <v>9</v>
      </c>
    </row>
    <row r="22" spans="1:13" s="43" customFormat="1" ht="15" customHeight="1" x14ac:dyDescent="0.25">
      <c r="A22" s="1">
        <v>20</v>
      </c>
      <c r="B22" s="47" t="s">
        <v>54</v>
      </c>
      <c r="C22" s="33" t="s">
        <v>55</v>
      </c>
      <c r="D22" s="33" t="s">
        <v>101</v>
      </c>
      <c r="E22" s="10"/>
      <c r="F22" s="10"/>
      <c r="G22" s="49"/>
      <c r="H22" s="2"/>
      <c r="I22" s="2">
        <f t="shared" si="0"/>
        <v>155000</v>
      </c>
      <c r="J22" s="2">
        <v>155000</v>
      </c>
      <c r="K22" s="2"/>
      <c r="L22" s="1" t="s">
        <v>26</v>
      </c>
      <c r="M22" s="43">
        <v>10</v>
      </c>
    </row>
    <row r="23" spans="1:13" s="43" customFormat="1" ht="15" customHeight="1" x14ac:dyDescent="0.25">
      <c r="A23" s="1">
        <v>21</v>
      </c>
      <c r="B23" s="47" t="s">
        <v>56</v>
      </c>
      <c r="C23" s="33">
        <v>39706386</v>
      </c>
      <c r="D23" s="33" t="s">
        <v>99</v>
      </c>
      <c r="E23" s="10"/>
      <c r="F23" s="10"/>
      <c r="G23" s="49"/>
      <c r="H23" s="2"/>
      <c r="I23" s="2">
        <f t="shared" si="0"/>
        <v>155000</v>
      </c>
      <c r="J23" s="2">
        <v>155000</v>
      </c>
      <c r="K23" s="2"/>
      <c r="L23" s="1" t="s">
        <v>26</v>
      </c>
      <c r="M23" s="43">
        <v>11</v>
      </c>
    </row>
    <row r="24" spans="1:13" s="48" customFormat="1" ht="15" customHeight="1" x14ac:dyDescent="0.25">
      <c r="A24" s="1">
        <v>22</v>
      </c>
      <c r="B24" s="47" t="s">
        <v>57</v>
      </c>
      <c r="C24" s="33">
        <v>1073629034</v>
      </c>
      <c r="D24" s="33" t="s">
        <v>99</v>
      </c>
      <c r="E24" s="33"/>
      <c r="F24" s="33"/>
      <c r="G24" s="49"/>
      <c r="H24" s="36"/>
      <c r="I24" s="36">
        <f t="shared" si="0"/>
        <v>155000</v>
      </c>
      <c r="J24" s="2">
        <v>155000</v>
      </c>
      <c r="K24" s="36"/>
      <c r="L24" s="1" t="s">
        <v>26</v>
      </c>
      <c r="M24" s="48">
        <v>12</v>
      </c>
    </row>
    <row r="25" spans="1:13" s="57" customFormat="1" ht="15" customHeight="1" x14ac:dyDescent="0.25">
      <c r="A25" s="1">
        <v>23</v>
      </c>
      <c r="B25" s="39" t="s">
        <v>119</v>
      </c>
      <c r="C25" s="40"/>
      <c r="D25" s="40"/>
      <c r="E25" s="40"/>
      <c r="F25" s="40"/>
      <c r="G25" s="56"/>
      <c r="H25" s="41"/>
      <c r="I25" s="41">
        <f t="shared" si="0"/>
        <v>155000</v>
      </c>
      <c r="J25" s="2">
        <v>155000</v>
      </c>
      <c r="K25" s="41"/>
      <c r="L25" s="42" t="s">
        <v>76</v>
      </c>
      <c r="M25" s="57">
        <v>13</v>
      </c>
    </row>
    <row r="26" spans="1:13" s="37" customFormat="1" ht="15" customHeight="1" x14ac:dyDescent="0.25">
      <c r="A26" s="1">
        <v>24</v>
      </c>
      <c r="B26" s="38" t="s">
        <v>58</v>
      </c>
      <c r="C26" s="33">
        <v>1016043940</v>
      </c>
      <c r="D26" s="33" t="s">
        <v>101</v>
      </c>
      <c r="E26" s="33"/>
      <c r="F26" s="33"/>
      <c r="G26" s="50"/>
      <c r="H26" s="36"/>
      <c r="I26" s="36">
        <f t="shared" si="0"/>
        <v>155000</v>
      </c>
      <c r="J26" s="2">
        <v>155000</v>
      </c>
      <c r="K26" s="36"/>
      <c r="L26" s="1" t="s">
        <v>26</v>
      </c>
      <c r="M26" s="37">
        <v>14</v>
      </c>
    </row>
    <row r="27" spans="1:13" s="37" customFormat="1" ht="15" customHeight="1" x14ac:dyDescent="0.25">
      <c r="A27" s="1">
        <v>25</v>
      </c>
      <c r="B27" s="38" t="s">
        <v>59</v>
      </c>
      <c r="C27" s="33">
        <v>20871190</v>
      </c>
      <c r="D27" s="33" t="s">
        <v>101</v>
      </c>
      <c r="E27" s="33" t="s">
        <v>61</v>
      </c>
      <c r="F27" s="33"/>
      <c r="G27" s="50" t="s">
        <v>60</v>
      </c>
      <c r="H27" s="36"/>
      <c r="I27" s="36">
        <f t="shared" si="0"/>
        <v>155000</v>
      </c>
      <c r="J27" s="2">
        <v>155000</v>
      </c>
      <c r="K27" s="36"/>
      <c r="L27" s="35" t="s">
        <v>26</v>
      </c>
      <c r="M27" s="37">
        <v>15</v>
      </c>
    </row>
    <row r="28" spans="1:13" s="37" customFormat="1" ht="15" customHeight="1" x14ac:dyDescent="0.25">
      <c r="A28" s="1">
        <v>26</v>
      </c>
      <c r="B28" s="38" t="s">
        <v>62</v>
      </c>
      <c r="C28" s="33">
        <v>20357610</v>
      </c>
      <c r="D28" s="33" t="s">
        <v>99</v>
      </c>
      <c r="E28" s="33"/>
      <c r="F28" s="33"/>
      <c r="G28" s="50" t="s">
        <v>64</v>
      </c>
      <c r="H28" s="36">
        <v>50000</v>
      </c>
      <c r="I28" s="36">
        <f t="shared" si="0"/>
        <v>105000</v>
      </c>
      <c r="J28" s="2">
        <v>155000</v>
      </c>
      <c r="K28" s="36"/>
      <c r="L28" s="35" t="s">
        <v>63</v>
      </c>
    </row>
    <row r="29" spans="1:13" s="37" customFormat="1" ht="15" customHeight="1" x14ac:dyDescent="0.25">
      <c r="A29" s="1">
        <v>27</v>
      </c>
      <c r="B29" s="38" t="s">
        <v>65</v>
      </c>
      <c r="C29" s="33">
        <v>79136434</v>
      </c>
      <c r="D29" s="33" t="s">
        <v>99</v>
      </c>
      <c r="E29" s="33"/>
      <c r="F29" s="33"/>
      <c r="G29" s="50"/>
      <c r="H29" s="36"/>
      <c r="I29" s="36">
        <f t="shared" si="0"/>
        <v>155000</v>
      </c>
      <c r="J29" s="2">
        <v>155000</v>
      </c>
      <c r="K29" s="36"/>
      <c r="L29" s="35" t="s">
        <v>66</v>
      </c>
      <c r="M29" s="37">
        <v>8</v>
      </c>
    </row>
    <row r="30" spans="1:13" s="37" customFormat="1" ht="15" customHeight="1" x14ac:dyDescent="0.25">
      <c r="A30" s="1">
        <v>28</v>
      </c>
      <c r="B30" s="34" t="s">
        <v>67</v>
      </c>
      <c r="C30" s="33">
        <v>2869989</v>
      </c>
      <c r="D30" s="33" t="s">
        <v>101</v>
      </c>
      <c r="E30" s="33"/>
      <c r="F30" s="33"/>
      <c r="G30" s="50"/>
      <c r="H30" s="36"/>
      <c r="I30" s="36">
        <f t="shared" si="0"/>
        <v>155000</v>
      </c>
      <c r="J30" s="2">
        <v>155000</v>
      </c>
      <c r="K30" s="36"/>
      <c r="L30" s="35" t="s">
        <v>66</v>
      </c>
      <c r="M30" s="37">
        <v>7</v>
      </c>
    </row>
    <row r="31" spans="1:13" s="37" customFormat="1" ht="15" customHeight="1" x14ac:dyDescent="0.25">
      <c r="A31" s="1">
        <v>29</v>
      </c>
      <c r="B31" s="38" t="s">
        <v>68</v>
      </c>
      <c r="C31" s="33">
        <v>1069177053</v>
      </c>
      <c r="D31" s="33" t="s">
        <v>99</v>
      </c>
      <c r="E31" s="33"/>
      <c r="F31" s="33"/>
      <c r="G31" s="50"/>
      <c r="H31" s="36"/>
      <c r="I31" s="36">
        <f t="shared" si="0"/>
        <v>155000</v>
      </c>
      <c r="J31" s="2">
        <v>155000</v>
      </c>
      <c r="K31" s="36"/>
      <c r="L31" s="35" t="s">
        <v>66</v>
      </c>
      <c r="M31" s="37">
        <v>6</v>
      </c>
    </row>
    <row r="32" spans="1:13" s="37" customFormat="1" ht="15" customHeight="1" x14ac:dyDescent="0.25">
      <c r="A32" s="1">
        <v>30</v>
      </c>
      <c r="B32" s="38" t="s">
        <v>69</v>
      </c>
      <c r="C32" s="33">
        <v>1069176996</v>
      </c>
      <c r="D32" s="33" t="s">
        <v>99</v>
      </c>
      <c r="E32" s="33"/>
      <c r="F32" s="33"/>
      <c r="G32" s="50"/>
      <c r="H32" s="36"/>
      <c r="I32" s="36">
        <f t="shared" si="0"/>
        <v>155000</v>
      </c>
      <c r="J32" s="2">
        <v>155000</v>
      </c>
      <c r="K32" s="36"/>
      <c r="L32" s="35" t="s">
        <v>66</v>
      </c>
      <c r="M32" s="37">
        <v>5</v>
      </c>
    </row>
    <row r="33" spans="1:17" s="37" customFormat="1" ht="15" customHeight="1" x14ac:dyDescent="0.25">
      <c r="A33" s="1">
        <v>31</v>
      </c>
      <c r="B33" s="34" t="s">
        <v>98</v>
      </c>
      <c r="C33" s="59">
        <v>1072963130</v>
      </c>
      <c r="D33" s="59" t="s">
        <v>99</v>
      </c>
      <c r="E33" s="33"/>
      <c r="F33" s="33"/>
      <c r="G33" s="50"/>
      <c r="H33" s="36"/>
      <c r="I33" s="36">
        <f t="shared" si="0"/>
        <v>155000</v>
      </c>
      <c r="J33" s="2">
        <v>155000</v>
      </c>
      <c r="K33" s="36"/>
      <c r="L33" s="1" t="s">
        <v>117</v>
      </c>
      <c r="M33" s="34" t="s">
        <v>89</v>
      </c>
      <c r="N33" s="33">
        <v>51651341</v>
      </c>
    </row>
    <row r="34" spans="1:17" s="37" customFormat="1" ht="15" customHeight="1" x14ac:dyDescent="0.25">
      <c r="A34" s="1">
        <v>32</v>
      </c>
      <c r="B34" s="34" t="s">
        <v>100</v>
      </c>
      <c r="C34" s="59">
        <v>21013721</v>
      </c>
      <c r="D34" s="34" t="s">
        <v>101</v>
      </c>
      <c r="E34" s="34"/>
      <c r="F34" s="34"/>
      <c r="G34" s="34"/>
      <c r="H34" s="36"/>
      <c r="I34" s="2">
        <f t="shared" si="0"/>
        <v>155000</v>
      </c>
      <c r="J34" s="2">
        <v>155000</v>
      </c>
      <c r="K34" s="2"/>
      <c r="L34" s="35" t="s">
        <v>91</v>
      </c>
      <c r="M34" s="38" t="s">
        <v>70</v>
      </c>
      <c r="N34" s="33">
        <v>20358228</v>
      </c>
      <c r="O34" s="33" t="s">
        <v>72</v>
      </c>
      <c r="P34" s="33"/>
      <c r="Q34" s="50" t="s">
        <v>71</v>
      </c>
    </row>
    <row r="35" spans="1:17" s="37" customFormat="1" ht="15" customHeight="1" x14ac:dyDescent="0.25">
      <c r="A35" s="1">
        <v>33</v>
      </c>
      <c r="B35" s="34" t="s">
        <v>103</v>
      </c>
      <c r="C35" s="59">
        <v>1073629430</v>
      </c>
      <c r="D35" s="34" t="s">
        <v>101</v>
      </c>
      <c r="E35" s="34"/>
      <c r="F35" s="34"/>
      <c r="G35" s="34"/>
      <c r="H35" s="36"/>
      <c r="I35" s="2">
        <f t="shared" si="0"/>
        <v>155000</v>
      </c>
      <c r="J35" s="2">
        <v>155000</v>
      </c>
      <c r="K35" s="2"/>
      <c r="L35" s="35" t="s">
        <v>66</v>
      </c>
      <c r="M35" s="38" t="s">
        <v>73</v>
      </c>
      <c r="N35" s="33">
        <v>1002580764</v>
      </c>
      <c r="O35" s="33" t="s">
        <v>74</v>
      </c>
      <c r="P35" s="33"/>
      <c r="Q35" s="50" t="s">
        <v>71</v>
      </c>
    </row>
    <row r="36" spans="1:17" s="37" customFormat="1" ht="15" customHeight="1" x14ac:dyDescent="0.25">
      <c r="A36" s="1">
        <v>34</v>
      </c>
      <c r="B36" s="38" t="s">
        <v>75</v>
      </c>
      <c r="C36" s="33">
        <v>20871444</v>
      </c>
      <c r="D36" s="33" t="s">
        <v>99</v>
      </c>
      <c r="E36" s="33"/>
      <c r="F36" s="33"/>
      <c r="G36" s="50"/>
      <c r="H36" s="36"/>
      <c r="I36" s="2">
        <f t="shared" si="0"/>
        <v>155000</v>
      </c>
      <c r="J36" s="2">
        <v>155000</v>
      </c>
      <c r="K36" s="2"/>
      <c r="L36" s="35" t="s">
        <v>26</v>
      </c>
      <c r="M36" s="37">
        <v>16</v>
      </c>
    </row>
    <row r="37" spans="1:17" s="37" customFormat="1" ht="15" customHeight="1" x14ac:dyDescent="0.25">
      <c r="A37" s="1">
        <v>35</v>
      </c>
      <c r="B37" s="47" t="s">
        <v>77</v>
      </c>
      <c r="C37" s="33" t="s">
        <v>94</v>
      </c>
      <c r="D37" s="33" t="s">
        <v>99</v>
      </c>
      <c r="E37" s="10"/>
      <c r="F37" s="10"/>
      <c r="G37" s="49"/>
      <c r="H37" s="2"/>
      <c r="I37" s="2">
        <f>+$M$1-H36</f>
        <v>155000</v>
      </c>
      <c r="J37" s="2">
        <v>155000</v>
      </c>
      <c r="K37" s="2"/>
      <c r="L37" s="1" t="s">
        <v>26</v>
      </c>
      <c r="M37" s="37">
        <v>17</v>
      </c>
    </row>
    <row r="38" spans="1:17" s="43" customFormat="1" ht="15" customHeight="1" x14ac:dyDescent="0.25">
      <c r="A38" s="1">
        <v>36</v>
      </c>
      <c r="B38" s="1" t="s">
        <v>95</v>
      </c>
      <c r="C38" s="1">
        <v>20870717</v>
      </c>
      <c r="D38" s="1" t="s">
        <v>101</v>
      </c>
      <c r="E38" s="33" t="s">
        <v>82</v>
      </c>
      <c r="F38" s="1"/>
      <c r="G38" s="45" t="s">
        <v>83</v>
      </c>
      <c r="H38" s="1">
        <v>100000</v>
      </c>
      <c r="I38" s="2">
        <f>+$M$1-H37</f>
        <v>155000</v>
      </c>
      <c r="J38" s="2">
        <v>155000</v>
      </c>
      <c r="K38" s="2"/>
      <c r="L38" s="35" t="s">
        <v>80</v>
      </c>
      <c r="M38" s="43">
        <v>3</v>
      </c>
    </row>
    <row r="39" spans="1:17" s="43" customFormat="1" ht="15" customHeight="1" x14ac:dyDescent="0.25">
      <c r="A39" s="1">
        <v>37</v>
      </c>
      <c r="B39" s="1" t="s">
        <v>78</v>
      </c>
      <c r="C39" s="1">
        <v>20870854</v>
      </c>
      <c r="D39" s="1" t="s">
        <v>101</v>
      </c>
      <c r="E39" s="33" t="s">
        <v>79</v>
      </c>
      <c r="F39" s="33"/>
      <c r="G39" s="50"/>
      <c r="H39" s="36"/>
      <c r="I39" s="2">
        <f t="shared" si="0"/>
        <v>155000</v>
      </c>
      <c r="J39" s="2">
        <v>155000</v>
      </c>
      <c r="K39" s="2"/>
      <c r="L39" s="35" t="s">
        <v>80</v>
      </c>
      <c r="M39" s="43">
        <v>2</v>
      </c>
    </row>
    <row r="40" spans="1:17" s="43" customFormat="1" ht="15" customHeight="1" x14ac:dyDescent="0.25">
      <c r="A40" s="1">
        <v>38</v>
      </c>
      <c r="B40" s="34" t="s">
        <v>84</v>
      </c>
      <c r="C40" s="33">
        <v>21015918</v>
      </c>
      <c r="D40" s="33" t="s">
        <v>99</v>
      </c>
      <c r="E40" s="33" t="s">
        <v>85</v>
      </c>
      <c r="F40" s="33"/>
      <c r="G40" s="49" t="s">
        <v>86</v>
      </c>
      <c r="H40" s="36">
        <v>150000</v>
      </c>
      <c r="I40" s="2">
        <f t="shared" si="0"/>
        <v>5000</v>
      </c>
      <c r="J40" s="2">
        <v>155000</v>
      </c>
      <c r="K40" s="2"/>
      <c r="L40" s="35" t="s">
        <v>76</v>
      </c>
      <c r="M40" s="43">
        <v>1</v>
      </c>
    </row>
    <row r="41" spans="1:17" s="48" customFormat="1" ht="15" customHeight="1" x14ac:dyDescent="0.25">
      <c r="A41" s="1">
        <v>39</v>
      </c>
      <c r="B41" s="58" t="s">
        <v>96</v>
      </c>
      <c r="C41" s="12">
        <v>21056386</v>
      </c>
      <c r="D41" s="10" t="s">
        <v>101</v>
      </c>
      <c r="E41" s="33"/>
      <c r="F41" s="33"/>
      <c r="G41" s="49"/>
      <c r="H41" s="36"/>
      <c r="I41" s="36"/>
      <c r="J41" s="2">
        <v>155000</v>
      </c>
      <c r="K41" s="36"/>
      <c r="L41" s="35" t="s">
        <v>97</v>
      </c>
      <c r="M41" s="48">
        <v>1</v>
      </c>
    </row>
    <row r="42" spans="1:17" s="57" customFormat="1" ht="15" customHeight="1" x14ac:dyDescent="0.25">
      <c r="A42" s="1">
        <v>40</v>
      </c>
      <c r="B42" s="60" t="s">
        <v>102</v>
      </c>
      <c r="C42" s="40">
        <v>79656808</v>
      </c>
      <c r="D42" s="40" t="s">
        <v>99</v>
      </c>
      <c r="E42" s="40"/>
      <c r="F42" s="40"/>
      <c r="G42" s="56"/>
      <c r="H42" s="41"/>
      <c r="I42" s="41"/>
      <c r="J42" s="41"/>
      <c r="K42" s="41"/>
      <c r="L42" s="42" t="s">
        <v>5</v>
      </c>
    </row>
    <row r="43" spans="1:17" s="57" customFormat="1" ht="15" customHeight="1" x14ac:dyDescent="0.25">
      <c r="A43" s="1">
        <v>41</v>
      </c>
      <c r="B43" s="60" t="s">
        <v>104</v>
      </c>
      <c r="C43" s="40">
        <v>1075628177</v>
      </c>
      <c r="D43" s="40" t="s">
        <v>101</v>
      </c>
      <c r="E43" s="40"/>
      <c r="F43" s="40"/>
      <c r="G43" s="56"/>
      <c r="H43" s="41"/>
      <c r="I43" s="41"/>
      <c r="J43" s="41"/>
      <c r="K43" s="41"/>
      <c r="L43" s="42" t="s">
        <v>5</v>
      </c>
    </row>
    <row r="44" spans="1:17" s="57" customFormat="1" ht="15" customHeight="1" x14ac:dyDescent="0.25">
      <c r="A44" s="1">
        <v>42</v>
      </c>
      <c r="B44" s="39" t="s">
        <v>19</v>
      </c>
      <c r="C44" s="40">
        <v>79538678</v>
      </c>
      <c r="D44" s="40" t="s">
        <v>101</v>
      </c>
      <c r="E44" s="40"/>
      <c r="F44" s="40"/>
      <c r="G44" s="51"/>
      <c r="H44" s="41"/>
      <c r="I44" s="41"/>
      <c r="J44" s="41"/>
      <c r="K44" s="41"/>
      <c r="L44" s="42" t="s">
        <v>5</v>
      </c>
    </row>
    <row r="45" spans="1:17" ht="18.75" x14ac:dyDescent="0.3">
      <c r="A45" s="1"/>
      <c r="B45" s="1"/>
      <c r="C45" s="10"/>
      <c r="D45" s="10"/>
      <c r="E45" s="10"/>
      <c r="F45" s="10"/>
      <c r="G45" s="52" t="s">
        <v>6</v>
      </c>
      <c r="H45" s="4"/>
      <c r="I45" s="4">
        <f>SUM(I3:I44)</f>
        <v>5690000</v>
      </c>
      <c r="J45" s="69">
        <f>SUM(J3:J44)</f>
        <v>6045000</v>
      </c>
      <c r="K45" s="69"/>
      <c r="L45" s="6"/>
    </row>
    <row r="46" spans="1:17" ht="19.5" thickBot="1" x14ac:dyDescent="0.35">
      <c r="A46" s="5"/>
      <c r="B46" s="7"/>
      <c r="C46" s="11"/>
      <c r="D46" s="11"/>
      <c r="E46" s="11"/>
      <c r="F46" s="11"/>
      <c r="G46" s="53" t="s">
        <v>7</v>
      </c>
      <c r="H46" s="8"/>
      <c r="I46" s="8">
        <f>+I45+H45</f>
        <v>5690000</v>
      </c>
      <c r="J46" s="70"/>
      <c r="K46" s="70"/>
      <c r="L46" s="9"/>
    </row>
    <row r="50" spans="2:11" x14ac:dyDescent="0.25">
      <c r="B50" s="12"/>
      <c r="C50" s="54"/>
      <c r="D50" s="54"/>
      <c r="E50" s="3"/>
      <c r="F50" s="3"/>
      <c r="G50"/>
      <c r="H50"/>
      <c r="I50"/>
      <c r="J50"/>
      <c r="K50"/>
    </row>
    <row r="51" spans="2:11" x14ac:dyDescent="0.25">
      <c r="B51" s="12"/>
      <c r="C51" s="54"/>
      <c r="D51" s="54"/>
      <c r="E51" s="3"/>
      <c r="F51" s="3"/>
      <c r="G51"/>
      <c r="H51"/>
      <c r="I51"/>
      <c r="J51"/>
      <c r="K51"/>
    </row>
    <row r="52" spans="2:11" x14ac:dyDescent="0.25">
      <c r="B52" s="12"/>
      <c r="C52" s="54"/>
      <c r="D52" s="54"/>
      <c r="E52" s="3"/>
      <c r="F52" s="3"/>
      <c r="G52"/>
      <c r="H52"/>
      <c r="I52"/>
      <c r="J52"/>
      <c r="K52"/>
    </row>
    <row r="53" spans="2:11" x14ac:dyDescent="0.25">
      <c r="B53" s="12"/>
      <c r="C53" s="54"/>
      <c r="D53" s="54"/>
      <c r="E53" s="3"/>
      <c r="F53" s="3"/>
      <c r="G53"/>
      <c r="H53"/>
      <c r="I53"/>
      <c r="J53"/>
      <c r="K53"/>
    </row>
    <row r="54" spans="2:11" x14ac:dyDescent="0.25">
      <c r="B54" s="12"/>
      <c r="C54" s="54"/>
      <c r="D54" s="54"/>
      <c r="E54" s="3"/>
      <c r="F54" s="3"/>
      <c r="G54"/>
      <c r="H54"/>
      <c r="I54"/>
      <c r="J54"/>
      <c r="K54"/>
    </row>
  </sheetData>
  <autoFilter ref="A1:L46" xr:uid="{00000000-0009-0000-0000-000000000000}"/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opLeftCell="A24" zoomScale="71" zoomScaleNormal="120" workbookViewId="0">
      <selection activeCell="E18" sqref="E18"/>
    </sheetView>
  </sheetViews>
  <sheetFormatPr baseColWidth="10" defaultRowHeight="15" x14ac:dyDescent="0.25"/>
  <cols>
    <col min="1" max="1" width="4.140625" bestFit="1" customWidth="1"/>
    <col min="2" max="2" width="39.7109375" customWidth="1"/>
    <col min="3" max="3" width="20" style="12" customWidth="1"/>
  </cols>
  <sheetData>
    <row r="1" spans="1:6" ht="23.25" x14ac:dyDescent="0.35">
      <c r="A1" s="67" t="s">
        <v>106</v>
      </c>
      <c r="B1" s="67"/>
      <c r="C1" s="67"/>
    </row>
    <row r="2" spans="1:6" ht="15" customHeight="1" x14ac:dyDescent="0.3">
      <c r="A2" s="28" t="s">
        <v>16</v>
      </c>
      <c r="B2" s="29" t="s">
        <v>0</v>
      </c>
      <c r="C2" s="30" t="s">
        <v>105</v>
      </c>
    </row>
    <row r="3" spans="1:6" s="43" customFormat="1" ht="15" customHeight="1" x14ac:dyDescent="0.25">
      <c r="A3" s="1">
        <v>1</v>
      </c>
      <c r="B3" s="44" t="s">
        <v>23</v>
      </c>
      <c r="C3" s="10" t="s">
        <v>101</v>
      </c>
      <c r="E3" s="1" t="s">
        <v>101</v>
      </c>
      <c r="F3" s="1">
        <v>25</v>
      </c>
    </row>
    <row r="4" spans="1:6" s="43" customFormat="1" ht="15" customHeight="1" x14ac:dyDescent="0.25">
      <c r="A4" s="1">
        <v>2</v>
      </c>
      <c r="B4" s="44" t="s">
        <v>25</v>
      </c>
      <c r="C4" s="10" t="s">
        <v>101</v>
      </c>
      <c r="E4" s="1" t="s">
        <v>99</v>
      </c>
      <c r="F4" s="1">
        <v>16</v>
      </c>
    </row>
    <row r="5" spans="1:6" s="43" customFormat="1" ht="15" customHeight="1" x14ac:dyDescent="0.25">
      <c r="A5" s="1">
        <v>3</v>
      </c>
      <c r="B5" s="44" t="s">
        <v>90</v>
      </c>
      <c r="C5" s="10" t="s">
        <v>101</v>
      </c>
      <c r="E5" s="42" t="s">
        <v>13</v>
      </c>
      <c r="F5" s="42">
        <f>SUM(F3:F4)</f>
        <v>41</v>
      </c>
    </row>
    <row r="6" spans="1:6" s="43" customFormat="1" ht="15" customHeight="1" x14ac:dyDescent="0.25">
      <c r="A6" s="1">
        <v>4</v>
      </c>
      <c r="B6" s="44" t="s">
        <v>27</v>
      </c>
      <c r="C6" s="10" t="s">
        <v>99</v>
      </c>
    </row>
    <row r="7" spans="1:6" s="43" customFormat="1" ht="15" customHeight="1" x14ac:dyDescent="0.25">
      <c r="A7" s="1">
        <v>5</v>
      </c>
      <c r="B7" s="58" t="s">
        <v>88</v>
      </c>
      <c r="C7" s="10" t="s">
        <v>101</v>
      </c>
    </row>
    <row r="8" spans="1:6" s="43" customFormat="1" ht="15" customHeight="1" x14ac:dyDescent="0.25">
      <c r="A8" s="1">
        <v>6</v>
      </c>
      <c r="B8" s="44" t="s">
        <v>29</v>
      </c>
      <c r="C8" s="10" t="s">
        <v>101</v>
      </c>
    </row>
    <row r="9" spans="1:6" s="43" customFormat="1" ht="15" customHeight="1" x14ac:dyDescent="0.25">
      <c r="A9" s="1">
        <v>7</v>
      </c>
      <c r="B9" s="44" t="s">
        <v>31</v>
      </c>
      <c r="C9" s="10" t="s">
        <v>101</v>
      </c>
    </row>
    <row r="10" spans="1:6" s="43" customFormat="1" ht="15" customHeight="1" x14ac:dyDescent="0.25">
      <c r="A10" s="1">
        <v>8</v>
      </c>
      <c r="B10" s="44" t="s">
        <v>33</v>
      </c>
      <c r="C10" s="10" t="s">
        <v>99</v>
      </c>
    </row>
    <row r="11" spans="1:6" s="43" customFormat="1" ht="15" customHeight="1" x14ac:dyDescent="0.25">
      <c r="A11" s="1">
        <v>9</v>
      </c>
      <c r="B11" s="44" t="s">
        <v>92</v>
      </c>
      <c r="C11" s="10" t="s">
        <v>101</v>
      </c>
    </row>
    <row r="12" spans="1:6" s="43" customFormat="1" ht="15" customHeight="1" x14ac:dyDescent="0.25">
      <c r="A12" s="1">
        <v>10</v>
      </c>
      <c r="B12" s="44" t="s">
        <v>38</v>
      </c>
      <c r="C12" s="10" t="s">
        <v>101</v>
      </c>
    </row>
    <row r="13" spans="1:6" s="43" customFormat="1" ht="15" customHeight="1" x14ac:dyDescent="0.25">
      <c r="A13" s="1">
        <v>11</v>
      </c>
      <c r="B13" s="47" t="s">
        <v>43</v>
      </c>
      <c r="C13" s="33" t="s">
        <v>101</v>
      </c>
    </row>
    <row r="14" spans="1:6" s="43" customFormat="1" ht="15" customHeight="1" x14ac:dyDescent="0.25">
      <c r="A14" s="1">
        <v>12</v>
      </c>
      <c r="B14" s="47" t="s">
        <v>93</v>
      </c>
      <c r="C14" s="33" t="s">
        <v>99</v>
      </c>
    </row>
    <row r="15" spans="1:6" s="43" customFormat="1" ht="15" customHeight="1" x14ac:dyDescent="0.25">
      <c r="A15" s="1">
        <v>13</v>
      </c>
      <c r="B15" s="47" t="s">
        <v>47</v>
      </c>
      <c r="C15" s="33" t="s">
        <v>101</v>
      </c>
    </row>
    <row r="16" spans="1:6" s="43" customFormat="1" ht="15" customHeight="1" x14ac:dyDescent="0.25">
      <c r="A16" s="1">
        <v>14</v>
      </c>
      <c r="B16" s="47" t="s">
        <v>48</v>
      </c>
      <c r="C16" s="33" t="s">
        <v>101</v>
      </c>
    </row>
    <row r="17" spans="1:3" s="43" customFormat="1" ht="15" customHeight="1" x14ac:dyDescent="0.25">
      <c r="A17" s="1">
        <v>15</v>
      </c>
      <c r="B17" s="1"/>
      <c r="C17" s="1"/>
    </row>
    <row r="18" spans="1:3" s="43" customFormat="1" ht="15" customHeight="1" x14ac:dyDescent="0.25">
      <c r="A18" s="1">
        <v>16</v>
      </c>
      <c r="B18" s="47" t="s">
        <v>81</v>
      </c>
      <c r="C18" s="33" t="s">
        <v>101</v>
      </c>
    </row>
    <row r="19" spans="1:3" s="43" customFormat="1" ht="15" customHeight="1" x14ac:dyDescent="0.25">
      <c r="A19" s="1">
        <v>17</v>
      </c>
      <c r="B19" s="47" t="s">
        <v>51</v>
      </c>
      <c r="C19" s="33" t="s">
        <v>101</v>
      </c>
    </row>
    <row r="20" spans="1:3" s="43" customFormat="1" ht="15" customHeight="1" x14ac:dyDescent="0.25">
      <c r="A20" s="1">
        <v>18</v>
      </c>
      <c r="B20" s="47" t="s">
        <v>52</v>
      </c>
      <c r="C20" s="33" t="s">
        <v>101</v>
      </c>
    </row>
    <row r="21" spans="1:3" s="43" customFormat="1" ht="15" customHeight="1" x14ac:dyDescent="0.25">
      <c r="A21" s="1">
        <v>19</v>
      </c>
      <c r="B21" s="61" t="s">
        <v>53</v>
      </c>
      <c r="C21" s="33" t="s">
        <v>99</v>
      </c>
    </row>
    <row r="22" spans="1:3" s="43" customFormat="1" ht="15" customHeight="1" x14ac:dyDescent="0.25">
      <c r="A22" s="1">
        <v>20</v>
      </c>
      <c r="B22" s="47" t="s">
        <v>54</v>
      </c>
      <c r="C22" s="33" t="s">
        <v>101</v>
      </c>
    </row>
    <row r="23" spans="1:3" s="43" customFormat="1" ht="15" customHeight="1" x14ac:dyDescent="0.25">
      <c r="A23" s="1">
        <v>21</v>
      </c>
      <c r="B23" s="47" t="s">
        <v>56</v>
      </c>
      <c r="C23" s="33" t="s">
        <v>99</v>
      </c>
    </row>
    <row r="24" spans="1:3" s="48" customFormat="1" ht="15" customHeight="1" x14ac:dyDescent="0.25">
      <c r="A24" s="35">
        <v>22</v>
      </c>
      <c r="B24" s="47" t="s">
        <v>57</v>
      </c>
      <c r="C24" s="33" t="s">
        <v>99</v>
      </c>
    </row>
    <row r="25" spans="1:3" s="57" customFormat="1" ht="15" customHeight="1" x14ac:dyDescent="0.25">
      <c r="A25" s="42">
        <v>23</v>
      </c>
      <c r="B25" s="39" t="s">
        <v>87</v>
      </c>
      <c r="C25" s="40" t="s">
        <v>99</v>
      </c>
    </row>
    <row r="26" spans="1:3" s="37" customFormat="1" ht="15" customHeight="1" x14ac:dyDescent="0.25">
      <c r="A26" s="35">
        <v>24</v>
      </c>
      <c r="B26" s="38" t="s">
        <v>58</v>
      </c>
      <c r="C26" s="33" t="s">
        <v>101</v>
      </c>
    </row>
    <row r="27" spans="1:3" s="37" customFormat="1" ht="15" customHeight="1" x14ac:dyDescent="0.25">
      <c r="A27" s="35">
        <v>25</v>
      </c>
      <c r="B27" s="38" t="s">
        <v>59</v>
      </c>
      <c r="C27" s="33" t="s">
        <v>101</v>
      </c>
    </row>
    <row r="28" spans="1:3" s="37" customFormat="1" ht="15" customHeight="1" x14ac:dyDescent="0.25">
      <c r="A28" s="35">
        <v>26</v>
      </c>
      <c r="B28" s="38" t="s">
        <v>62</v>
      </c>
      <c r="C28" s="33" t="s">
        <v>99</v>
      </c>
    </row>
    <row r="29" spans="1:3" s="37" customFormat="1" ht="15" customHeight="1" x14ac:dyDescent="0.25">
      <c r="A29" s="35">
        <v>27</v>
      </c>
      <c r="B29" s="38" t="s">
        <v>65</v>
      </c>
      <c r="C29" s="33" t="s">
        <v>99</v>
      </c>
    </row>
    <row r="30" spans="1:3" s="37" customFormat="1" ht="15" customHeight="1" x14ac:dyDescent="0.25">
      <c r="A30" s="35">
        <v>28</v>
      </c>
      <c r="B30" s="34" t="s">
        <v>67</v>
      </c>
      <c r="C30" s="33" t="s">
        <v>101</v>
      </c>
    </row>
    <row r="31" spans="1:3" s="37" customFormat="1" ht="15" customHeight="1" x14ac:dyDescent="0.25">
      <c r="A31" s="35">
        <v>29</v>
      </c>
      <c r="B31" s="38" t="s">
        <v>68</v>
      </c>
      <c r="C31" s="33" t="s">
        <v>99</v>
      </c>
    </row>
    <row r="32" spans="1:3" s="37" customFormat="1" ht="15" customHeight="1" x14ac:dyDescent="0.25">
      <c r="A32" s="35">
        <v>30</v>
      </c>
      <c r="B32" s="38" t="s">
        <v>69</v>
      </c>
      <c r="C32" s="33" t="s">
        <v>99</v>
      </c>
    </row>
    <row r="33" spans="1:3" s="37" customFormat="1" ht="15" customHeight="1" x14ac:dyDescent="0.25">
      <c r="A33" s="35">
        <v>31</v>
      </c>
      <c r="B33" s="34" t="s">
        <v>98</v>
      </c>
      <c r="C33" s="59" t="s">
        <v>99</v>
      </c>
    </row>
    <row r="34" spans="1:3" s="37" customFormat="1" ht="15" customHeight="1" x14ac:dyDescent="0.25">
      <c r="A34" s="1">
        <v>32</v>
      </c>
      <c r="B34" s="34" t="s">
        <v>100</v>
      </c>
      <c r="C34" s="34" t="s">
        <v>101</v>
      </c>
    </row>
    <row r="35" spans="1:3" s="37" customFormat="1" ht="15" customHeight="1" x14ac:dyDescent="0.25">
      <c r="A35" s="35">
        <v>33</v>
      </c>
      <c r="B35" s="34" t="s">
        <v>103</v>
      </c>
      <c r="C35" s="34" t="s">
        <v>101</v>
      </c>
    </row>
    <row r="36" spans="1:3" s="37" customFormat="1" ht="15" customHeight="1" x14ac:dyDescent="0.25">
      <c r="A36" s="35">
        <v>34</v>
      </c>
      <c r="B36" s="38" t="s">
        <v>75</v>
      </c>
      <c r="C36" s="33" t="s">
        <v>99</v>
      </c>
    </row>
    <row r="37" spans="1:3" s="37" customFormat="1" ht="15" customHeight="1" x14ac:dyDescent="0.25">
      <c r="A37" s="35">
        <v>35</v>
      </c>
      <c r="B37" s="47" t="s">
        <v>77</v>
      </c>
      <c r="C37" s="33" t="s">
        <v>99</v>
      </c>
    </row>
    <row r="38" spans="1:3" s="43" customFormat="1" ht="15" customHeight="1" x14ac:dyDescent="0.25">
      <c r="A38" s="1">
        <v>36</v>
      </c>
      <c r="B38" s="1" t="s">
        <v>95</v>
      </c>
      <c r="C38" s="1" t="s">
        <v>101</v>
      </c>
    </row>
    <row r="39" spans="1:3" s="43" customFormat="1" ht="15" customHeight="1" x14ac:dyDescent="0.25">
      <c r="A39" s="35">
        <v>37</v>
      </c>
      <c r="B39" s="1" t="s">
        <v>78</v>
      </c>
      <c r="C39" s="1" t="s">
        <v>101</v>
      </c>
    </row>
    <row r="40" spans="1:3" s="43" customFormat="1" ht="15" customHeight="1" x14ac:dyDescent="0.25">
      <c r="A40" s="35">
        <v>38</v>
      </c>
      <c r="B40" s="34" t="s">
        <v>84</v>
      </c>
      <c r="C40" s="33" t="s">
        <v>99</v>
      </c>
    </row>
    <row r="41" spans="1:3" s="48" customFormat="1" ht="15" customHeight="1" x14ac:dyDescent="0.25">
      <c r="A41" s="35">
        <v>39</v>
      </c>
      <c r="B41" s="58" t="s">
        <v>96</v>
      </c>
      <c r="C41" s="10" t="s">
        <v>101</v>
      </c>
    </row>
    <row r="42" spans="1:3" s="57" customFormat="1" ht="15" customHeight="1" x14ac:dyDescent="0.25">
      <c r="A42" s="42">
        <v>40</v>
      </c>
      <c r="B42" s="60" t="s">
        <v>102</v>
      </c>
      <c r="C42" s="40" t="s">
        <v>99</v>
      </c>
    </row>
    <row r="43" spans="1:3" s="57" customFormat="1" ht="15" customHeight="1" x14ac:dyDescent="0.25">
      <c r="A43" s="42">
        <v>41</v>
      </c>
      <c r="B43" s="60" t="s">
        <v>104</v>
      </c>
      <c r="C43" s="40" t="s">
        <v>101</v>
      </c>
    </row>
    <row r="44" spans="1:3" s="57" customFormat="1" ht="15" customHeight="1" x14ac:dyDescent="0.25">
      <c r="A44" s="42">
        <v>42</v>
      </c>
      <c r="B44" s="39" t="s">
        <v>19</v>
      </c>
      <c r="C44" s="40" t="s">
        <v>101</v>
      </c>
    </row>
    <row r="45" spans="1:3" x14ac:dyDescent="0.25">
      <c r="A45" s="1"/>
      <c r="B45" s="1"/>
      <c r="C45" s="10"/>
    </row>
    <row r="46" spans="1:3" ht="15.75" thickBot="1" x14ac:dyDescent="0.3">
      <c r="A46" s="5"/>
      <c r="B46" s="7"/>
      <c r="C46" s="11"/>
    </row>
    <row r="50" spans="2:3" x14ac:dyDescent="0.25">
      <c r="B50" s="12"/>
      <c r="C50" s="54"/>
    </row>
    <row r="51" spans="2:3" x14ac:dyDescent="0.25">
      <c r="B51" s="12"/>
      <c r="C51" s="54"/>
    </row>
    <row r="52" spans="2:3" x14ac:dyDescent="0.25">
      <c r="B52" s="12"/>
      <c r="C52" s="54"/>
    </row>
    <row r="53" spans="2:3" x14ac:dyDescent="0.25">
      <c r="B53" s="12"/>
      <c r="C53" s="54"/>
    </row>
    <row r="54" spans="2:3" x14ac:dyDescent="0.25">
      <c r="B54" s="12"/>
      <c r="C54" s="54"/>
    </row>
  </sheetData>
  <autoFilter ref="A2:C44" xr:uid="{00000000-0009-0000-0000-000001000000}"/>
  <mergeCells count="1">
    <mergeCell ref="A1:C1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tabSelected="1" zoomScale="89" workbookViewId="0">
      <selection activeCell="G9" sqref="G9"/>
    </sheetView>
  </sheetViews>
  <sheetFormatPr baseColWidth="10" defaultRowHeight="15" x14ac:dyDescent="0.25"/>
  <cols>
    <col min="2" max="2" width="30" bestFit="1" customWidth="1"/>
    <col min="3" max="3" width="18.7109375" bestFit="1" customWidth="1"/>
    <col min="4" max="4" width="13.85546875" bestFit="1" customWidth="1"/>
    <col min="6" max="6" width="26.140625" bestFit="1" customWidth="1"/>
    <col min="8" max="8" width="15.28515625" bestFit="1" customWidth="1"/>
    <col min="10" max="10" width="18" bestFit="1" customWidth="1"/>
    <col min="11" max="11" width="17.140625" bestFit="1" customWidth="1"/>
  </cols>
  <sheetData>
    <row r="2" spans="2:8" ht="21" x14ac:dyDescent="0.35">
      <c r="B2" s="68" t="s">
        <v>9</v>
      </c>
      <c r="C2" s="68"/>
      <c r="D2" s="14"/>
      <c r="E2" s="14"/>
      <c r="F2" s="68" t="s">
        <v>10</v>
      </c>
      <c r="G2" s="68"/>
      <c r="H2" s="17">
        <v>15000</v>
      </c>
    </row>
    <row r="3" spans="2:8" ht="21" x14ac:dyDescent="0.35">
      <c r="B3" s="15" t="s">
        <v>11</v>
      </c>
      <c r="C3" s="18">
        <v>2800000</v>
      </c>
      <c r="D3" s="14"/>
      <c r="E3" s="14"/>
      <c r="F3" s="15" t="s">
        <v>20</v>
      </c>
      <c r="G3" s="19">
        <v>14</v>
      </c>
      <c r="H3" s="20">
        <f>+G3*$H$2</f>
        <v>210000</v>
      </c>
    </row>
    <row r="4" spans="2:8" ht="21" x14ac:dyDescent="0.35">
      <c r="B4" s="15" t="s">
        <v>12</v>
      </c>
      <c r="C4" s="18">
        <v>130000</v>
      </c>
      <c r="D4" s="14"/>
      <c r="E4" s="14"/>
      <c r="F4" s="15" t="s">
        <v>114</v>
      </c>
      <c r="G4" s="19">
        <v>2</v>
      </c>
      <c r="H4" s="20">
        <f t="shared" ref="H4:H9" si="0">+G4*$H$2</f>
        <v>30000</v>
      </c>
    </row>
    <row r="5" spans="2:8" ht="21" x14ac:dyDescent="0.35">
      <c r="B5" s="15" t="s">
        <v>108</v>
      </c>
      <c r="C5" s="18">
        <v>331500</v>
      </c>
      <c r="D5" s="62">
        <v>8500</v>
      </c>
      <c r="E5" s="14"/>
      <c r="F5" s="15" t="s">
        <v>112</v>
      </c>
      <c r="G5" s="19">
        <v>16</v>
      </c>
      <c r="H5" s="20">
        <f t="shared" si="0"/>
        <v>240000</v>
      </c>
    </row>
    <row r="6" spans="2:8" ht="21" x14ac:dyDescent="0.35">
      <c r="B6" s="15" t="s">
        <v>109</v>
      </c>
      <c r="C6" s="18">
        <v>1070000</v>
      </c>
      <c r="D6" s="14"/>
      <c r="E6" s="14"/>
      <c r="F6" s="15" t="s">
        <v>91</v>
      </c>
      <c r="G6" s="19">
        <v>2</v>
      </c>
      <c r="H6" s="20">
        <f t="shared" si="0"/>
        <v>30000</v>
      </c>
    </row>
    <row r="7" spans="2:8" ht="21" x14ac:dyDescent="0.35">
      <c r="B7" s="15" t="s">
        <v>110</v>
      </c>
      <c r="C7" s="18">
        <v>50000</v>
      </c>
      <c r="D7" s="14"/>
      <c r="E7" s="14"/>
      <c r="F7" s="15" t="s">
        <v>113</v>
      </c>
      <c r="G7" s="19">
        <v>2</v>
      </c>
      <c r="H7" s="20">
        <f t="shared" si="0"/>
        <v>30000</v>
      </c>
    </row>
    <row r="8" spans="2:8" ht="21" x14ac:dyDescent="0.35">
      <c r="B8" s="15" t="s">
        <v>111</v>
      </c>
      <c r="C8" s="18">
        <v>50000</v>
      </c>
      <c r="D8" s="14"/>
      <c r="E8" s="14"/>
      <c r="F8" s="15" t="s">
        <v>76</v>
      </c>
      <c r="G8" s="19">
        <v>2</v>
      </c>
      <c r="H8" s="20">
        <f t="shared" si="0"/>
        <v>30000</v>
      </c>
    </row>
    <row r="9" spans="2:8" ht="21" x14ac:dyDescent="0.35">
      <c r="B9" s="15" t="s">
        <v>10</v>
      </c>
      <c r="C9" s="18">
        <f>+H10</f>
        <v>585000</v>
      </c>
      <c r="D9" s="14"/>
      <c r="E9" s="14"/>
      <c r="F9" s="15" t="s">
        <v>118</v>
      </c>
      <c r="G9" s="19">
        <v>1</v>
      </c>
      <c r="H9" s="20">
        <f t="shared" si="0"/>
        <v>15000</v>
      </c>
    </row>
    <row r="10" spans="2:8" ht="21" x14ac:dyDescent="0.35">
      <c r="B10" s="15" t="s">
        <v>13</v>
      </c>
      <c r="C10" s="18">
        <f>SUM(C3:C9)</f>
        <v>5016500</v>
      </c>
      <c r="D10" s="14"/>
      <c r="E10" s="14"/>
      <c r="F10" s="63" t="s">
        <v>13</v>
      </c>
      <c r="G10" s="64">
        <f>+SUM(G3:G9)</f>
        <v>39</v>
      </c>
      <c r="H10" s="20">
        <f>SUM(H3:H9)</f>
        <v>585000</v>
      </c>
    </row>
    <row r="11" spans="2:8" ht="21" x14ac:dyDescent="0.35">
      <c r="B11" s="14"/>
      <c r="C11" s="25"/>
      <c r="D11" s="14"/>
      <c r="E11" s="14"/>
      <c r="F11" s="21"/>
      <c r="G11" s="22"/>
      <c r="H11" s="23"/>
    </row>
    <row r="12" spans="2:8" ht="21" x14ac:dyDescent="0.35">
      <c r="B12" s="15" t="s">
        <v>14</v>
      </c>
      <c r="C12" s="72">
        <f>'BUS Y SALDOS '!J45</f>
        <v>6045000</v>
      </c>
      <c r="D12" s="14"/>
      <c r="E12" s="14"/>
      <c r="F12" s="21"/>
      <c r="G12" s="22"/>
      <c r="H12" s="23"/>
    </row>
    <row r="13" spans="2:8" ht="21" x14ac:dyDescent="0.35">
      <c r="B13" s="15" t="s">
        <v>15</v>
      </c>
      <c r="C13" s="71">
        <f>+C12-C10</f>
        <v>1028500</v>
      </c>
      <c r="D13" s="14"/>
      <c r="E13" s="14"/>
      <c r="F13" s="14"/>
      <c r="G13" s="24"/>
      <c r="H13" s="14"/>
    </row>
    <row r="14" spans="2:8" ht="21" x14ac:dyDescent="0.35">
      <c r="B14" s="14"/>
      <c r="C14" s="25"/>
      <c r="D14" s="14"/>
      <c r="E14" s="14"/>
      <c r="F14" s="14"/>
      <c r="G14" s="24"/>
      <c r="H14" s="14"/>
    </row>
    <row r="15" spans="2:8" ht="21" x14ac:dyDescent="0.35">
      <c r="D15" s="3"/>
      <c r="E15" s="66">
        <f>+G10</f>
        <v>39</v>
      </c>
      <c r="F15" s="15" t="s">
        <v>17</v>
      </c>
      <c r="G15" s="24"/>
      <c r="H15" s="26"/>
    </row>
    <row r="16" spans="2:8" ht="21" x14ac:dyDescent="0.35">
      <c r="E16" s="15">
        <v>3</v>
      </c>
      <c r="F16" s="15" t="s">
        <v>18</v>
      </c>
      <c r="G16" s="24"/>
      <c r="H16" s="14"/>
    </row>
    <row r="17" spans="3:8" ht="21" x14ac:dyDescent="0.35">
      <c r="C17" s="27"/>
      <c r="E17" s="15">
        <f>+E15+E16</f>
        <v>42</v>
      </c>
      <c r="F17" s="15" t="s">
        <v>13</v>
      </c>
      <c r="G17" s="24"/>
      <c r="H17" s="14"/>
    </row>
    <row r="18" spans="3:8" x14ac:dyDescent="0.25">
      <c r="G18" s="16"/>
    </row>
    <row r="19" spans="3:8" x14ac:dyDescent="0.25">
      <c r="C19" s="27"/>
      <c r="G19" s="16"/>
    </row>
    <row r="20" spans="3:8" x14ac:dyDescent="0.25">
      <c r="G20" s="16"/>
    </row>
    <row r="21" spans="3:8" x14ac:dyDescent="0.25">
      <c r="G21" s="16"/>
    </row>
    <row r="22" spans="3:8" x14ac:dyDescent="0.25">
      <c r="G22" s="16"/>
    </row>
  </sheetData>
  <mergeCells count="2">
    <mergeCell ref="B2:C2"/>
    <mergeCell ref="F2:G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Y SALDOS </vt:lpstr>
      <vt:lpstr>ALMUERZOS </vt:lpstr>
      <vt:lpstr>COSTOS Y GASTOS 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DANIELA STEFANI  CRUZ MORENO</cp:lastModifiedBy>
  <cp:lastPrinted>2023-01-16T23:55:30Z</cp:lastPrinted>
  <dcterms:created xsi:type="dcterms:W3CDTF">2022-06-14T21:13:15Z</dcterms:created>
  <dcterms:modified xsi:type="dcterms:W3CDTF">2023-11-20T19:27:00Z</dcterms:modified>
</cp:coreProperties>
</file>