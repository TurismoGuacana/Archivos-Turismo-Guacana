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COSTA CARIBE\"/>
    </mc:Choice>
  </mc:AlternateContent>
  <xr:revisionPtr revIDLastSave="0" documentId="13_ncr:1_{1CC24041-69D0-4771-96DA-7BBC11587DF9}" xr6:coauthVersionLast="47" xr6:coauthVersionMax="47" xr10:uidLastSave="{00000000-0000-0000-0000-000000000000}"/>
  <bookViews>
    <workbookView xWindow="-120" yWindow="-120" windowWidth="20730" windowHeight="11040" xr2:uid="{92E1F718-9A14-4AD0-AA75-A64447E811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" i="1" l="1"/>
  <c r="O17" i="1"/>
  <c r="Q25" i="1"/>
  <c r="H77" i="1"/>
  <c r="Q27" i="1"/>
  <c r="Q26" i="1"/>
  <c r="Q24" i="1"/>
  <c r="Q23" i="1"/>
  <c r="O28" i="1"/>
  <c r="I7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9" i="1"/>
  <c r="I30" i="1"/>
  <c r="I31" i="1"/>
  <c r="I32" i="1"/>
  <c r="I33" i="1"/>
  <c r="I34" i="1"/>
  <c r="I35" i="1"/>
  <c r="I36" i="1"/>
  <c r="I37" i="1"/>
  <c r="I38" i="1"/>
  <c r="I39" i="1"/>
  <c r="I40" i="1"/>
  <c r="I46" i="1"/>
  <c r="I47" i="1"/>
  <c r="I49" i="1"/>
  <c r="I50" i="1"/>
  <c r="I51" i="1"/>
  <c r="I52" i="1"/>
  <c r="I53" i="1"/>
  <c r="I54" i="1"/>
  <c r="I57" i="1"/>
  <c r="I58" i="1"/>
  <c r="I59" i="1"/>
  <c r="I60" i="1"/>
  <c r="I62" i="1"/>
  <c r="I63" i="1"/>
  <c r="I64" i="1"/>
  <c r="I65" i="1"/>
  <c r="I67" i="1"/>
  <c r="I68" i="1"/>
  <c r="I69" i="1"/>
  <c r="I70" i="1"/>
  <c r="I71" i="1"/>
  <c r="I72" i="1"/>
  <c r="I73" i="1"/>
  <c r="I74" i="1"/>
  <c r="I75" i="1"/>
  <c r="H76" i="1"/>
  <c r="O18" i="1" l="1"/>
  <c r="Q28" i="1"/>
</calcChain>
</file>

<file path=xl/sharedStrings.xml><?xml version="1.0" encoding="utf-8"?>
<sst xmlns="http://schemas.openxmlformats.org/spreadsheetml/2006/main" count="261" uniqueCount="128">
  <si>
    <t>N°</t>
  </si>
  <si>
    <t>NOMBRE</t>
  </si>
  <si>
    <t>TIPO DE DOCUMENTO</t>
  </si>
  <si>
    <t>N° DE DOCUMENTO</t>
  </si>
  <si>
    <t>FECHA DE NACIMIENTO</t>
  </si>
  <si>
    <t>TELÉFONO</t>
  </si>
  <si>
    <t>C.C</t>
  </si>
  <si>
    <t>COMISIONISTA</t>
  </si>
  <si>
    <t>LAD</t>
  </si>
  <si>
    <t>T.I</t>
  </si>
  <si>
    <t>JUAN SEBASTIAN CRUZ MARQUEZ</t>
  </si>
  <si>
    <t>EDITH</t>
  </si>
  <si>
    <t>EMPERATRIZ AQUITE PEREZ</t>
  </si>
  <si>
    <t>MIRIAM CUCAITA RAMIREZ</t>
  </si>
  <si>
    <t xml:space="preserve">ALICIA RAMIREZ </t>
  </si>
  <si>
    <t>305 810 0886</t>
  </si>
  <si>
    <t xml:space="preserve">LIGIA CUCAITA RAMIREZ </t>
  </si>
  <si>
    <t>311 758 5173</t>
  </si>
  <si>
    <t>RODRIGO ALBERTO RUIZ VILLALBA</t>
  </si>
  <si>
    <t>JULIA TERESA CAMARGO RUBIO</t>
  </si>
  <si>
    <t xml:space="preserve">RODRIGO ANDRES RUIZ CAMARGO </t>
  </si>
  <si>
    <t>MARÍA JOSE RUIZ CAMARGO</t>
  </si>
  <si>
    <t>MARÍA JASBLEIDY CHAVEZ POVEDA</t>
  </si>
  <si>
    <t>OMAR ALBAISO SABOGAL</t>
  </si>
  <si>
    <t>DIANA</t>
  </si>
  <si>
    <t>JUAN ALBERTO DIAZ MORATO</t>
  </si>
  <si>
    <t>DIANA CAROLINA MARIN AGUIRRE</t>
  </si>
  <si>
    <t>JUAN ESTABAN DIAZ MARIN</t>
  </si>
  <si>
    <t>FERNANDO BENAVIDES</t>
  </si>
  <si>
    <t>MAFE</t>
  </si>
  <si>
    <t>SANDRA BARRERO</t>
  </si>
  <si>
    <t>MARÍA FERNANDA MORALES</t>
  </si>
  <si>
    <t>WILLIAM STEFAN MORALES BARRERO</t>
  </si>
  <si>
    <t>MARIAN MORALES</t>
  </si>
  <si>
    <t>R.C</t>
  </si>
  <si>
    <t>JUAN DIEGO RAMIREZ</t>
  </si>
  <si>
    <t>EUGENIA LLANO</t>
  </si>
  <si>
    <t>RUTH BELTRAN RODRÍGUEZ</t>
  </si>
  <si>
    <t>311 863 2962</t>
  </si>
  <si>
    <t>GERMAN TORRES</t>
  </si>
  <si>
    <t>321 310 2986</t>
  </si>
  <si>
    <t>JOSÉ YURI DUARTE</t>
  </si>
  <si>
    <t>JUAN PABLO DUARTE</t>
  </si>
  <si>
    <t>OMAIRA GARCIA REYES</t>
  </si>
  <si>
    <t>LUZ AMANDA GARCIA AYALA</t>
  </si>
  <si>
    <t xml:space="preserve">GLORIA OCAMPO </t>
  </si>
  <si>
    <t>ANDERSON ANDRES REYES MUÑOZ</t>
  </si>
  <si>
    <t xml:space="preserve">NAYELI ANDREA REYES MUÑOS </t>
  </si>
  <si>
    <t>LAURA CAMILA DELGADO REYES</t>
  </si>
  <si>
    <t>FLORINDA DAZA MARIN</t>
  </si>
  <si>
    <t>ROSA YOLANDA MORENO  SILVA</t>
  </si>
  <si>
    <t>ANA EDITH MORENO SILVA</t>
  </si>
  <si>
    <t>JOHANA MARQUEZ PARRA</t>
  </si>
  <si>
    <t>Columna1</t>
  </si>
  <si>
    <t>SENAIDA SANCHEZ SANCHEZ</t>
  </si>
  <si>
    <t>MARTHA MONCALEANO</t>
  </si>
  <si>
    <t>LUZ MIREYA RODRÍGUEZ LEÓN</t>
  </si>
  <si>
    <t>DIANA (TOCAIMA)</t>
  </si>
  <si>
    <t>LUZ MARY CARVAJAS RODRÍGUEZ</t>
  </si>
  <si>
    <t>LAD TOCAIMA</t>
  </si>
  <si>
    <t>ERIKA MUÑOS MEDINA</t>
  </si>
  <si>
    <t>319 248 0652</t>
  </si>
  <si>
    <t>SANDRA  MARISOL FLORES DUARTE</t>
  </si>
  <si>
    <t xml:space="preserve">CESAR AUGUSTO ALVARES FLORES </t>
  </si>
  <si>
    <t>GINNA MARCELA PALACIOS COCA</t>
  </si>
  <si>
    <t>313 490 8007</t>
  </si>
  <si>
    <t>SANDRA TATIANA ALVAREZ FLORES</t>
  </si>
  <si>
    <t>ALFONSO HERNANDEZ PINTO</t>
  </si>
  <si>
    <t>LUZ MARINA BARRIOS SOLORZANO</t>
  </si>
  <si>
    <t>SAID PEÑA MUNAYAR</t>
  </si>
  <si>
    <t>MARÍA DEL PILAR BARRERO</t>
  </si>
  <si>
    <t>WILLIAM EDUARDO MORALES CAMARGO</t>
  </si>
  <si>
    <t>MARILUZ GONZALEZ  MORENO</t>
  </si>
  <si>
    <t>FLOR ALBA RIAÑO MORENO</t>
  </si>
  <si>
    <t>CC</t>
  </si>
  <si>
    <t>JUAN DAVID RUIZ CHACON</t>
  </si>
  <si>
    <t xml:space="preserve">PATRICIA MORENO </t>
  </si>
  <si>
    <t>EDWIN DAVID GOMEZ MORENO</t>
  </si>
  <si>
    <t>JULIETH NATALIA GONZALEZ SERRANO</t>
  </si>
  <si>
    <t>312 493 1107</t>
  </si>
  <si>
    <t>311 305 8847</t>
  </si>
  <si>
    <t>312485 6335</t>
  </si>
  <si>
    <t>LUZ MIRIAM REYES</t>
  </si>
  <si>
    <t>323 614 9109</t>
  </si>
  <si>
    <t>LUIS ALBERTO DUARTE</t>
  </si>
  <si>
    <t>ISABELA</t>
  </si>
  <si>
    <t>MARÍA FERNANDA B</t>
  </si>
  <si>
    <t>ANAPOIMA</t>
  </si>
  <si>
    <t>Columna2</t>
  </si>
  <si>
    <t>MESA</t>
  </si>
  <si>
    <t>SOLO BUS Y SEGURO</t>
  </si>
  <si>
    <t>TOCAIMA</t>
  </si>
  <si>
    <t>ROSA MARINA SILVA VIDAL</t>
  </si>
  <si>
    <t>PAGO ADICIONAL</t>
  </si>
  <si>
    <t>MAIRA IVONNE BELTRAN RODRÍGUEZ</t>
  </si>
  <si>
    <t>323 886 4061</t>
  </si>
  <si>
    <t>312 567 6912</t>
  </si>
  <si>
    <t>Deyanira ortiz carreño</t>
  </si>
  <si>
    <t>52 305912</t>
  </si>
  <si>
    <t>Jessica Alexandra Cubillos Gomez</t>
  </si>
  <si>
    <t xml:space="preserve">ELIZABETH MAPE </t>
  </si>
  <si>
    <t>MARCIA ALEXANDRA URBANO SANABRIA</t>
  </si>
  <si>
    <t xml:space="preserve">Maria leonor sanchez </t>
  </si>
  <si>
    <t>William David barbosa</t>
  </si>
  <si>
    <t>TOTAL: 67</t>
  </si>
  <si>
    <t xml:space="preserve">GABRIEL </t>
  </si>
  <si>
    <t>Johan Sebastián Ramos Bazurto</t>
  </si>
  <si>
    <t>solo seguro</t>
  </si>
  <si>
    <t>TRANSPORTE</t>
  </si>
  <si>
    <t>SEGURO</t>
  </si>
  <si>
    <t>PLAN TAGANGA (BUSETA+LANCHA+CARETEO+MANILLA)</t>
  </si>
  <si>
    <t>PLAN PLAYA BLANCA (LANCHA+ALMUERZO+MANILLA)</t>
  </si>
  <si>
    <t>CENA RIOHACHA</t>
  </si>
  <si>
    <t>GUÍA TURÍSTICO</t>
  </si>
  <si>
    <t>GASTO DE REPRESENTACIÓN</t>
  </si>
  <si>
    <t>VALOR</t>
  </si>
  <si>
    <t>COMISION</t>
  </si>
  <si>
    <t>COMISIONISTAS</t>
  </si>
  <si>
    <t>COMISONADOS</t>
  </si>
  <si>
    <t>TOTAL</t>
  </si>
  <si>
    <t>DIANA CORDOBA</t>
  </si>
  <si>
    <t>INGRESOS</t>
  </si>
  <si>
    <t>UTILIDAD</t>
  </si>
  <si>
    <t>ALOJAMIENTO DESAYUNO RIOHACHA (D)</t>
  </si>
  <si>
    <t>ALOJAMIENTO DESAYUNO RIOHACHA ©</t>
  </si>
  <si>
    <t>AL0JAMIENTO DESAYUNO CENA SANTA MARTA</t>
  </si>
  <si>
    <t>EVENTO DE GRUPO (MUSICOS, SILLAS, LICOR)</t>
  </si>
  <si>
    <t>COSTOS Y 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</si>
</sst>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vertical="center"/>
    </xf>
    <xf numFmtId="0" fontId="0" fillId="4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0" fontId="0" fillId="0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8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4" xfId="0" applyBorder="1"/>
    <xf numFmtId="44" fontId="0" fillId="0" borderId="4" xfId="1" applyFont="1" applyBorder="1"/>
    <xf numFmtId="44" fontId="0" fillId="0" borderId="4" xfId="0" applyNumberFormat="1" applyBorder="1"/>
    <xf numFmtId="0" fontId="0" fillId="0" borderId="4" xfId="0" applyFill="1" applyBorder="1"/>
    <xf numFmtId="44" fontId="0" fillId="0" borderId="4" xfId="0" applyNumberFormat="1" applyFill="1" applyBorder="1"/>
    <xf numFmtId="0" fontId="2" fillId="0" borderId="4" xfId="0" applyFont="1" applyBorder="1"/>
    <xf numFmtId="0" fontId="2" fillId="0" borderId="4" xfId="0" applyFont="1" applyFill="1" applyBorder="1"/>
    <xf numFmtId="0" fontId="0" fillId="9" borderId="4" xfId="0" applyFill="1" applyBorder="1"/>
    <xf numFmtId="44" fontId="2" fillId="0" borderId="4" xfId="0" applyNumberFormat="1" applyFont="1" applyBorder="1"/>
    <xf numFmtId="0" fontId="2" fillId="3" borderId="4" xfId="0" applyFont="1" applyFill="1" applyBorder="1" applyAlignment="1">
      <alignment horizontal="center"/>
    </xf>
    <xf numFmtId="44" fontId="0" fillId="0" borderId="4" xfId="1" applyFont="1" applyFill="1" applyBorder="1"/>
    <xf numFmtId="0" fontId="0" fillId="10" borderId="0" xfId="0" applyFill="1" applyAlignment="1">
      <alignment horizontal="center"/>
    </xf>
    <xf numFmtId="0" fontId="0" fillId="0" borderId="4" xfId="0" applyBorder="1" applyAlignment="1">
      <alignment horizontal="left" wrapText="1"/>
    </xf>
    <xf numFmtId="44" fontId="0" fillId="0" borderId="4" xfId="1" applyFont="1" applyBorder="1" applyAlignment="1">
      <alignment horizontal="center"/>
    </xf>
    <xf numFmtId="0" fontId="0" fillId="0" borderId="5" xfId="0" applyBorder="1"/>
    <xf numFmtId="44" fontId="0" fillId="0" borderId="5" xfId="1" applyFont="1" applyBorder="1"/>
    <xf numFmtId="0" fontId="0" fillId="0" borderId="6" xfId="0" applyBorder="1"/>
    <xf numFmtId="44" fontId="0" fillId="6" borderId="6" xfId="1" applyFont="1" applyFill="1" applyBorder="1"/>
    <xf numFmtId="0" fontId="0" fillId="0" borderId="7" xfId="0" applyBorder="1"/>
    <xf numFmtId="44" fontId="0" fillId="0" borderId="7" xfId="1" applyFont="1" applyBorder="1"/>
    <xf numFmtId="0" fontId="0" fillId="0" borderId="8" xfId="0" applyBorder="1"/>
    <xf numFmtId="44" fontId="0" fillId="11" borderId="8" xfId="1" applyFont="1" applyFill="1" applyBorder="1"/>
    <xf numFmtId="44" fontId="0" fillId="2" borderId="8" xfId="1" applyFont="1" applyFill="1" applyBorder="1"/>
  </cellXfs>
  <cellStyles count="2">
    <cellStyle name="Moneda" xfId="1" builtinId="4"/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F26E9-FDD9-4334-9CDB-E8F8B7C425A2}" name="Tabla1" displayName="Tabla1" ref="A1:K76" totalsRowCount="1" headerRowDxfId="23" dataDxfId="22">
  <autoFilter ref="A1:K75" xr:uid="{3F1F26E9-FDD9-4334-9CDB-E8F8B7C425A2}"/>
  <tableColumns count="11">
    <tableColumn id="8" xr3:uid="{18B8F5CD-74C1-4CD0-AEDB-E99EA3066A56}" name="Columna1" dataDxfId="21" totalsRowDxfId="20"/>
    <tableColumn id="1" xr3:uid="{20B4DBD7-9FF5-45ED-A8C5-F4AF2F28BE37}" name="N°" dataDxfId="19" totalsRowDxfId="18"/>
    <tableColumn id="2" xr3:uid="{7A91D57F-4C60-468E-B84A-CB90C420EB29}" name="NOMBRE" dataDxfId="17" totalsRowDxfId="16"/>
    <tableColumn id="3" xr3:uid="{1807C8D3-F062-4E40-BD75-72641E9FE339}" name="TIPO DE DOCUMENTO" dataDxfId="15" totalsRowDxfId="14"/>
    <tableColumn id="4" xr3:uid="{A97DDD5F-6D84-4D92-9A26-8A8F3C760B7B}" name="N° DE DOCUMENTO" dataDxfId="13" totalsRowDxfId="12"/>
    <tableColumn id="5" xr3:uid="{9A535643-09E5-47C1-852A-AD8F22563D6C}" name="FECHA DE NACIMIENTO" dataDxfId="11" totalsRowDxfId="10"/>
    <tableColumn id="6" xr3:uid="{A5E1B259-A127-4CE0-836F-5ACE3F3CB29D}" name="TELÉFONO" dataDxfId="9" totalsRowDxfId="8"/>
    <tableColumn id="10" xr3:uid="{A78FC043-AE95-43FC-A7C9-C91DE5FF4FBE}" name="VALOR" totalsRowFunction="sum" dataDxfId="7" totalsRowDxfId="6" dataCellStyle="Moneda" totalsRowCellStyle="Moneda"/>
    <tableColumn id="11" xr3:uid="{720C7BE0-819B-4209-80AC-558A2A6EB57F}" name="COMISION" totalsRowFunction="sum" dataDxfId="5" totalsRowDxfId="4" dataCellStyle="Moneda" totalsRowCellStyle="Moneda">
      <calculatedColumnFormula>Tabla1[[#This Row],[VALOR]]-50000</calculatedColumnFormula>
    </tableColumn>
    <tableColumn id="7" xr3:uid="{6D86E482-8596-41F6-AECB-73F3EBC26FD7}" name="COMISIONISTA" dataDxfId="3" totalsRowDxfId="2"/>
    <tableColumn id="9" xr3:uid="{A3A4FAE6-5D12-4DD6-BC37-CE2B6A7BB187}" name="Columna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F78F-3EF7-41D6-AC8C-DC45E6674DF0}">
  <dimension ref="A1:Q78"/>
  <sheetViews>
    <sheetView tabSelected="1" topLeftCell="H17" zoomScale="90" workbookViewId="0">
      <selection activeCell="P14" sqref="P14"/>
    </sheetView>
  </sheetViews>
  <sheetFormatPr baseColWidth="10" defaultRowHeight="15" x14ac:dyDescent="0.25"/>
  <cols>
    <col min="1" max="1" width="7.7109375" style="1" bestFit="1" customWidth="1"/>
    <col min="2" max="2" width="34" bestFit="1" customWidth="1"/>
    <col min="3" max="3" width="37.7109375" style="2" bestFit="1" customWidth="1"/>
    <col min="4" max="4" width="25" style="2" bestFit="1" customWidth="1"/>
    <col min="5" max="5" width="26.42578125" style="2" bestFit="1" customWidth="1"/>
    <col min="6" max="6" width="14.7109375" style="2" bestFit="1" customWidth="1"/>
    <col min="7" max="7" width="18.85546875" style="1" bestFit="1" customWidth="1"/>
    <col min="8" max="8" width="18.85546875" style="1" customWidth="1"/>
    <col min="9" max="9" width="18.85546875" style="42" customWidth="1"/>
    <col min="10" max="10" width="18.85546875" bestFit="1" customWidth="1"/>
    <col min="14" max="14" width="43" customWidth="1"/>
    <col min="15" max="15" width="16.42578125" bestFit="1" customWidth="1"/>
    <col min="16" max="16" width="12.7109375" bestFit="1" customWidth="1"/>
    <col min="17" max="17" width="15.42578125" bestFit="1" customWidth="1"/>
  </cols>
  <sheetData>
    <row r="1" spans="1:15" x14ac:dyDescent="0.25">
      <c r="A1" s="2" t="s">
        <v>53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115</v>
      </c>
      <c r="I1" s="38" t="s">
        <v>116</v>
      </c>
      <c r="J1" s="2" t="s">
        <v>7</v>
      </c>
      <c r="K1" s="2" t="s">
        <v>88</v>
      </c>
    </row>
    <row r="2" spans="1:15" x14ac:dyDescent="0.25">
      <c r="A2" s="2">
        <v>1</v>
      </c>
      <c r="B2" s="1">
        <v>4</v>
      </c>
      <c r="C2" s="30" t="s">
        <v>52</v>
      </c>
      <c r="D2" s="2" t="s">
        <v>6</v>
      </c>
      <c r="E2" s="3">
        <v>20872267</v>
      </c>
      <c r="G2" s="2"/>
      <c r="H2" s="38">
        <v>870000</v>
      </c>
      <c r="I2" s="38">
        <f>Tabla1[[#This Row],[VALOR]]-50000</f>
        <v>820000</v>
      </c>
      <c r="J2" s="1" t="s">
        <v>11</v>
      </c>
      <c r="K2" s="2"/>
      <c r="N2" s="55" t="s">
        <v>127</v>
      </c>
      <c r="O2" s="55"/>
    </row>
    <row r="3" spans="1:15" x14ac:dyDescent="0.25">
      <c r="A3" s="2">
        <v>2</v>
      </c>
      <c r="B3" s="1">
        <v>5</v>
      </c>
      <c r="C3" s="30" t="s">
        <v>10</v>
      </c>
      <c r="D3" s="2" t="s">
        <v>9</v>
      </c>
      <c r="E3" s="3">
        <v>1073629350</v>
      </c>
      <c r="G3" s="2"/>
      <c r="H3" s="38">
        <v>870000</v>
      </c>
      <c r="I3" s="38">
        <f>Tabla1[[#This Row],[VALOR]]-50000</f>
        <v>820000</v>
      </c>
      <c r="J3" s="1" t="s">
        <v>11</v>
      </c>
      <c r="K3" s="2"/>
      <c r="N3" s="44" t="s">
        <v>108</v>
      </c>
      <c r="O3" s="45">
        <v>19600000</v>
      </c>
    </row>
    <row r="4" spans="1:15" x14ac:dyDescent="0.25">
      <c r="A4" s="2">
        <v>3</v>
      </c>
      <c r="B4" s="1">
        <v>6</v>
      </c>
      <c r="C4" s="31" t="s">
        <v>56</v>
      </c>
      <c r="D4" s="2" t="s">
        <v>6</v>
      </c>
      <c r="E4" s="3">
        <v>41792549</v>
      </c>
      <c r="G4" s="2"/>
      <c r="H4" s="38">
        <v>870000</v>
      </c>
      <c r="I4" s="38">
        <f>Tabla1[[#This Row],[VALOR]]-50000</f>
        <v>820000</v>
      </c>
      <c r="J4" s="1" t="s">
        <v>57</v>
      </c>
      <c r="K4" s="2"/>
      <c r="N4" s="44" t="s">
        <v>109</v>
      </c>
      <c r="O4" s="45">
        <v>476000</v>
      </c>
    </row>
    <row r="5" spans="1:15" x14ac:dyDescent="0.25">
      <c r="A5" s="2">
        <v>4</v>
      </c>
      <c r="B5" s="1">
        <v>7</v>
      </c>
      <c r="C5" s="27" t="s">
        <v>12</v>
      </c>
      <c r="D5" s="2" t="s">
        <v>6</v>
      </c>
      <c r="E5" s="3">
        <v>51786281</v>
      </c>
      <c r="F5" s="4">
        <v>23213</v>
      </c>
      <c r="G5" s="2" t="s">
        <v>96</v>
      </c>
      <c r="H5" s="38">
        <v>910000</v>
      </c>
      <c r="I5" s="38">
        <f>Tabla1[[#This Row],[VALOR]]-50000</f>
        <v>860000</v>
      </c>
      <c r="J5" s="1" t="s">
        <v>8</v>
      </c>
      <c r="K5" s="2"/>
      <c r="N5" s="44" t="s">
        <v>123</v>
      </c>
      <c r="O5" s="45">
        <v>2389000</v>
      </c>
    </row>
    <row r="6" spans="1:15" x14ac:dyDescent="0.25">
      <c r="A6" s="2">
        <v>5</v>
      </c>
      <c r="B6" s="1">
        <v>8</v>
      </c>
      <c r="C6" s="27" t="s">
        <v>75</v>
      </c>
      <c r="D6" s="2" t="s">
        <v>6</v>
      </c>
      <c r="E6" s="3">
        <v>1120561841</v>
      </c>
      <c r="F6" s="4">
        <v>38534</v>
      </c>
      <c r="G6" s="2" t="s">
        <v>95</v>
      </c>
      <c r="H6" s="38">
        <v>910000</v>
      </c>
      <c r="I6" s="38">
        <f>Tabla1[[#This Row],[VALOR]]-50000</f>
        <v>860000</v>
      </c>
      <c r="J6" s="1" t="s">
        <v>8</v>
      </c>
      <c r="K6" s="2"/>
      <c r="N6" s="44" t="s">
        <v>124</v>
      </c>
      <c r="O6" s="45">
        <v>1620000</v>
      </c>
    </row>
    <row r="7" spans="1:15" x14ac:dyDescent="0.25">
      <c r="A7" s="2">
        <v>6</v>
      </c>
      <c r="B7" s="1">
        <v>9</v>
      </c>
      <c r="C7" s="30" t="s">
        <v>13</v>
      </c>
      <c r="D7" s="2" t="s">
        <v>6</v>
      </c>
      <c r="E7" s="3">
        <v>51971497</v>
      </c>
      <c r="F7" s="4">
        <v>25378</v>
      </c>
      <c r="G7" s="2"/>
      <c r="H7" s="38">
        <v>870000</v>
      </c>
      <c r="I7" s="38">
        <f>Tabla1[[#This Row],[VALOR]]-50000</f>
        <v>820000</v>
      </c>
      <c r="J7" s="1" t="s">
        <v>8</v>
      </c>
      <c r="K7" s="2" t="s">
        <v>87</v>
      </c>
      <c r="N7" s="44" t="s">
        <v>125</v>
      </c>
      <c r="O7" s="45">
        <v>15150000</v>
      </c>
    </row>
    <row r="8" spans="1:15" ht="15" customHeight="1" x14ac:dyDescent="0.25">
      <c r="A8" s="2">
        <v>7</v>
      </c>
      <c r="B8" s="1">
        <v>10</v>
      </c>
      <c r="C8" s="30" t="s">
        <v>14</v>
      </c>
      <c r="D8" s="2" t="s">
        <v>6</v>
      </c>
      <c r="E8" s="3">
        <v>41632626</v>
      </c>
      <c r="F8" s="4">
        <v>18127</v>
      </c>
      <c r="G8" s="2" t="s">
        <v>15</v>
      </c>
      <c r="H8" s="38">
        <v>870000</v>
      </c>
      <c r="I8" s="38">
        <f>Tabla1[[#This Row],[VALOR]]-50000</f>
        <v>820000</v>
      </c>
      <c r="J8" s="1" t="s">
        <v>8</v>
      </c>
      <c r="K8" s="2" t="s">
        <v>87</v>
      </c>
      <c r="L8" s="37" t="s">
        <v>93</v>
      </c>
      <c r="N8" s="56" t="s">
        <v>110</v>
      </c>
      <c r="O8" s="57">
        <v>2990000</v>
      </c>
    </row>
    <row r="9" spans="1:15" ht="15" customHeight="1" x14ac:dyDescent="0.25">
      <c r="A9" s="2">
        <v>8</v>
      </c>
      <c r="B9" s="1">
        <v>11</v>
      </c>
      <c r="C9" s="30" t="s">
        <v>64</v>
      </c>
      <c r="D9" s="2" t="s">
        <v>6</v>
      </c>
      <c r="E9" s="3">
        <v>52191318</v>
      </c>
      <c r="F9" s="4">
        <v>27432</v>
      </c>
      <c r="G9" s="2" t="s">
        <v>65</v>
      </c>
      <c r="H9" s="38">
        <v>870000</v>
      </c>
      <c r="I9" s="38">
        <f>Tabla1[[#This Row],[VALOR]]-50000</f>
        <v>820000</v>
      </c>
      <c r="J9" s="1" t="s">
        <v>8</v>
      </c>
      <c r="K9" s="2" t="s">
        <v>87</v>
      </c>
      <c r="L9" s="37"/>
      <c r="N9" s="56"/>
      <c r="O9" s="57"/>
    </row>
    <row r="10" spans="1:15" x14ac:dyDescent="0.25">
      <c r="A10" s="2">
        <v>9</v>
      </c>
      <c r="B10" s="1">
        <v>12</v>
      </c>
      <c r="C10" s="30" t="s">
        <v>16</v>
      </c>
      <c r="D10" s="2" t="s">
        <v>6</v>
      </c>
      <c r="E10" s="3">
        <v>51859091</v>
      </c>
      <c r="F10" s="4">
        <v>24535</v>
      </c>
      <c r="G10" s="2" t="s">
        <v>17</v>
      </c>
      <c r="H10" s="38">
        <v>870000</v>
      </c>
      <c r="I10" s="38">
        <f>Tabla1[[#This Row],[VALOR]]-50000</f>
        <v>820000</v>
      </c>
      <c r="J10" s="1" t="s">
        <v>8</v>
      </c>
      <c r="K10" s="2" t="s">
        <v>87</v>
      </c>
      <c r="N10" s="56" t="s">
        <v>111</v>
      </c>
      <c r="O10" s="57">
        <v>4550000</v>
      </c>
    </row>
    <row r="11" spans="1:15" ht="15" customHeight="1" x14ac:dyDescent="0.25">
      <c r="A11" s="2">
        <v>10</v>
      </c>
      <c r="B11" s="1">
        <v>13</v>
      </c>
      <c r="C11" s="30" t="s">
        <v>18</v>
      </c>
      <c r="D11" s="2" t="s">
        <v>6</v>
      </c>
      <c r="E11" s="3">
        <v>79696846</v>
      </c>
      <c r="F11" s="4">
        <v>26767</v>
      </c>
      <c r="G11" s="2"/>
      <c r="H11" s="38">
        <v>870000</v>
      </c>
      <c r="I11" s="38">
        <f>Tabla1[[#This Row],[VALOR]]-50000</f>
        <v>820000</v>
      </c>
      <c r="J11" s="1" t="s">
        <v>24</v>
      </c>
      <c r="K11" s="2"/>
      <c r="N11" s="56"/>
      <c r="O11" s="57"/>
    </row>
    <row r="12" spans="1:15" x14ac:dyDescent="0.25">
      <c r="A12" s="2">
        <v>11</v>
      </c>
      <c r="B12" s="1">
        <v>14</v>
      </c>
      <c r="C12" s="30" t="s">
        <v>19</v>
      </c>
      <c r="D12" s="2" t="s">
        <v>6</v>
      </c>
      <c r="E12" s="3">
        <v>20871965</v>
      </c>
      <c r="F12" s="4">
        <v>28248</v>
      </c>
      <c r="G12" s="2"/>
      <c r="H12" s="38">
        <v>870000</v>
      </c>
      <c r="I12" s="38">
        <f>Tabla1[[#This Row],[VALOR]]-50000</f>
        <v>820000</v>
      </c>
      <c r="J12" s="1" t="s">
        <v>24</v>
      </c>
      <c r="K12" s="2"/>
      <c r="N12" s="44" t="s">
        <v>112</v>
      </c>
      <c r="O12" s="45">
        <v>1300000</v>
      </c>
    </row>
    <row r="13" spans="1:15" x14ac:dyDescent="0.25">
      <c r="A13" s="2">
        <v>12</v>
      </c>
      <c r="B13" s="1">
        <v>15</v>
      </c>
      <c r="C13" s="30" t="s">
        <v>20</v>
      </c>
      <c r="D13" s="2" t="s">
        <v>9</v>
      </c>
      <c r="E13" s="3">
        <v>1073628976</v>
      </c>
      <c r="F13" s="4">
        <v>39792</v>
      </c>
      <c r="G13" s="2"/>
      <c r="H13" s="38">
        <v>870000</v>
      </c>
      <c r="I13" s="38">
        <f>Tabla1[[#This Row],[VALOR]]-50000</f>
        <v>820000</v>
      </c>
      <c r="J13" s="1" t="s">
        <v>24</v>
      </c>
      <c r="K13" s="2"/>
      <c r="N13" s="44" t="s">
        <v>113</v>
      </c>
      <c r="O13" s="45">
        <v>250000</v>
      </c>
    </row>
    <row r="14" spans="1:15" x14ac:dyDescent="0.25">
      <c r="A14" s="2">
        <v>13</v>
      </c>
      <c r="B14" s="1">
        <v>16</v>
      </c>
      <c r="C14" s="30" t="s">
        <v>21</v>
      </c>
      <c r="D14" s="2" t="s">
        <v>9</v>
      </c>
      <c r="E14" s="3">
        <v>107362963</v>
      </c>
      <c r="F14" s="4">
        <v>40225</v>
      </c>
      <c r="G14" s="2"/>
      <c r="H14" s="38">
        <v>870000</v>
      </c>
      <c r="I14" s="38">
        <f>Tabla1[[#This Row],[VALOR]]-50000</f>
        <v>820000</v>
      </c>
      <c r="J14" s="1" t="s">
        <v>24</v>
      </c>
      <c r="K14" s="2"/>
      <c r="N14" s="58" t="s">
        <v>114</v>
      </c>
      <c r="O14" s="59">
        <v>300000</v>
      </c>
    </row>
    <row r="15" spans="1:15" ht="15.75" thickBot="1" x14ac:dyDescent="0.3">
      <c r="A15" s="2">
        <v>14</v>
      </c>
      <c r="B15" s="1">
        <v>17</v>
      </c>
      <c r="C15" s="27" t="s">
        <v>67</v>
      </c>
      <c r="D15" s="2" t="s">
        <v>6</v>
      </c>
      <c r="E15" s="3">
        <v>3149195</v>
      </c>
      <c r="F15" s="4"/>
      <c r="G15" s="2"/>
      <c r="H15" s="38">
        <v>910000</v>
      </c>
      <c r="I15" s="38">
        <f>Tabla1[[#This Row],[VALOR]]-50000</f>
        <v>860000</v>
      </c>
      <c r="J15" s="1" t="s">
        <v>8</v>
      </c>
      <c r="K15" s="2"/>
      <c r="N15" s="62" t="s">
        <v>126</v>
      </c>
      <c r="O15" s="63">
        <v>611000</v>
      </c>
    </row>
    <row r="16" spans="1:15" ht="15.75" thickBot="1" x14ac:dyDescent="0.3">
      <c r="A16" s="2">
        <v>15</v>
      </c>
      <c r="B16" s="1">
        <v>18</v>
      </c>
      <c r="C16" s="27" t="s">
        <v>68</v>
      </c>
      <c r="D16" s="2" t="s">
        <v>6</v>
      </c>
      <c r="E16" s="3">
        <v>51661821</v>
      </c>
      <c r="G16" s="2"/>
      <c r="H16" s="38">
        <v>910000</v>
      </c>
      <c r="I16" s="38">
        <f>Tabla1[[#This Row],[VALOR]]-50000</f>
        <v>860000</v>
      </c>
      <c r="J16" s="1" t="s">
        <v>8</v>
      </c>
      <c r="K16" s="2"/>
      <c r="N16" s="64" t="s">
        <v>119</v>
      </c>
      <c r="O16" s="65">
        <f>SUM(O3:O14)</f>
        <v>48625000</v>
      </c>
    </row>
    <row r="17" spans="1:17" ht="15.75" thickBot="1" x14ac:dyDescent="0.3">
      <c r="A17" s="2">
        <v>16</v>
      </c>
      <c r="B17" s="10">
        <v>19</v>
      </c>
      <c r="C17" s="27" t="s">
        <v>22</v>
      </c>
      <c r="D17" s="17" t="s">
        <v>6</v>
      </c>
      <c r="E17" s="18">
        <v>1121879539</v>
      </c>
      <c r="F17" s="19">
        <v>33407</v>
      </c>
      <c r="G17" s="17"/>
      <c r="H17" s="38">
        <v>910000</v>
      </c>
      <c r="I17" s="39">
        <f>Tabla1[[#This Row],[VALOR]]-50000</f>
        <v>860000</v>
      </c>
      <c r="J17" s="10" t="s">
        <v>24</v>
      </c>
      <c r="K17" s="32"/>
      <c r="N17" s="64" t="s">
        <v>121</v>
      </c>
      <c r="O17" s="66">
        <f>Tabla1[[#Totals],[COMISION]]</f>
        <v>51850000</v>
      </c>
    </row>
    <row r="18" spans="1:17" x14ac:dyDescent="0.25">
      <c r="A18" s="2">
        <v>17</v>
      </c>
      <c r="B18" s="1">
        <v>20</v>
      </c>
      <c r="C18" s="27" t="s">
        <v>23</v>
      </c>
      <c r="D18" s="2" t="s">
        <v>6</v>
      </c>
      <c r="E18" s="3">
        <v>1072960146</v>
      </c>
      <c r="G18" s="2"/>
      <c r="H18" s="38">
        <v>910000</v>
      </c>
      <c r="I18" s="38">
        <f>Tabla1[[#This Row],[VALOR]]-50000</f>
        <v>860000</v>
      </c>
      <c r="J18" s="1" t="s">
        <v>24</v>
      </c>
      <c r="K18" s="2"/>
      <c r="N18" s="60" t="s">
        <v>122</v>
      </c>
      <c r="O18" s="61">
        <f>O17-O16</f>
        <v>3225000</v>
      </c>
    </row>
    <row r="19" spans="1:17" x14ac:dyDescent="0.25">
      <c r="A19" s="2">
        <v>18</v>
      </c>
      <c r="B19" s="1">
        <v>21</v>
      </c>
      <c r="C19" s="26" t="s">
        <v>25</v>
      </c>
      <c r="D19" s="2" t="s">
        <v>6</v>
      </c>
      <c r="E19" s="3">
        <v>11450535</v>
      </c>
      <c r="F19" s="4">
        <v>23265</v>
      </c>
      <c r="G19" s="2"/>
      <c r="H19" s="38">
        <v>870000</v>
      </c>
      <c r="I19" s="38">
        <f>Tabla1[[#This Row],[VALOR]]-50000</f>
        <v>820000</v>
      </c>
      <c r="J19" s="1" t="s">
        <v>24</v>
      </c>
      <c r="K19" s="2"/>
    </row>
    <row r="20" spans="1:17" s="23" customFormat="1" x14ac:dyDescent="0.25">
      <c r="A20" s="17">
        <v>19</v>
      </c>
      <c r="B20" s="10">
        <v>22</v>
      </c>
      <c r="C20" s="16" t="s">
        <v>26</v>
      </c>
      <c r="D20" s="17" t="s">
        <v>6</v>
      </c>
      <c r="E20" s="18">
        <v>53097389</v>
      </c>
      <c r="F20" s="19">
        <v>30889</v>
      </c>
      <c r="G20" s="17"/>
      <c r="H20" s="39">
        <v>870000</v>
      </c>
      <c r="I20" s="39">
        <f>Tabla1[[#This Row],[VALOR]]-50000</f>
        <v>820000</v>
      </c>
      <c r="J20" s="10" t="s">
        <v>24</v>
      </c>
      <c r="K20" s="17"/>
    </row>
    <row r="21" spans="1:17" x14ac:dyDescent="0.25">
      <c r="A21" s="2">
        <v>20</v>
      </c>
      <c r="B21" s="1">
        <v>23</v>
      </c>
      <c r="C21" s="26" t="s">
        <v>27</v>
      </c>
      <c r="D21" s="2" t="s">
        <v>9</v>
      </c>
      <c r="E21" s="3">
        <v>1073629019</v>
      </c>
      <c r="F21" s="4">
        <v>39892</v>
      </c>
      <c r="G21" s="2"/>
      <c r="H21" s="38">
        <v>870000</v>
      </c>
      <c r="I21" s="38">
        <f>Tabla1[[#This Row],[VALOR]]-50000</f>
        <v>820000</v>
      </c>
      <c r="J21" s="1" t="s">
        <v>24</v>
      </c>
      <c r="K21" s="2"/>
    </row>
    <row r="22" spans="1:17" x14ac:dyDescent="0.25">
      <c r="A22" s="2">
        <v>21</v>
      </c>
      <c r="B22" s="10">
        <v>24</v>
      </c>
      <c r="C22" s="28" t="s">
        <v>28</v>
      </c>
      <c r="D22" s="17" t="s">
        <v>74</v>
      </c>
      <c r="E22" s="17">
        <v>19379613</v>
      </c>
      <c r="F22" s="17"/>
      <c r="G22" s="17"/>
      <c r="H22" s="38">
        <v>870000</v>
      </c>
      <c r="I22" s="39">
        <f>Tabla1[[#This Row],[VALOR]]-50000</f>
        <v>820000</v>
      </c>
      <c r="J22" s="10" t="s">
        <v>29</v>
      </c>
      <c r="K22" s="17"/>
      <c r="N22" s="53" t="s">
        <v>117</v>
      </c>
      <c r="O22" s="53" t="s">
        <v>118</v>
      </c>
      <c r="P22" s="53" t="s">
        <v>115</v>
      </c>
      <c r="Q22" s="53" t="s">
        <v>119</v>
      </c>
    </row>
    <row r="23" spans="1:17" x14ac:dyDescent="0.25">
      <c r="A23" s="2">
        <v>22</v>
      </c>
      <c r="B23" s="10">
        <v>25</v>
      </c>
      <c r="C23" s="16" t="s">
        <v>101</v>
      </c>
      <c r="D23" s="17" t="s">
        <v>6</v>
      </c>
      <c r="E23" s="22">
        <v>21017485</v>
      </c>
      <c r="F23" s="17"/>
      <c r="G23" s="17"/>
      <c r="H23" s="38">
        <v>870000</v>
      </c>
      <c r="I23" s="39">
        <f>Tabla1[[#This Row],[VALOR]]-50000</f>
        <v>820000</v>
      </c>
      <c r="J23" s="10" t="s">
        <v>29</v>
      </c>
      <c r="K23" s="17"/>
      <c r="N23" s="49" t="s">
        <v>11</v>
      </c>
      <c r="O23" s="44">
        <v>23</v>
      </c>
      <c r="P23" s="45">
        <v>50000</v>
      </c>
      <c r="Q23" s="46">
        <f>P23*O23</f>
        <v>1150000</v>
      </c>
    </row>
    <row r="24" spans="1:17" x14ac:dyDescent="0.25">
      <c r="A24" s="2">
        <v>23</v>
      </c>
      <c r="B24" s="1">
        <v>26</v>
      </c>
      <c r="C24" s="26" t="s">
        <v>82</v>
      </c>
      <c r="D24" s="2" t="s">
        <v>6</v>
      </c>
      <c r="E24" s="3">
        <v>41678044</v>
      </c>
      <c r="F24" s="4"/>
      <c r="G24" s="2" t="s">
        <v>83</v>
      </c>
      <c r="H24" s="38">
        <v>870000</v>
      </c>
      <c r="I24" s="38">
        <f>Tabla1[[#This Row],[VALOR]]-50000</f>
        <v>820000</v>
      </c>
      <c r="J24" s="1" t="s">
        <v>8</v>
      </c>
      <c r="K24" s="2"/>
      <c r="N24" s="49" t="s">
        <v>24</v>
      </c>
      <c r="O24" s="44">
        <v>9</v>
      </c>
      <c r="P24" s="45">
        <v>50000</v>
      </c>
      <c r="Q24" s="46">
        <f>P24*O24</f>
        <v>450000</v>
      </c>
    </row>
    <row r="25" spans="1:17" s="23" customFormat="1" x14ac:dyDescent="0.25">
      <c r="A25" s="2">
        <v>24</v>
      </c>
      <c r="B25" s="10">
        <v>27</v>
      </c>
      <c r="C25" s="28" t="s">
        <v>30</v>
      </c>
      <c r="D25" s="17" t="s">
        <v>6</v>
      </c>
      <c r="E25" s="18">
        <v>20872197</v>
      </c>
      <c r="F25" s="17"/>
      <c r="G25" s="17"/>
      <c r="H25" s="38">
        <v>870000</v>
      </c>
      <c r="I25" s="39">
        <f>Tabla1[[#This Row],[VALOR]]-50000</f>
        <v>820000</v>
      </c>
      <c r="J25" s="10" t="s">
        <v>8</v>
      </c>
      <c r="K25" s="32"/>
      <c r="N25" s="50" t="s">
        <v>120</v>
      </c>
      <c r="O25" s="47">
        <v>1</v>
      </c>
      <c r="P25" s="54">
        <v>50000</v>
      </c>
      <c r="Q25" s="54">
        <f>P25*O25</f>
        <v>50000</v>
      </c>
    </row>
    <row r="26" spans="1:17" s="23" customFormat="1" x14ac:dyDescent="0.25">
      <c r="A26" s="2">
        <v>25</v>
      </c>
      <c r="B26" s="10">
        <v>28</v>
      </c>
      <c r="C26" s="28" t="s">
        <v>31</v>
      </c>
      <c r="D26" s="17" t="s">
        <v>9</v>
      </c>
      <c r="E26" s="18">
        <v>1073628694</v>
      </c>
      <c r="F26" s="17"/>
      <c r="G26" s="17"/>
      <c r="H26" s="38">
        <v>870000</v>
      </c>
      <c r="I26" s="39">
        <f>Tabla1[[#This Row],[VALOR]]-50000</f>
        <v>820000</v>
      </c>
      <c r="J26" s="10" t="s">
        <v>8</v>
      </c>
      <c r="K26" s="32"/>
      <c r="N26" s="50" t="s">
        <v>8</v>
      </c>
      <c r="O26" s="47">
        <v>23</v>
      </c>
      <c r="P26" s="45">
        <v>50000</v>
      </c>
      <c r="Q26" s="48">
        <f>P26*O26</f>
        <v>1150000</v>
      </c>
    </row>
    <row r="27" spans="1:17" x14ac:dyDescent="0.25">
      <c r="A27" s="2">
        <v>26</v>
      </c>
      <c r="B27" s="10">
        <v>29</v>
      </c>
      <c r="C27" s="28" t="s">
        <v>32</v>
      </c>
      <c r="D27" s="17" t="s">
        <v>9</v>
      </c>
      <c r="E27" s="18">
        <v>1073629959</v>
      </c>
      <c r="F27" s="17"/>
      <c r="G27" s="17"/>
      <c r="H27" s="39">
        <v>380000</v>
      </c>
      <c r="I27" s="39">
        <v>380000</v>
      </c>
      <c r="J27" s="35" t="s">
        <v>8</v>
      </c>
      <c r="K27" s="33">
        <v>380000</v>
      </c>
      <c r="N27" s="50" t="s">
        <v>29</v>
      </c>
      <c r="O27" s="47">
        <v>6</v>
      </c>
      <c r="P27" s="45">
        <v>50000</v>
      </c>
      <c r="Q27" s="48">
        <f>P27*O27</f>
        <v>300000</v>
      </c>
    </row>
    <row r="28" spans="1:17" s="5" customFormat="1" ht="16.5" customHeight="1" x14ac:dyDescent="0.25">
      <c r="A28" s="2"/>
      <c r="B28" s="24"/>
      <c r="C28" s="16" t="s">
        <v>33</v>
      </c>
      <c r="D28" s="17" t="s">
        <v>34</v>
      </c>
      <c r="E28" s="18">
        <v>1073063553</v>
      </c>
      <c r="F28" s="17"/>
      <c r="G28" s="17"/>
      <c r="H28" s="39">
        <v>40000</v>
      </c>
      <c r="I28" s="39">
        <v>40000</v>
      </c>
      <c r="J28" s="35" t="s">
        <v>8</v>
      </c>
      <c r="K28" s="33">
        <v>40000</v>
      </c>
      <c r="N28" s="49" t="s">
        <v>119</v>
      </c>
      <c r="O28" s="49">
        <f>SUM(O23:O27)</f>
        <v>62</v>
      </c>
      <c r="P28" s="51"/>
      <c r="Q28" s="52">
        <f>SUM(Q23:Q27)</f>
        <v>3100000</v>
      </c>
    </row>
    <row r="29" spans="1:17" s="5" customFormat="1" x14ac:dyDescent="0.25">
      <c r="A29" s="2">
        <v>27</v>
      </c>
      <c r="B29" s="1">
        <v>30</v>
      </c>
      <c r="C29" s="28" t="s">
        <v>70</v>
      </c>
      <c r="D29" s="2" t="s">
        <v>6</v>
      </c>
      <c r="E29" s="3">
        <v>21014466</v>
      </c>
      <c r="F29" s="2"/>
      <c r="G29" s="2"/>
      <c r="H29" s="38">
        <v>870000</v>
      </c>
      <c r="I29" s="38">
        <f>Tabla1[[#This Row],[VALOR]]-50000</f>
        <v>820000</v>
      </c>
      <c r="J29" s="1" t="s">
        <v>8</v>
      </c>
      <c r="K29" s="2"/>
    </row>
    <row r="30" spans="1:17" s="5" customFormat="1" x14ac:dyDescent="0.25">
      <c r="A30" s="2">
        <v>28</v>
      </c>
      <c r="B30" s="1">
        <v>31</v>
      </c>
      <c r="C30" s="28" t="s">
        <v>71</v>
      </c>
      <c r="D30" s="2" t="s">
        <v>6</v>
      </c>
      <c r="E30" s="3">
        <v>11451651</v>
      </c>
      <c r="F30" s="2"/>
      <c r="G30" s="2"/>
      <c r="H30" s="38">
        <v>850000</v>
      </c>
      <c r="I30" s="38">
        <f>Tabla1[[#This Row],[VALOR]]-50000</f>
        <v>800000</v>
      </c>
      <c r="J30" s="1" t="s">
        <v>8</v>
      </c>
      <c r="K30" s="2"/>
      <c r="L30" s="5" t="s">
        <v>90</v>
      </c>
    </row>
    <row r="31" spans="1:17" s="5" customFormat="1" ht="12" customHeight="1" x14ac:dyDescent="0.25">
      <c r="A31" s="2">
        <v>29</v>
      </c>
      <c r="B31" s="1">
        <v>32</v>
      </c>
      <c r="C31" s="14" t="s">
        <v>92</v>
      </c>
      <c r="D31" s="2" t="s">
        <v>6</v>
      </c>
      <c r="E31" s="3">
        <v>20871013</v>
      </c>
      <c r="F31" s="4"/>
      <c r="G31" s="2"/>
      <c r="H31" s="38">
        <v>870000</v>
      </c>
      <c r="I31" s="38">
        <f>Tabla1[[#This Row],[VALOR]]-50000</f>
        <v>820000</v>
      </c>
      <c r="J31" s="1" t="s">
        <v>11</v>
      </c>
      <c r="K31" s="2"/>
    </row>
    <row r="32" spans="1:17" x14ac:dyDescent="0.25">
      <c r="A32" s="2">
        <v>30</v>
      </c>
      <c r="B32" s="1">
        <v>33</v>
      </c>
      <c r="C32" s="16" t="s">
        <v>100</v>
      </c>
      <c r="D32" s="17" t="s">
        <v>6</v>
      </c>
      <c r="E32" s="18">
        <v>21017346</v>
      </c>
      <c r="F32" s="17"/>
      <c r="G32" s="17"/>
      <c r="H32" s="38">
        <v>870000</v>
      </c>
      <c r="I32" s="39">
        <f>Tabla1[[#This Row],[VALOR]]-50000</f>
        <v>820000</v>
      </c>
      <c r="J32" s="10" t="s">
        <v>29</v>
      </c>
      <c r="K32" s="32"/>
    </row>
    <row r="33" spans="1:15" x14ac:dyDescent="0.25">
      <c r="A33" s="2">
        <v>31</v>
      </c>
      <c r="B33" s="1">
        <v>34</v>
      </c>
      <c r="C33" s="30" t="s">
        <v>35</v>
      </c>
      <c r="D33" s="2" t="s">
        <v>6</v>
      </c>
      <c r="E33" s="3">
        <v>1075629552</v>
      </c>
      <c r="F33" s="4">
        <v>35608</v>
      </c>
      <c r="G33" s="2"/>
      <c r="H33" s="38">
        <v>870000</v>
      </c>
      <c r="I33" s="38">
        <f>Tabla1[[#This Row],[VALOR]]-50000</f>
        <v>820000</v>
      </c>
      <c r="J33" s="1" t="s">
        <v>29</v>
      </c>
      <c r="K33" s="2"/>
    </row>
    <row r="34" spans="1:15" x14ac:dyDescent="0.25">
      <c r="A34" s="2">
        <v>32</v>
      </c>
      <c r="B34" s="1">
        <v>35</v>
      </c>
      <c r="C34" s="30" t="s">
        <v>36</v>
      </c>
      <c r="D34" s="2" t="s">
        <v>6</v>
      </c>
      <c r="E34" s="3">
        <v>21016197</v>
      </c>
      <c r="F34" s="4">
        <v>24230</v>
      </c>
      <c r="G34" s="2"/>
      <c r="H34" s="38">
        <v>870000</v>
      </c>
      <c r="I34" s="38">
        <f>Tabla1[[#This Row],[VALOR]]-50000</f>
        <v>820000</v>
      </c>
      <c r="J34" s="1" t="s">
        <v>29</v>
      </c>
      <c r="K34" s="2"/>
    </row>
    <row r="35" spans="1:15" s="5" customFormat="1" x14ac:dyDescent="0.25">
      <c r="A35" s="2">
        <v>33</v>
      </c>
      <c r="B35" s="1">
        <v>36</v>
      </c>
      <c r="C35" s="30" t="s">
        <v>94</v>
      </c>
      <c r="D35" s="2" t="s">
        <v>6</v>
      </c>
      <c r="E35" s="3">
        <v>21017698</v>
      </c>
      <c r="F35" s="2"/>
      <c r="G35" s="2" t="s">
        <v>61</v>
      </c>
      <c r="H35" s="38">
        <v>870000</v>
      </c>
      <c r="I35" s="38">
        <f>Tabla1[[#This Row],[VALOR]]-50000</f>
        <v>820000</v>
      </c>
      <c r="J35" s="1" t="s">
        <v>29</v>
      </c>
      <c r="K35" s="2"/>
    </row>
    <row r="36" spans="1:15" x14ac:dyDescent="0.25">
      <c r="A36" s="2">
        <v>34</v>
      </c>
      <c r="B36" s="1">
        <v>37</v>
      </c>
      <c r="C36" s="31" t="s">
        <v>76</v>
      </c>
      <c r="D36" s="2" t="s">
        <v>6</v>
      </c>
      <c r="E36" s="3">
        <v>21017230</v>
      </c>
      <c r="G36" s="2" t="s">
        <v>79</v>
      </c>
      <c r="H36" s="38">
        <v>870000</v>
      </c>
      <c r="I36" s="38">
        <f>Tabla1[[#This Row],[VALOR]]-50000</f>
        <v>820000</v>
      </c>
      <c r="J36" s="1" t="s">
        <v>11</v>
      </c>
      <c r="K36" s="2"/>
    </row>
    <row r="37" spans="1:15" x14ac:dyDescent="0.25">
      <c r="A37" s="2">
        <v>35</v>
      </c>
      <c r="B37" s="1">
        <v>38</v>
      </c>
      <c r="C37" s="27" t="s">
        <v>77</v>
      </c>
      <c r="D37" s="2" t="s">
        <v>6</v>
      </c>
      <c r="E37" s="3">
        <v>1193518169</v>
      </c>
      <c r="G37" s="2" t="s">
        <v>80</v>
      </c>
      <c r="H37" s="38">
        <v>910000</v>
      </c>
      <c r="I37" s="38">
        <f>Tabla1[[#This Row],[VALOR]]-50000</f>
        <v>860000</v>
      </c>
      <c r="J37" s="1" t="s">
        <v>11</v>
      </c>
      <c r="K37" s="2"/>
    </row>
    <row r="38" spans="1:15" x14ac:dyDescent="0.25">
      <c r="A38" s="2">
        <v>36</v>
      </c>
      <c r="B38" s="1">
        <v>39</v>
      </c>
      <c r="C38" s="27" t="s">
        <v>78</v>
      </c>
      <c r="D38" s="2" t="s">
        <v>6</v>
      </c>
      <c r="E38" s="3">
        <v>1192802338</v>
      </c>
      <c r="G38" s="2" t="s">
        <v>81</v>
      </c>
      <c r="H38" s="38">
        <v>910000</v>
      </c>
      <c r="I38" s="38">
        <f>Tabla1[[#This Row],[VALOR]]-50000</f>
        <v>860000</v>
      </c>
      <c r="J38" s="1" t="s">
        <v>11</v>
      </c>
      <c r="K38" s="2"/>
    </row>
    <row r="39" spans="1:15" x14ac:dyDescent="0.25">
      <c r="A39" s="2">
        <v>37</v>
      </c>
      <c r="B39" s="1">
        <v>40</v>
      </c>
      <c r="C39" s="27" t="s">
        <v>69</v>
      </c>
      <c r="D39" s="2" t="s">
        <v>6</v>
      </c>
      <c r="E39" s="3">
        <v>19370950</v>
      </c>
      <c r="F39" s="4">
        <v>21758</v>
      </c>
      <c r="G39" s="2"/>
      <c r="H39" s="38">
        <v>900000</v>
      </c>
      <c r="I39" s="38">
        <f>Tabla1[[#This Row],[VALOR]]-50000</f>
        <v>850000</v>
      </c>
      <c r="J39" s="1" t="s">
        <v>59</v>
      </c>
      <c r="K39" s="2"/>
    </row>
    <row r="40" spans="1:15" x14ac:dyDescent="0.25">
      <c r="A40" s="2">
        <v>38</v>
      </c>
      <c r="B40" s="1">
        <v>41</v>
      </c>
      <c r="C40" s="27" t="s">
        <v>58</v>
      </c>
      <c r="D40" s="2" t="s">
        <v>6</v>
      </c>
      <c r="E40" s="3">
        <v>21016369</v>
      </c>
      <c r="F40" s="4">
        <v>25130</v>
      </c>
      <c r="G40" s="2"/>
      <c r="H40" s="38">
        <v>900000</v>
      </c>
      <c r="I40" s="38">
        <f>Tabla1[[#This Row],[VALOR]]-50000</f>
        <v>850000</v>
      </c>
      <c r="J40" s="1" t="s">
        <v>59</v>
      </c>
      <c r="K40" s="2"/>
      <c r="M40" t="s">
        <v>91</v>
      </c>
      <c r="N40">
        <v>12</v>
      </c>
      <c r="O40">
        <v>9</v>
      </c>
    </row>
    <row r="41" spans="1:15" ht="15.75" thickBot="1" x14ac:dyDescent="0.3">
      <c r="A41" s="8"/>
      <c r="B41" s="6">
        <v>42</v>
      </c>
      <c r="C41" s="12"/>
      <c r="D41" s="8"/>
      <c r="E41" s="8"/>
      <c r="F41" s="8"/>
      <c r="G41" s="8"/>
      <c r="H41" s="40"/>
      <c r="I41" s="40">
        <v>0</v>
      </c>
      <c r="J41" s="6"/>
      <c r="K41" s="8"/>
      <c r="M41" t="s">
        <v>87</v>
      </c>
      <c r="N41">
        <v>7</v>
      </c>
    </row>
    <row r="42" spans="1:15" x14ac:dyDescent="0.25">
      <c r="A42" s="2">
        <v>39</v>
      </c>
      <c r="B42" s="1">
        <v>1</v>
      </c>
      <c r="C42" s="28" t="s">
        <v>84</v>
      </c>
      <c r="G42" s="2"/>
      <c r="H42" s="38">
        <v>0</v>
      </c>
      <c r="I42" s="38">
        <v>0</v>
      </c>
      <c r="J42" s="35"/>
      <c r="K42" s="2"/>
      <c r="L42" s="15"/>
    </row>
    <row r="43" spans="1:15" x14ac:dyDescent="0.25">
      <c r="A43" s="2">
        <v>40</v>
      </c>
      <c r="B43" s="1">
        <v>2</v>
      </c>
      <c r="C43" s="26" t="s">
        <v>105</v>
      </c>
      <c r="G43" s="2"/>
      <c r="H43" s="38">
        <v>0</v>
      </c>
      <c r="I43" s="38">
        <v>0</v>
      </c>
      <c r="J43" s="35"/>
      <c r="K43" s="2"/>
    </row>
    <row r="44" spans="1:15" s="7" customFormat="1" ht="15.75" thickBot="1" x14ac:dyDescent="0.3">
      <c r="A44" s="2">
        <v>41</v>
      </c>
      <c r="B44" s="1">
        <v>3</v>
      </c>
      <c r="C44" s="26" t="s">
        <v>85</v>
      </c>
      <c r="D44" s="2"/>
      <c r="E44" s="2"/>
      <c r="F44" s="2"/>
      <c r="G44" s="2"/>
      <c r="H44" s="38">
        <v>0</v>
      </c>
      <c r="I44" s="38">
        <v>0</v>
      </c>
      <c r="J44" s="35"/>
      <c r="K44" s="2"/>
    </row>
    <row r="45" spans="1:15" x14ac:dyDescent="0.25">
      <c r="A45" s="2">
        <v>42</v>
      </c>
      <c r="B45" s="1">
        <v>4</v>
      </c>
      <c r="C45" s="26" t="s">
        <v>86</v>
      </c>
      <c r="G45" s="2"/>
      <c r="H45" s="38">
        <v>0</v>
      </c>
      <c r="I45" s="38">
        <v>0</v>
      </c>
      <c r="J45" s="35"/>
      <c r="K45" s="2"/>
    </row>
    <row r="46" spans="1:15" x14ac:dyDescent="0.25">
      <c r="A46" s="2">
        <v>43</v>
      </c>
      <c r="B46" s="1">
        <v>5</v>
      </c>
      <c r="C46" s="27" t="s">
        <v>37</v>
      </c>
      <c r="D46" s="2" t="s">
        <v>6</v>
      </c>
      <c r="E46" s="3">
        <v>41746576</v>
      </c>
      <c r="F46" s="4">
        <v>21242</v>
      </c>
      <c r="G46" s="2" t="s">
        <v>38</v>
      </c>
      <c r="H46" s="38">
        <v>870000</v>
      </c>
      <c r="I46" s="38">
        <f>Tabla1[[#This Row],[VALOR]]-50000</f>
        <v>820000</v>
      </c>
      <c r="J46" s="1" t="s">
        <v>8</v>
      </c>
      <c r="K46" s="2"/>
    </row>
    <row r="47" spans="1:15" x14ac:dyDescent="0.25">
      <c r="A47" s="2">
        <v>44</v>
      </c>
      <c r="B47" s="1">
        <v>6</v>
      </c>
      <c r="C47" s="27" t="s">
        <v>39</v>
      </c>
      <c r="D47" s="2" t="s">
        <v>6</v>
      </c>
      <c r="E47" s="3">
        <v>178827</v>
      </c>
      <c r="F47" s="4">
        <v>21002</v>
      </c>
      <c r="G47" s="2" t="s">
        <v>40</v>
      </c>
      <c r="H47" s="38">
        <v>870000</v>
      </c>
      <c r="I47" s="38">
        <f>Tabla1[[#This Row],[VALOR]]-50000</f>
        <v>820000</v>
      </c>
      <c r="J47" s="1" t="s">
        <v>8</v>
      </c>
      <c r="K47" s="2"/>
    </row>
    <row r="48" spans="1:15" x14ac:dyDescent="0.25">
      <c r="A48" s="2"/>
      <c r="B48" s="1">
        <v>7</v>
      </c>
      <c r="C48" s="31"/>
      <c r="G48" s="2"/>
      <c r="H48" s="38">
        <v>0</v>
      </c>
      <c r="I48" s="38">
        <v>0</v>
      </c>
      <c r="J48" s="1"/>
      <c r="K48" s="2"/>
    </row>
    <row r="49" spans="1:13" x14ac:dyDescent="0.25">
      <c r="A49" s="2">
        <v>45</v>
      </c>
      <c r="B49" s="1">
        <v>8</v>
      </c>
      <c r="C49" s="11" t="s">
        <v>97</v>
      </c>
      <c r="D49" s="2" t="s">
        <v>6</v>
      </c>
      <c r="E49" s="2" t="s">
        <v>98</v>
      </c>
      <c r="G49" s="2"/>
      <c r="H49" s="38">
        <v>1050000</v>
      </c>
      <c r="I49" s="38">
        <f>Tabla1[[#This Row],[VALOR]]-50000</f>
        <v>1000000</v>
      </c>
      <c r="J49" s="1" t="s">
        <v>8</v>
      </c>
      <c r="K49" s="2"/>
    </row>
    <row r="50" spans="1:13" x14ac:dyDescent="0.25">
      <c r="A50" s="2">
        <v>46</v>
      </c>
      <c r="B50" s="1">
        <v>9</v>
      </c>
      <c r="C50" s="11" t="s">
        <v>99</v>
      </c>
      <c r="D50" s="2" t="s">
        <v>6</v>
      </c>
      <c r="E50" s="2">
        <v>1015458343</v>
      </c>
      <c r="G50" s="2"/>
      <c r="H50" s="38">
        <v>870000</v>
      </c>
      <c r="I50" s="38">
        <f>Tabla1[[#This Row],[VALOR]]-50000</f>
        <v>820000</v>
      </c>
      <c r="J50" s="1" t="s">
        <v>8</v>
      </c>
      <c r="K50" s="2"/>
    </row>
    <row r="51" spans="1:13" x14ac:dyDescent="0.25">
      <c r="A51" s="2">
        <v>47</v>
      </c>
      <c r="B51" s="1">
        <v>10</v>
      </c>
      <c r="C51" s="11" t="s">
        <v>102</v>
      </c>
      <c r="D51" s="2" t="s">
        <v>6</v>
      </c>
      <c r="E51" s="2">
        <v>39560098</v>
      </c>
      <c r="G51" s="2"/>
      <c r="H51" s="38">
        <v>870000</v>
      </c>
      <c r="I51" s="38">
        <f>Tabla1[[#This Row],[VALOR]]-50000</f>
        <v>820000</v>
      </c>
      <c r="J51" s="1" t="s">
        <v>8</v>
      </c>
      <c r="K51" s="2"/>
    </row>
    <row r="52" spans="1:13" x14ac:dyDescent="0.25">
      <c r="A52" s="2">
        <v>48</v>
      </c>
      <c r="B52" s="1">
        <v>11</v>
      </c>
      <c r="C52" s="11" t="s">
        <v>103</v>
      </c>
      <c r="D52" s="2" t="s">
        <v>6</v>
      </c>
      <c r="E52" s="2">
        <v>1072961728</v>
      </c>
      <c r="G52" s="2"/>
      <c r="H52" s="38">
        <v>870000</v>
      </c>
      <c r="I52" s="38">
        <f>Tabla1[[#This Row],[VALOR]]-50000</f>
        <v>820000</v>
      </c>
      <c r="J52" s="1" t="s">
        <v>8</v>
      </c>
      <c r="K52" s="2"/>
    </row>
    <row r="53" spans="1:13" x14ac:dyDescent="0.25">
      <c r="A53" s="2">
        <v>49</v>
      </c>
      <c r="B53" s="1">
        <v>12</v>
      </c>
      <c r="C53" s="28" t="s">
        <v>41</v>
      </c>
      <c r="D53" s="34" t="s">
        <v>6</v>
      </c>
      <c r="E53" s="34">
        <v>11450718</v>
      </c>
      <c r="G53" s="2"/>
      <c r="H53" s="38">
        <v>870000</v>
      </c>
      <c r="I53" s="38">
        <f>Tabla1[[#This Row],[VALOR]]-50000</f>
        <v>820000</v>
      </c>
      <c r="J53" s="1" t="s">
        <v>8</v>
      </c>
      <c r="K53" s="2"/>
    </row>
    <row r="54" spans="1:13" x14ac:dyDescent="0.25">
      <c r="A54" s="2">
        <v>50</v>
      </c>
      <c r="B54" s="1">
        <v>13</v>
      </c>
      <c r="C54" s="28" t="s">
        <v>42</v>
      </c>
      <c r="D54" s="34" t="s">
        <v>6</v>
      </c>
      <c r="E54" s="34">
        <v>1070584824</v>
      </c>
      <c r="G54" s="2"/>
      <c r="H54" s="38">
        <v>870000</v>
      </c>
      <c r="I54" s="38">
        <f>Tabla1[[#This Row],[VALOR]]-50000</f>
        <v>820000</v>
      </c>
      <c r="J54" s="1" t="s">
        <v>8</v>
      </c>
      <c r="K54" s="2"/>
    </row>
    <row r="55" spans="1:13" x14ac:dyDescent="0.25">
      <c r="A55" s="2"/>
      <c r="B55" s="35">
        <v>14</v>
      </c>
      <c r="C55" s="5" t="s">
        <v>106</v>
      </c>
      <c r="D55" s="35" t="s">
        <v>34</v>
      </c>
      <c r="E55" s="35">
        <v>1072433005</v>
      </c>
      <c r="F55" s="32"/>
      <c r="G55" s="32"/>
      <c r="H55" s="41">
        <v>50000</v>
      </c>
      <c r="I55" s="41">
        <v>50000</v>
      </c>
      <c r="J55" s="35" t="s">
        <v>8</v>
      </c>
      <c r="K55" s="32"/>
    </row>
    <row r="56" spans="1:13" x14ac:dyDescent="0.25">
      <c r="A56" s="2"/>
      <c r="B56" s="1">
        <v>15</v>
      </c>
      <c r="C56" s="30"/>
      <c r="E56" s="3"/>
      <c r="F56" s="4"/>
      <c r="G56" s="2"/>
      <c r="H56" s="38">
        <v>0</v>
      </c>
      <c r="I56" s="38">
        <v>0</v>
      </c>
      <c r="J56" s="1"/>
      <c r="K56" s="2"/>
    </row>
    <row r="57" spans="1:13" x14ac:dyDescent="0.25">
      <c r="A57" s="2">
        <v>51</v>
      </c>
      <c r="B57" s="1">
        <v>16</v>
      </c>
      <c r="C57" s="30" t="s">
        <v>44</v>
      </c>
      <c r="D57" s="2" t="s">
        <v>6</v>
      </c>
      <c r="E57" s="3">
        <v>20871256</v>
      </c>
      <c r="F57" s="4">
        <v>22954</v>
      </c>
      <c r="G57" s="2"/>
      <c r="H57" s="38">
        <v>870000</v>
      </c>
      <c r="I57" s="38">
        <f>Tabla1[[#This Row],[VALOR]]-50000</f>
        <v>820000</v>
      </c>
      <c r="J57" s="1" t="s">
        <v>11</v>
      </c>
      <c r="K57" s="2"/>
    </row>
    <row r="58" spans="1:13" x14ac:dyDescent="0.25">
      <c r="A58" s="2">
        <v>52</v>
      </c>
      <c r="B58" s="1">
        <v>17</v>
      </c>
      <c r="C58" s="26" t="s">
        <v>43</v>
      </c>
      <c r="D58" s="2" t="s">
        <v>6</v>
      </c>
      <c r="E58" s="3">
        <v>20871030</v>
      </c>
      <c r="F58" s="4">
        <v>22387</v>
      </c>
      <c r="G58" s="2"/>
      <c r="H58" s="38">
        <v>870000</v>
      </c>
      <c r="I58" s="38">
        <f>Tabla1[[#This Row],[VALOR]]-50000</f>
        <v>820000</v>
      </c>
      <c r="J58" s="1" t="s">
        <v>11</v>
      </c>
      <c r="K58" s="2"/>
      <c r="L58" s="5" t="s">
        <v>107</v>
      </c>
      <c r="M58" s="36">
        <v>50000</v>
      </c>
    </row>
    <row r="59" spans="1:13" x14ac:dyDescent="0.25">
      <c r="A59" s="2">
        <v>53</v>
      </c>
      <c r="B59" s="1">
        <v>18</v>
      </c>
      <c r="C59" s="26" t="s">
        <v>45</v>
      </c>
      <c r="D59" s="2" t="s">
        <v>6</v>
      </c>
      <c r="E59" s="3">
        <v>39612927</v>
      </c>
      <c r="F59" s="4">
        <v>22635</v>
      </c>
      <c r="G59" s="2"/>
      <c r="H59" s="38">
        <v>870000</v>
      </c>
      <c r="I59" s="38">
        <f>Tabla1[[#This Row],[VALOR]]-50000</f>
        <v>820000</v>
      </c>
      <c r="J59" s="1" t="s">
        <v>11</v>
      </c>
      <c r="K59" s="2"/>
    </row>
    <row r="60" spans="1:13" x14ac:dyDescent="0.25">
      <c r="A60" s="2">
        <v>54</v>
      </c>
      <c r="B60" s="1">
        <v>19</v>
      </c>
      <c r="C60" s="30" t="s">
        <v>72</v>
      </c>
      <c r="D60" s="2" t="s">
        <v>6</v>
      </c>
      <c r="E60" s="3">
        <v>52094200</v>
      </c>
      <c r="F60" s="4">
        <v>27346</v>
      </c>
      <c r="G60" s="2"/>
      <c r="H60" s="38">
        <v>870000</v>
      </c>
      <c r="I60" s="38">
        <f>Tabla1[[#This Row],[VALOR]]-50000</f>
        <v>820000</v>
      </c>
      <c r="J60" s="1" t="s">
        <v>11</v>
      </c>
      <c r="K60" s="2"/>
    </row>
    <row r="61" spans="1:13" x14ac:dyDescent="0.25">
      <c r="A61" s="2"/>
      <c r="B61" s="1">
        <v>20</v>
      </c>
      <c r="C61" s="13"/>
      <c r="E61" s="3"/>
      <c r="F61" s="4"/>
      <c r="G61" s="2"/>
      <c r="H61" s="38">
        <v>0</v>
      </c>
      <c r="I61" s="38">
        <v>0</v>
      </c>
      <c r="J61" s="1"/>
      <c r="K61" s="2"/>
    </row>
    <row r="62" spans="1:13" x14ac:dyDescent="0.25">
      <c r="A62" s="2">
        <v>55</v>
      </c>
      <c r="B62" s="1">
        <v>21</v>
      </c>
      <c r="C62" s="30" t="s">
        <v>73</v>
      </c>
      <c r="D62" s="2" t="s">
        <v>6</v>
      </c>
      <c r="E62" s="3">
        <v>39561224</v>
      </c>
      <c r="F62" s="9">
        <v>45162</v>
      </c>
      <c r="G62" s="2"/>
      <c r="H62" s="38">
        <v>870000</v>
      </c>
      <c r="I62" s="38">
        <f>Tabla1[[#This Row],[VALOR]]-50000</f>
        <v>820000</v>
      </c>
      <c r="J62" s="1" t="s">
        <v>11</v>
      </c>
      <c r="K62" s="2"/>
    </row>
    <row r="63" spans="1:13" x14ac:dyDescent="0.25">
      <c r="A63" s="2">
        <v>56</v>
      </c>
      <c r="B63" s="1">
        <v>22</v>
      </c>
      <c r="C63" s="30" t="s">
        <v>55</v>
      </c>
      <c r="D63" s="20" t="s">
        <v>6</v>
      </c>
      <c r="E63" s="21">
        <v>52167704</v>
      </c>
      <c r="G63" s="2"/>
      <c r="H63" s="38">
        <v>870000</v>
      </c>
      <c r="I63" s="38">
        <f>Tabla1[[#This Row],[VALOR]]-50000</f>
        <v>820000</v>
      </c>
      <c r="J63" s="1" t="s">
        <v>11</v>
      </c>
      <c r="K63" s="2"/>
    </row>
    <row r="64" spans="1:13" x14ac:dyDescent="0.25">
      <c r="A64" s="2">
        <v>57</v>
      </c>
      <c r="B64" s="1">
        <v>23</v>
      </c>
      <c r="C64" s="30" t="s">
        <v>60</v>
      </c>
      <c r="D64" s="2" t="s">
        <v>6</v>
      </c>
      <c r="E64" s="3">
        <v>20871245</v>
      </c>
      <c r="F64" s="9">
        <v>45167</v>
      </c>
      <c r="G64" s="2"/>
      <c r="H64" s="38">
        <v>870000</v>
      </c>
      <c r="I64" s="38">
        <f>Tabla1[[#This Row],[VALOR]]-50000</f>
        <v>820000</v>
      </c>
      <c r="J64" s="1" t="s">
        <v>11</v>
      </c>
      <c r="K64" s="2"/>
    </row>
    <row r="65" spans="1:11" x14ac:dyDescent="0.25">
      <c r="A65" s="2">
        <v>58</v>
      </c>
      <c r="B65" s="1">
        <v>24</v>
      </c>
      <c r="C65" s="30" t="s">
        <v>46</v>
      </c>
      <c r="D65" s="2" t="s">
        <v>6</v>
      </c>
      <c r="E65" s="3">
        <v>1073629894</v>
      </c>
      <c r="F65" s="4">
        <v>34702</v>
      </c>
      <c r="G65" s="2"/>
      <c r="H65" s="38">
        <v>870000</v>
      </c>
      <c r="I65" s="38">
        <f>Tabla1[[#This Row],[VALOR]]-50000</f>
        <v>820000</v>
      </c>
      <c r="J65" s="1" t="s">
        <v>11</v>
      </c>
      <c r="K65" s="2"/>
    </row>
    <row r="66" spans="1:11" x14ac:dyDescent="0.25">
      <c r="A66" s="2"/>
      <c r="B66" s="1">
        <v>25</v>
      </c>
      <c r="C66" s="30"/>
      <c r="E66" s="3"/>
      <c r="F66" s="4"/>
      <c r="G66" s="2"/>
      <c r="H66" s="38">
        <v>0</v>
      </c>
      <c r="I66" s="38">
        <v>0</v>
      </c>
      <c r="J66" s="1"/>
      <c r="K66" s="2"/>
    </row>
    <row r="67" spans="1:11" x14ac:dyDescent="0.25">
      <c r="A67" s="2">
        <v>59</v>
      </c>
      <c r="B67" s="1">
        <v>26</v>
      </c>
      <c r="C67" s="30" t="s">
        <v>47</v>
      </c>
      <c r="D67" s="2" t="s">
        <v>6</v>
      </c>
      <c r="E67" s="3">
        <v>1007159576</v>
      </c>
      <c r="G67" s="2"/>
      <c r="H67" s="38">
        <v>870000</v>
      </c>
      <c r="I67" s="38">
        <f>Tabla1[[#This Row],[VALOR]]-50000</f>
        <v>820000</v>
      </c>
      <c r="J67" s="1" t="s">
        <v>11</v>
      </c>
      <c r="K67" s="2"/>
    </row>
    <row r="68" spans="1:11" x14ac:dyDescent="0.25">
      <c r="A68" s="2">
        <v>60</v>
      </c>
      <c r="B68" s="1">
        <v>27</v>
      </c>
      <c r="C68" s="30" t="s">
        <v>48</v>
      </c>
      <c r="D68" s="2" t="s">
        <v>6</v>
      </c>
      <c r="E68" s="3">
        <v>1073629612</v>
      </c>
      <c r="F68" s="4">
        <v>40120</v>
      </c>
      <c r="G68" s="2"/>
      <c r="H68" s="38">
        <v>870000</v>
      </c>
      <c r="I68" s="38">
        <f>Tabla1[[#This Row],[VALOR]]-50000</f>
        <v>820000</v>
      </c>
      <c r="J68" s="1" t="s">
        <v>11</v>
      </c>
      <c r="K68" s="2"/>
    </row>
    <row r="69" spans="1:11" x14ac:dyDescent="0.25">
      <c r="A69" s="2">
        <v>61</v>
      </c>
      <c r="B69" s="1">
        <v>28</v>
      </c>
      <c r="C69" s="31" t="s">
        <v>49</v>
      </c>
      <c r="D69" s="2" t="s">
        <v>6</v>
      </c>
      <c r="E69" s="3">
        <v>65739648</v>
      </c>
      <c r="F69" s="4">
        <v>24721</v>
      </c>
      <c r="G69" s="2"/>
      <c r="H69" s="38">
        <v>870000</v>
      </c>
      <c r="I69" s="38">
        <f>Tabla1[[#This Row],[VALOR]]-50000</f>
        <v>820000</v>
      </c>
      <c r="J69" s="1" t="s">
        <v>11</v>
      </c>
      <c r="K69" s="2"/>
    </row>
    <row r="70" spans="1:11" x14ac:dyDescent="0.25">
      <c r="A70" s="2">
        <v>62</v>
      </c>
      <c r="B70" s="1">
        <v>29</v>
      </c>
      <c r="C70" s="26" t="s">
        <v>50</v>
      </c>
      <c r="D70" s="2" t="s">
        <v>6</v>
      </c>
      <c r="E70" s="3">
        <v>20871242</v>
      </c>
      <c r="F70" s="4">
        <v>22954</v>
      </c>
      <c r="G70" s="2"/>
      <c r="H70" s="38">
        <v>870000</v>
      </c>
      <c r="I70" s="38">
        <f>Tabla1[[#This Row],[VALOR]]-50000</f>
        <v>820000</v>
      </c>
      <c r="J70" s="1" t="s">
        <v>11</v>
      </c>
      <c r="K70" s="2"/>
    </row>
    <row r="71" spans="1:11" x14ac:dyDescent="0.25">
      <c r="A71" s="2">
        <v>63</v>
      </c>
      <c r="B71" s="1">
        <v>30</v>
      </c>
      <c r="C71" s="26" t="s">
        <v>51</v>
      </c>
      <c r="D71" s="2" t="s">
        <v>6</v>
      </c>
      <c r="E71" s="3">
        <v>51651341</v>
      </c>
      <c r="F71" s="4">
        <v>22405</v>
      </c>
      <c r="G71" s="2"/>
      <c r="H71" s="38">
        <v>870000</v>
      </c>
      <c r="I71" s="38">
        <f>Tabla1[[#This Row],[VALOR]]-50000</f>
        <v>820000</v>
      </c>
      <c r="J71" s="1" t="s">
        <v>11</v>
      </c>
      <c r="K71" s="2"/>
    </row>
    <row r="72" spans="1:11" x14ac:dyDescent="0.25">
      <c r="A72" s="2">
        <v>64</v>
      </c>
      <c r="B72" s="1">
        <v>31</v>
      </c>
      <c r="C72" s="29" t="s">
        <v>54</v>
      </c>
      <c r="D72" s="2" t="s">
        <v>6</v>
      </c>
      <c r="E72" s="3">
        <v>20501427</v>
      </c>
      <c r="F72" s="4">
        <v>25272</v>
      </c>
      <c r="G72" s="2"/>
      <c r="H72" s="38">
        <v>870000</v>
      </c>
      <c r="I72" s="38">
        <f>Tabla1[[#This Row],[VALOR]]-50000</f>
        <v>820000</v>
      </c>
      <c r="J72" s="1" t="s">
        <v>11</v>
      </c>
      <c r="K72" s="2"/>
    </row>
    <row r="73" spans="1:11" x14ac:dyDescent="0.25">
      <c r="A73" s="2">
        <v>65</v>
      </c>
      <c r="B73" s="1">
        <v>35</v>
      </c>
      <c r="C73" s="29" t="s">
        <v>62</v>
      </c>
      <c r="D73" s="2" t="s">
        <v>6</v>
      </c>
      <c r="E73" s="3">
        <v>52615195</v>
      </c>
      <c r="F73" s="4">
        <v>26788</v>
      </c>
      <c r="G73" s="2"/>
      <c r="H73" s="38">
        <v>870000</v>
      </c>
      <c r="I73" s="38">
        <f>Tabla1[[#This Row],[VALOR]]-50000</f>
        <v>820000</v>
      </c>
      <c r="J73" s="1" t="s">
        <v>11</v>
      </c>
      <c r="K73" s="2" t="s">
        <v>89</v>
      </c>
    </row>
    <row r="74" spans="1:11" x14ac:dyDescent="0.25">
      <c r="A74" s="2">
        <v>66</v>
      </c>
      <c r="B74" s="1">
        <v>36</v>
      </c>
      <c r="C74" s="29" t="s">
        <v>63</v>
      </c>
      <c r="D74" s="2" t="s">
        <v>6</v>
      </c>
      <c r="E74" s="3">
        <v>79063385</v>
      </c>
      <c r="F74" s="4">
        <v>26196</v>
      </c>
      <c r="G74" s="2"/>
      <c r="H74" s="38">
        <v>870000</v>
      </c>
      <c r="I74" s="38">
        <f>Tabla1[[#This Row],[VALOR]]-50000</f>
        <v>820000</v>
      </c>
      <c r="J74" s="1" t="s">
        <v>11</v>
      </c>
      <c r="K74" s="2" t="s">
        <v>89</v>
      </c>
    </row>
    <row r="75" spans="1:11" ht="17.25" customHeight="1" x14ac:dyDescent="0.25">
      <c r="A75" s="2">
        <v>67</v>
      </c>
      <c r="B75" s="1">
        <v>37</v>
      </c>
      <c r="C75" s="29" t="s">
        <v>66</v>
      </c>
      <c r="D75" s="2" t="s">
        <v>6</v>
      </c>
      <c r="E75" s="3">
        <v>1007627586</v>
      </c>
      <c r="F75" s="4">
        <v>37243</v>
      </c>
      <c r="G75" s="2"/>
      <c r="H75" s="38">
        <v>870000</v>
      </c>
      <c r="I75" s="38">
        <f>Tabla1[[#This Row],[VALOR]]-50000</f>
        <v>820000</v>
      </c>
      <c r="J75" s="1" t="s">
        <v>11</v>
      </c>
      <c r="K75" s="2" t="s">
        <v>89</v>
      </c>
    </row>
    <row r="76" spans="1:11" x14ac:dyDescent="0.25">
      <c r="A76" s="2"/>
      <c r="B76" s="1"/>
      <c r="C76" s="25"/>
      <c r="G76" s="2"/>
      <c r="H76" s="38">
        <f>SUBTOTAL(109,Tabla1[VALOR])</f>
        <v>54950000</v>
      </c>
      <c r="I76" s="38">
        <f>SUBTOTAL(109,Tabla1[COMISION])</f>
        <v>51850000</v>
      </c>
      <c r="J76" s="1"/>
      <c r="K76" s="2"/>
    </row>
    <row r="77" spans="1:11" x14ac:dyDescent="0.25">
      <c r="H77" s="43">
        <f>Tabla1[[#Totals],[VALOR]]-Tabla1[[#Totals],[COMISION]]</f>
        <v>3100000</v>
      </c>
    </row>
    <row r="78" spans="1:11" x14ac:dyDescent="0.25">
      <c r="B78" t="s">
        <v>104</v>
      </c>
    </row>
  </sheetData>
  <mergeCells count="6">
    <mergeCell ref="N10:N11"/>
    <mergeCell ref="O8:O9"/>
    <mergeCell ref="O10:O11"/>
    <mergeCell ref="N2:O2"/>
    <mergeCell ref="L8:L9"/>
    <mergeCell ref="N8:N9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 STEFANI  CRUZ MORENO</cp:lastModifiedBy>
  <dcterms:created xsi:type="dcterms:W3CDTF">2023-10-12T20:14:52Z</dcterms:created>
  <dcterms:modified xsi:type="dcterms:W3CDTF">2024-01-24T21:19:11Z</dcterms:modified>
</cp:coreProperties>
</file>