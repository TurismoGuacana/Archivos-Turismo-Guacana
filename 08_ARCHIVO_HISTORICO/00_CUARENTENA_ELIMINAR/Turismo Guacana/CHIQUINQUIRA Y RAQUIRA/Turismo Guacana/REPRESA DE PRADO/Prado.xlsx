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REPRESA DE PRADO\"/>
    </mc:Choice>
  </mc:AlternateContent>
  <xr:revisionPtr revIDLastSave="0" documentId="13_ncr:1_{BA47997F-4BCA-41E1-B5E5-D542424C5BE4}" xr6:coauthVersionLast="47" xr6:coauthVersionMax="47" xr10:uidLastSave="{00000000-0000-0000-0000-000000000000}"/>
  <bookViews>
    <workbookView xWindow="-120" yWindow="-120" windowWidth="20730" windowHeight="11040" xr2:uid="{3F025BE2-64CE-479E-95EE-151CAC9ECF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57" i="1"/>
  <c r="G56" i="1"/>
  <c r="G46" i="1"/>
  <c r="G21" i="1"/>
  <c r="G19" i="1"/>
  <c r="G18" i="1"/>
  <c r="G9" i="1"/>
  <c r="G7" i="1"/>
  <c r="G3" i="1"/>
  <c r="G2" i="1"/>
</calcChain>
</file>

<file path=xl/sharedStrings.xml><?xml version="1.0" encoding="utf-8"?>
<sst xmlns="http://schemas.openxmlformats.org/spreadsheetml/2006/main" count="345" uniqueCount="130">
  <si>
    <t>N°</t>
  </si>
  <si>
    <t>NOMBRE</t>
  </si>
  <si>
    <t>T.D</t>
  </si>
  <si>
    <t>N°.D</t>
  </si>
  <si>
    <t>FECHA D.N</t>
  </si>
  <si>
    <t>TELEFONO</t>
  </si>
  <si>
    <t>MUNICIPIO</t>
  </si>
  <si>
    <t>ABONO</t>
  </si>
  <si>
    <t>DEUDA</t>
  </si>
  <si>
    <t>VALOR</t>
  </si>
  <si>
    <t>COMISIÓN</t>
  </si>
  <si>
    <t>COMISIONISTAS</t>
  </si>
  <si>
    <t>Diana yineth Espinosa García</t>
  </si>
  <si>
    <t xml:space="preserve"> Isabel García Fuentes</t>
  </si>
  <si>
    <t>C.C.</t>
  </si>
  <si>
    <t>APULO</t>
  </si>
  <si>
    <t>LAD</t>
  </si>
  <si>
    <t>Sandy gletnney mora bastidas</t>
  </si>
  <si>
    <t>Dayi liseth días mora</t>
  </si>
  <si>
    <t>Blanca Ines bastidas Nuñez</t>
  </si>
  <si>
    <t>ANAPOIMA</t>
  </si>
  <si>
    <t>Tatiana Isabel Cogollo Cantillo</t>
  </si>
  <si>
    <t>310 379 7045</t>
  </si>
  <si>
    <t>22 de abril del 2003</t>
  </si>
  <si>
    <t>Jelen yulied Diaz parra</t>
  </si>
  <si>
    <t>Adriana marcela tarra hernandez</t>
  </si>
  <si>
    <t>1.102 877 848</t>
  </si>
  <si>
    <t>TETE</t>
  </si>
  <si>
    <t>Carlos Castro</t>
  </si>
  <si>
    <t xml:space="preserve">Rocio </t>
  </si>
  <si>
    <t>hijo</t>
  </si>
  <si>
    <t>""</t>
  </si>
  <si>
    <t>Mireya Leon</t>
  </si>
  <si>
    <t>TOCAIMA</t>
  </si>
  <si>
    <t>DIANA B</t>
  </si>
  <si>
    <t>Jose Bladimir Muñoz Bolivar</t>
  </si>
  <si>
    <t>María Hilda Luz Bolivar Zapata</t>
  </si>
  <si>
    <t>Visitacion lazo guerrero</t>
  </si>
  <si>
    <t xml:space="preserve">Carol Yineth Roa Lazo </t>
  </si>
  <si>
    <t>July Paola roa lazo</t>
  </si>
  <si>
    <t>Angel Antonio Sanchez Moreno</t>
  </si>
  <si>
    <t>Luz Mary Mendoza Junca</t>
  </si>
  <si>
    <t>Luis Alejandro Sanchez Mendoza</t>
  </si>
  <si>
    <t>T.I</t>
  </si>
  <si>
    <t>Dayana Pardo</t>
  </si>
  <si>
    <t>Marina Garzón</t>
  </si>
  <si>
    <t>MAFE</t>
  </si>
  <si>
    <t>Luis Duarte</t>
  </si>
  <si>
    <t xml:space="preserve">Gabriel Cabrera </t>
  </si>
  <si>
    <t xml:space="preserve">Ana Cristina Berrios Mendoza </t>
  </si>
  <si>
    <t>08 de marzo 2001</t>
  </si>
  <si>
    <t>Thaily luciana gomez berrios</t>
  </si>
  <si>
    <t>r.c</t>
  </si>
  <si>
    <t>24 de junio 2018</t>
  </si>
  <si>
    <t>solo seguro</t>
  </si>
  <si>
    <t>Luz Ángela Berrio</t>
  </si>
  <si>
    <t>Junio-27 1984</t>
  </si>
  <si>
    <t>van abonar 5o mil</t>
  </si>
  <si>
    <t>Nancy Espinosa</t>
  </si>
  <si>
    <t>Lucila Torres Sánchez</t>
  </si>
  <si>
    <t>Diego Alejandro Rodríguez Patiño</t>
  </si>
  <si>
    <t>Myriam Guzmán</t>
  </si>
  <si>
    <t xml:space="preserve">Claudia Villamil </t>
  </si>
  <si>
    <t xml:space="preserve">Liceth Camila Rojas Montenegro </t>
  </si>
  <si>
    <t xml:space="preserve">Edison Samuel Acosta Rojas </t>
  </si>
  <si>
    <t xml:space="preserve">Liliana Montenegro </t>
  </si>
  <si>
    <t>Luis Orlando Contreras Soler</t>
  </si>
  <si>
    <t>Luz Marina Muñoz Ramirez</t>
  </si>
  <si>
    <t>321 919 1190</t>
  </si>
  <si>
    <t>Teresa Luna Suarez</t>
  </si>
  <si>
    <t>311 881 9452</t>
  </si>
  <si>
    <t>Edilma Forero Avila</t>
  </si>
  <si>
    <t>Carmen Lucia Lozano</t>
  </si>
  <si>
    <t>312 490 0754</t>
  </si>
  <si>
    <t>314 207 7028</t>
  </si>
  <si>
    <t>Marlen Castro</t>
  </si>
  <si>
    <t>313  819 6871</t>
  </si>
  <si>
    <t>Piedad Angulo</t>
  </si>
  <si>
    <t>320 820 9563</t>
  </si>
  <si>
    <t xml:space="preserve">Yina Lopez </t>
  </si>
  <si>
    <t>-</t>
  </si>
  <si>
    <t>8 de abril de 1966</t>
  </si>
  <si>
    <t xml:space="preserve">Leonor Martinez </t>
  </si>
  <si>
    <t xml:space="preserve">Camilo bernal </t>
  </si>
  <si>
    <t>MENÚ</t>
  </si>
  <si>
    <t>MOJARRA SUDADA</t>
  </si>
  <si>
    <t>COSTILLAS BBQ</t>
  </si>
  <si>
    <t>MOJARRA FRITA</t>
  </si>
  <si>
    <t>María Alicia Mancera</t>
  </si>
  <si>
    <t xml:space="preserve"> José  Vicente  Miranda</t>
  </si>
  <si>
    <t>Alberto Vargas</t>
  </si>
  <si>
    <t xml:space="preserve">Eidy Milena Casilimas Celis </t>
  </si>
  <si>
    <t>Deisy María Celis rincon</t>
  </si>
  <si>
    <t>Edith Garzón</t>
  </si>
  <si>
    <t>EDAD</t>
  </si>
  <si>
    <t>62 años</t>
  </si>
  <si>
    <t>45 años</t>
  </si>
  <si>
    <t>67 años</t>
  </si>
  <si>
    <t>Diana Paola Patiño salazar</t>
  </si>
  <si>
    <t>7 AÑOS</t>
  </si>
  <si>
    <t>40 AÑOS</t>
  </si>
  <si>
    <t xml:space="preserve">Deicy Carrillo Lozano de Garzon </t>
  </si>
  <si>
    <t>21016 741</t>
  </si>
  <si>
    <t>Edith Carrillo Lozano</t>
  </si>
  <si>
    <t>52 AÑO</t>
  </si>
  <si>
    <t>46 AÑOS</t>
  </si>
  <si>
    <t>PECHUGA</t>
  </si>
  <si>
    <t>MOJARRA</t>
  </si>
  <si>
    <t>Hernando Ramos</t>
  </si>
  <si>
    <t>María Jesus Tocua</t>
  </si>
  <si>
    <t>71 años</t>
  </si>
  <si>
    <t>77 años</t>
  </si>
  <si>
    <t>Pedro Emilio Saravia Murillo</t>
  </si>
  <si>
    <t>Gloria Alicia Moreno Vergara</t>
  </si>
  <si>
    <t>Maria Clara Barragan</t>
  </si>
  <si>
    <t>Maria Patricia Cortes Gantiva</t>
  </si>
  <si>
    <t>Carmen Elisa Gonzalez Gantiva</t>
  </si>
  <si>
    <t>Elsy Lozano</t>
  </si>
  <si>
    <t>mayo 4 de 1962</t>
  </si>
  <si>
    <t xml:space="preserve"> Daniel Ramirez</t>
  </si>
  <si>
    <t>10 de abril de 1956</t>
  </si>
  <si>
    <t>Tania Ramírez</t>
  </si>
  <si>
    <t>28 de enero de 1989</t>
  </si>
  <si>
    <t>Mojarra frita</t>
  </si>
  <si>
    <t>Lomo de cerdo</t>
  </si>
  <si>
    <t>Pechuga a la plancha</t>
  </si>
  <si>
    <t>EMPRESA</t>
  </si>
  <si>
    <t>puestos adelante</t>
  </si>
  <si>
    <t>dolor lumbal</t>
  </si>
  <si>
    <t>PECHUGA A LA PLANCHA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</si>
</sst>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1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3" fontId="0" fillId="5" borderId="0" xfId="0" applyNumberFormat="1" applyFill="1" applyAlignment="1">
      <alignment horizontal="center"/>
    </xf>
    <xf numFmtId="0" fontId="0" fillId="5" borderId="0" xfId="0" applyNumberForma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CF391C-A7FB-4820-AE8C-23C75EEB784B}" name="Tabla2" displayName="Tabla2" ref="B1:O73" totalsRowShown="0" headerRowDxfId="15" dataDxfId="14">
  <autoFilter ref="B1:O73" xr:uid="{13CF391C-A7FB-4820-AE8C-23C75EEB784B}"/>
  <tableColumns count="14">
    <tableColumn id="1" xr3:uid="{0A3DD4B0-A2BB-4AAE-B2BE-5585871B5522}" name="N°" dataDxfId="13"/>
    <tableColumn id="2" xr3:uid="{E3FD3F91-5D0C-4461-B17D-B88BD7407E53}" name="NOMBRE" dataDxfId="12"/>
    <tableColumn id="3" xr3:uid="{1E720C0B-EA42-44A3-AE21-03F72EE5F1A3}" name="T.D" dataDxfId="11"/>
    <tableColumn id="4" xr3:uid="{CB6A3918-3AFA-4F42-B9F6-17E8FDE3940F}" name="N°.D" dataDxfId="10"/>
    <tableColumn id="5" xr3:uid="{395A99CA-D4DA-4AA6-A2A4-6484426F33BA}" name="FECHA D.N" dataDxfId="9"/>
    <tableColumn id="14" xr3:uid="{6C38B569-C1CF-4B44-91BA-2EA5CD776B52}" name="EDAD" dataDxfId="8"/>
    <tableColumn id="6" xr3:uid="{AD83F49B-921C-44CA-BD4D-75AAD7C22C8F}" name="TELEFONO" dataDxfId="7"/>
    <tableColumn id="7" xr3:uid="{400E5CAD-67E1-43B3-A21C-623282146BE0}" name="MUNICIPIO" dataDxfId="6"/>
    <tableColumn id="8" xr3:uid="{E7397138-ED47-477D-8DA0-9F44C616811F}" name="COMISIONISTAS" dataDxfId="5"/>
    <tableColumn id="13" xr3:uid="{3C635842-A4D6-4D95-8A37-D670E6F29174}" name="MENÚ" dataDxfId="4"/>
    <tableColumn id="9" xr3:uid="{3EF51FB5-9E01-442D-B7FC-C29BDDCE807C}" name="ABONO" dataDxfId="3"/>
    <tableColumn id="10" xr3:uid="{1AC0C76E-39ED-4F05-9EF1-3C1C5B0B142C}" name="DEUDA" dataDxfId="2"/>
    <tableColumn id="11" xr3:uid="{9968D382-C823-48F4-87F3-397D699580D9}" name="VALOR" dataDxfId="1"/>
    <tableColumn id="12" xr3:uid="{C02AEF21-D8BA-4841-87BC-C1F216ED28C3}" name="COMIS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027F-5AB9-426A-87CE-9F1CE0A426EB}">
  <dimension ref="B1:Q73"/>
  <sheetViews>
    <sheetView tabSelected="1" topLeftCell="A36" workbookViewId="0">
      <selection activeCell="K8" sqref="K8"/>
    </sheetView>
  </sheetViews>
  <sheetFormatPr baseColWidth="10" defaultRowHeight="15" x14ac:dyDescent="0.25"/>
  <cols>
    <col min="2" max="2" width="7.7109375" style="1" bestFit="1" customWidth="1"/>
    <col min="3" max="3" width="30.140625" bestFit="1" customWidth="1"/>
    <col min="4" max="4" width="8.42578125" style="1" bestFit="1" customWidth="1"/>
    <col min="5" max="5" width="18.140625" style="1" customWidth="1"/>
    <col min="6" max="6" width="18" style="1" bestFit="1" customWidth="1"/>
    <col min="7" max="7" width="10.7109375" style="9" bestFit="1" customWidth="1"/>
    <col min="8" max="8" width="15.7109375" style="1" bestFit="1" customWidth="1"/>
    <col min="9" max="10" width="17.42578125" style="1" customWidth="1"/>
    <col min="11" max="11" width="16.7109375" style="1" bestFit="1" customWidth="1"/>
    <col min="12" max="12" width="11.85546875" style="1" bestFit="1" customWidth="1"/>
    <col min="13" max="13" width="11.5703125" style="1" bestFit="1" customWidth="1"/>
    <col min="14" max="14" width="15" style="1" bestFit="1" customWidth="1"/>
  </cols>
  <sheetData>
    <row r="1" spans="2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9" t="s">
        <v>94</v>
      </c>
      <c r="H1" s="1" t="s">
        <v>5</v>
      </c>
      <c r="I1" s="1" t="s">
        <v>6</v>
      </c>
      <c r="J1" s="1" t="s">
        <v>11</v>
      </c>
      <c r="K1" s="1" t="s">
        <v>84</v>
      </c>
      <c r="L1" s="1" t="s">
        <v>7</v>
      </c>
      <c r="M1" s="1" t="s">
        <v>8</v>
      </c>
      <c r="N1" s="1" t="s">
        <v>9</v>
      </c>
      <c r="O1" s="1" t="s">
        <v>10</v>
      </c>
    </row>
    <row r="2" spans="2:17" s="1" customFormat="1" x14ac:dyDescent="0.25">
      <c r="B2" s="1">
        <v>1</v>
      </c>
      <c r="C2" s="3" t="s">
        <v>12</v>
      </c>
      <c r="D2" s="1" t="s">
        <v>14</v>
      </c>
      <c r="E2" s="1">
        <v>1073628057</v>
      </c>
      <c r="F2" s="5">
        <v>31338</v>
      </c>
      <c r="G2" s="9">
        <f>2023-1985</f>
        <v>38</v>
      </c>
      <c r="I2" s="15" t="s">
        <v>15</v>
      </c>
      <c r="J2" s="1" t="s">
        <v>16</v>
      </c>
      <c r="N2" s="2">
        <v>155000</v>
      </c>
      <c r="Q2" s="6" t="s">
        <v>20</v>
      </c>
    </row>
    <row r="3" spans="2:17" x14ac:dyDescent="0.25">
      <c r="B3" s="1">
        <v>2</v>
      </c>
      <c r="C3" s="3" t="s">
        <v>13</v>
      </c>
      <c r="D3" s="1" t="s">
        <v>14</v>
      </c>
      <c r="E3" s="1">
        <v>20871847</v>
      </c>
      <c r="F3" s="1" t="s">
        <v>81</v>
      </c>
      <c r="G3" s="9">
        <f>2024-1966</f>
        <v>58</v>
      </c>
      <c r="I3" s="15" t="s">
        <v>15</v>
      </c>
      <c r="J3" s="1" t="s">
        <v>16</v>
      </c>
      <c r="N3" s="2">
        <v>155000</v>
      </c>
      <c r="O3" s="1"/>
      <c r="Q3" s="3" t="s">
        <v>15</v>
      </c>
    </row>
    <row r="4" spans="2:17" x14ac:dyDescent="0.25">
      <c r="B4" s="1">
        <v>3</v>
      </c>
      <c r="C4" s="3" t="s">
        <v>17</v>
      </c>
      <c r="D4" s="1" t="s">
        <v>14</v>
      </c>
      <c r="E4" s="1">
        <v>1073629679</v>
      </c>
      <c r="I4" s="15" t="s">
        <v>15</v>
      </c>
      <c r="J4" s="1" t="s">
        <v>16</v>
      </c>
      <c r="N4" s="2">
        <v>155000</v>
      </c>
      <c r="O4" s="1"/>
    </row>
    <row r="5" spans="2:17" x14ac:dyDescent="0.25">
      <c r="B5" s="1">
        <v>4</v>
      </c>
      <c r="C5" s="3" t="s">
        <v>18</v>
      </c>
      <c r="D5" s="1" t="s">
        <v>14</v>
      </c>
      <c r="E5" s="1">
        <v>1073629278</v>
      </c>
      <c r="I5" s="15" t="s">
        <v>15</v>
      </c>
      <c r="J5" s="1" t="s">
        <v>16</v>
      </c>
      <c r="N5" s="2">
        <v>155000</v>
      </c>
      <c r="O5" s="1"/>
    </row>
    <row r="6" spans="2:17" x14ac:dyDescent="0.25">
      <c r="B6" s="1">
        <v>5</v>
      </c>
      <c r="C6" s="3" t="s">
        <v>19</v>
      </c>
      <c r="D6" s="1" t="s">
        <v>14</v>
      </c>
      <c r="I6" s="15" t="s">
        <v>15</v>
      </c>
      <c r="J6" s="1" t="s">
        <v>16</v>
      </c>
      <c r="N6" s="2">
        <v>155000</v>
      </c>
      <c r="O6" s="1"/>
    </row>
    <row r="7" spans="2:17" x14ac:dyDescent="0.25">
      <c r="B7" s="1">
        <v>6</v>
      </c>
      <c r="C7" s="4" t="s">
        <v>21</v>
      </c>
      <c r="D7" s="1" t="s">
        <v>14</v>
      </c>
      <c r="E7" s="2">
        <v>1049894080</v>
      </c>
      <c r="F7" s="1" t="s">
        <v>23</v>
      </c>
      <c r="G7" s="9">
        <f>2024-2003</f>
        <v>21</v>
      </c>
      <c r="H7" s="1" t="s">
        <v>22</v>
      </c>
      <c r="I7" s="6" t="s">
        <v>20</v>
      </c>
      <c r="J7" s="1" t="s">
        <v>27</v>
      </c>
      <c r="K7" s="1" t="s">
        <v>129</v>
      </c>
      <c r="O7" s="1"/>
    </row>
    <row r="8" spans="2:17" x14ac:dyDescent="0.25">
      <c r="B8" s="1">
        <v>7</v>
      </c>
      <c r="C8" s="4" t="s">
        <v>24</v>
      </c>
      <c r="D8" s="1" t="s">
        <v>14</v>
      </c>
      <c r="E8" s="1">
        <v>1007155755</v>
      </c>
      <c r="H8" s="1">
        <v>3143034791</v>
      </c>
      <c r="I8" s="6" t="s">
        <v>20</v>
      </c>
      <c r="J8" s="1" t="s">
        <v>27</v>
      </c>
      <c r="O8" s="1"/>
    </row>
    <row r="9" spans="2:17" x14ac:dyDescent="0.25">
      <c r="B9" s="1">
        <v>8</v>
      </c>
      <c r="C9" s="4" t="s">
        <v>25</v>
      </c>
      <c r="D9" s="1" t="s">
        <v>14</v>
      </c>
      <c r="E9" s="1" t="s">
        <v>26</v>
      </c>
      <c r="F9" s="5">
        <v>35537</v>
      </c>
      <c r="G9" s="9">
        <f>2024-1997</f>
        <v>27</v>
      </c>
      <c r="I9" s="6" t="s">
        <v>20</v>
      </c>
      <c r="J9" s="1" t="s">
        <v>27</v>
      </c>
      <c r="O9" s="1"/>
    </row>
    <row r="10" spans="2:17" x14ac:dyDescent="0.25">
      <c r="B10" s="1">
        <v>9</v>
      </c>
      <c r="C10" s="4" t="s">
        <v>58</v>
      </c>
      <c r="D10" s="1" t="s">
        <v>14</v>
      </c>
      <c r="E10" s="2">
        <v>20357610</v>
      </c>
      <c r="I10" s="6" t="s">
        <v>20</v>
      </c>
      <c r="J10" s="1" t="s">
        <v>16</v>
      </c>
      <c r="O10" s="1"/>
    </row>
    <row r="11" spans="2:17" x14ac:dyDescent="0.25">
      <c r="B11" s="1">
        <v>10</v>
      </c>
      <c r="C11" s="4" t="s">
        <v>90</v>
      </c>
      <c r="D11" s="1" t="s">
        <v>14</v>
      </c>
      <c r="E11" s="2">
        <v>30372665</v>
      </c>
      <c r="I11" s="6" t="s">
        <v>20</v>
      </c>
      <c r="J11" s="1" t="s">
        <v>16</v>
      </c>
      <c r="O11" s="1"/>
    </row>
    <row r="12" spans="2:17" x14ac:dyDescent="0.25">
      <c r="B12" s="1">
        <v>11</v>
      </c>
      <c r="C12" s="4" t="s">
        <v>28</v>
      </c>
      <c r="I12" s="6" t="s">
        <v>20</v>
      </c>
      <c r="J12" s="1" t="s">
        <v>16</v>
      </c>
      <c r="O12" s="1"/>
    </row>
    <row r="13" spans="2:17" x14ac:dyDescent="0.25">
      <c r="B13" s="1">
        <v>12</v>
      </c>
      <c r="C13" s="4" t="s">
        <v>29</v>
      </c>
      <c r="I13" s="6" t="s">
        <v>20</v>
      </c>
      <c r="J13" s="1" t="s">
        <v>16</v>
      </c>
      <c r="O13" s="1"/>
    </row>
    <row r="14" spans="2:17" x14ac:dyDescent="0.25">
      <c r="B14" s="1">
        <v>13</v>
      </c>
      <c r="C14" s="4" t="s">
        <v>30</v>
      </c>
      <c r="I14" s="6" t="s">
        <v>20</v>
      </c>
      <c r="J14" s="1" t="s">
        <v>16</v>
      </c>
      <c r="O14" s="1"/>
    </row>
    <row r="15" spans="2:17" x14ac:dyDescent="0.25">
      <c r="B15" s="1">
        <v>14</v>
      </c>
      <c r="C15" s="4" t="s">
        <v>31</v>
      </c>
      <c r="I15" s="6" t="s">
        <v>20</v>
      </c>
      <c r="J15" s="1" t="s">
        <v>16</v>
      </c>
      <c r="O15" s="1"/>
    </row>
    <row r="16" spans="2:17" x14ac:dyDescent="0.25">
      <c r="B16" s="1">
        <v>15</v>
      </c>
      <c r="C16" s="7" t="s">
        <v>32</v>
      </c>
      <c r="D16" s="1" t="s">
        <v>14</v>
      </c>
      <c r="I16" s="16" t="s">
        <v>33</v>
      </c>
      <c r="J16" s="1" t="s">
        <v>34</v>
      </c>
      <c r="O16" s="1"/>
    </row>
    <row r="17" spans="2:15" x14ac:dyDescent="0.25">
      <c r="B17" s="1">
        <v>16</v>
      </c>
      <c r="C17" s="4" t="s">
        <v>35</v>
      </c>
      <c r="D17" s="1" t="s">
        <v>14</v>
      </c>
      <c r="E17" s="2">
        <v>1003650684</v>
      </c>
      <c r="F17" s="5">
        <v>36644</v>
      </c>
      <c r="G17" s="9">
        <v>24</v>
      </c>
      <c r="I17" s="6" t="s">
        <v>20</v>
      </c>
      <c r="J17" s="1" t="s">
        <v>27</v>
      </c>
      <c r="K17" s="1" t="s">
        <v>87</v>
      </c>
      <c r="O17" s="1"/>
    </row>
    <row r="18" spans="2:15" x14ac:dyDescent="0.25">
      <c r="B18" s="1">
        <v>17</v>
      </c>
      <c r="C18" s="4" t="s">
        <v>36</v>
      </c>
      <c r="D18" s="1" t="s">
        <v>14</v>
      </c>
      <c r="E18" s="2">
        <v>21462207</v>
      </c>
      <c r="F18" s="5">
        <v>21348</v>
      </c>
      <c r="G18" s="9">
        <f>2023-1958</f>
        <v>65</v>
      </c>
      <c r="I18" s="6" t="s">
        <v>20</v>
      </c>
      <c r="J18" s="1" t="s">
        <v>27</v>
      </c>
      <c r="K18" s="1" t="s">
        <v>87</v>
      </c>
      <c r="O18" s="1"/>
    </row>
    <row r="19" spans="2:15" x14ac:dyDescent="0.25">
      <c r="B19" s="1">
        <v>18</v>
      </c>
      <c r="C19" s="3" t="s">
        <v>37</v>
      </c>
      <c r="D19" s="1" t="s">
        <v>14</v>
      </c>
      <c r="E19" s="2">
        <v>21016956</v>
      </c>
      <c r="F19" s="8">
        <v>26036</v>
      </c>
      <c r="G19" s="9">
        <f>2024-1971</f>
        <v>53</v>
      </c>
      <c r="I19" s="15" t="s">
        <v>15</v>
      </c>
      <c r="J19" s="1" t="s">
        <v>27</v>
      </c>
      <c r="O19" s="1"/>
    </row>
    <row r="20" spans="2:15" x14ac:dyDescent="0.25">
      <c r="B20" s="1">
        <v>19</v>
      </c>
      <c r="C20" s="3" t="s">
        <v>38</v>
      </c>
      <c r="D20" s="1" t="s">
        <v>14</v>
      </c>
      <c r="E20" s="2">
        <v>1073629789</v>
      </c>
      <c r="F20" s="5">
        <v>34685</v>
      </c>
      <c r="G20" s="9">
        <v>29</v>
      </c>
      <c r="I20" s="15" t="s">
        <v>15</v>
      </c>
      <c r="J20" s="1" t="s">
        <v>27</v>
      </c>
      <c r="O20" s="1"/>
    </row>
    <row r="21" spans="2:15" x14ac:dyDescent="0.25">
      <c r="B21" s="1">
        <v>20</v>
      </c>
      <c r="C21" s="3" t="s">
        <v>39</v>
      </c>
      <c r="D21" s="1" t="s">
        <v>14</v>
      </c>
      <c r="E21" s="2">
        <v>1073629483</v>
      </c>
      <c r="F21" s="5">
        <v>34088</v>
      </c>
      <c r="G21" s="9">
        <f>2024-1993</f>
        <v>31</v>
      </c>
      <c r="I21" s="15" t="s">
        <v>15</v>
      </c>
      <c r="J21" s="1" t="s">
        <v>27</v>
      </c>
      <c r="O21" s="1"/>
    </row>
    <row r="22" spans="2:15" x14ac:dyDescent="0.25">
      <c r="B22" s="1">
        <v>21</v>
      </c>
      <c r="C22" s="3" t="s">
        <v>40</v>
      </c>
      <c r="D22" s="1" t="s">
        <v>14</v>
      </c>
      <c r="E22" s="2">
        <v>11451911</v>
      </c>
      <c r="I22" s="15" t="s">
        <v>15</v>
      </c>
      <c r="J22" s="1" t="s">
        <v>16</v>
      </c>
      <c r="L22" s="2">
        <v>180000</v>
      </c>
      <c r="O22" s="1"/>
    </row>
    <row r="23" spans="2:15" x14ac:dyDescent="0.25">
      <c r="B23" s="1">
        <v>22</v>
      </c>
      <c r="C23" s="3" t="s">
        <v>41</v>
      </c>
      <c r="D23" s="1" t="s">
        <v>14</v>
      </c>
      <c r="E23" s="2">
        <v>1019035371</v>
      </c>
      <c r="I23" s="15" t="s">
        <v>15</v>
      </c>
      <c r="J23" s="1" t="s">
        <v>16</v>
      </c>
      <c r="O23" s="1"/>
    </row>
    <row r="24" spans="2:15" x14ac:dyDescent="0.25">
      <c r="B24" s="1">
        <v>23</v>
      </c>
      <c r="C24" s="3" t="s">
        <v>42</v>
      </c>
      <c r="D24" s="1" t="s">
        <v>43</v>
      </c>
      <c r="E24" s="2">
        <v>1073629313</v>
      </c>
      <c r="I24" s="15" t="s">
        <v>15</v>
      </c>
      <c r="J24" s="1" t="s">
        <v>16</v>
      </c>
      <c r="O24" s="1"/>
    </row>
    <row r="25" spans="2:15" x14ac:dyDescent="0.25">
      <c r="B25" s="1">
        <v>24</v>
      </c>
      <c r="C25" s="4" t="s">
        <v>44</v>
      </c>
      <c r="D25" s="1" t="s">
        <v>14</v>
      </c>
      <c r="E25" s="2">
        <v>1003672928</v>
      </c>
      <c r="F25" s="5">
        <v>36950</v>
      </c>
      <c r="G25" s="9">
        <v>23</v>
      </c>
      <c r="I25" s="6" t="s">
        <v>20</v>
      </c>
      <c r="J25" s="1" t="s">
        <v>27</v>
      </c>
      <c r="O25" s="1"/>
    </row>
    <row r="26" spans="2:15" x14ac:dyDescent="0.25">
      <c r="B26" s="1">
        <v>25</v>
      </c>
      <c r="C26" s="4" t="s">
        <v>55</v>
      </c>
      <c r="D26" s="1" t="s">
        <v>14</v>
      </c>
      <c r="E26" s="2">
        <v>20358836</v>
      </c>
      <c r="F26" s="5" t="s">
        <v>56</v>
      </c>
      <c r="G26" s="9">
        <v>39</v>
      </c>
      <c r="I26" s="6" t="s">
        <v>20</v>
      </c>
      <c r="J26" s="1" t="s">
        <v>27</v>
      </c>
      <c r="L26" s="1" t="s">
        <v>57</v>
      </c>
      <c r="O26" s="1"/>
    </row>
    <row r="27" spans="2:15" x14ac:dyDescent="0.25">
      <c r="B27" s="1">
        <v>26</v>
      </c>
      <c r="C27" s="7" t="s">
        <v>45</v>
      </c>
      <c r="D27" s="1" t="s">
        <v>14</v>
      </c>
      <c r="I27" s="16" t="s">
        <v>33</v>
      </c>
      <c r="J27" s="1" t="s">
        <v>46</v>
      </c>
      <c r="O27" s="1"/>
    </row>
    <row r="28" spans="2:15" x14ac:dyDescent="0.25">
      <c r="B28" s="1">
        <v>27</v>
      </c>
      <c r="C28" s="7" t="s">
        <v>31</v>
      </c>
      <c r="I28" s="16" t="s">
        <v>33</v>
      </c>
      <c r="J28" s="1" t="s">
        <v>46</v>
      </c>
      <c r="O28" s="1"/>
    </row>
    <row r="29" spans="2:15" x14ac:dyDescent="0.25">
      <c r="B29" s="1">
        <v>28</v>
      </c>
      <c r="C29" s="7" t="s">
        <v>31</v>
      </c>
      <c r="I29" s="16" t="s">
        <v>33</v>
      </c>
      <c r="J29" s="1" t="s">
        <v>46</v>
      </c>
      <c r="O29" s="1"/>
    </row>
    <row r="30" spans="2:15" x14ac:dyDescent="0.25">
      <c r="B30" s="1">
        <v>29</v>
      </c>
      <c r="C30" s="7" t="s">
        <v>31</v>
      </c>
      <c r="I30" s="16" t="s">
        <v>33</v>
      </c>
      <c r="J30" s="1" t="s">
        <v>46</v>
      </c>
      <c r="O30" s="1"/>
    </row>
    <row r="31" spans="2:15" x14ac:dyDescent="0.25">
      <c r="B31" s="1">
        <v>30</v>
      </c>
      <c r="C31" s="7" t="s">
        <v>91</v>
      </c>
      <c r="D31" s="1" t="s">
        <v>14</v>
      </c>
      <c r="E31" s="1">
        <v>52430263</v>
      </c>
      <c r="G31" s="9" t="s">
        <v>96</v>
      </c>
      <c r="I31" s="16" t="s">
        <v>33</v>
      </c>
      <c r="J31" s="1" t="s">
        <v>46</v>
      </c>
      <c r="O31" s="1"/>
    </row>
    <row r="32" spans="2:15" x14ac:dyDescent="0.25">
      <c r="B32" s="1">
        <v>31</v>
      </c>
      <c r="C32" s="7" t="s">
        <v>92</v>
      </c>
      <c r="D32" s="1" t="s">
        <v>14</v>
      </c>
      <c r="E32" s="1">
        <v>21014615</v>
      </c>
      <c r="G32" s="9" t="s">
        <v>97</v>
      </c>
      <c r="I32" s="16" t="s">
        <v>33</v>
      </c>
      <c r="J32" s="1" t="s">
        <v>46</v>
      </c>
      <c r="O32" s="1"/>
    </row>
    <row r="33" spans="2:15" x14ac:dyDescent="0.25">
      <c r="B33" s="1">
        <v>32</v>
      </c>
      <c r="C33" s="7" t="s">
        <v>93</v>
      </c>
      <c r="D33" s="1" t="s">
        <v>14</v>
      </c>
      <c r="E33" s="1">
        <v>21014615</v>
      </c>
      <c r="G33" s="9" t="s">
        <v>95</v>
      </c>
      <c r="I33" s="16" t="s">
        <v>33</v>
      </c>
      <c r="J33" s="1" t="s">
        <v>46</v>
      </c>
      <c r="O33" s="1"/>
    </row>
    <row r="34" spans="2:15" x14ac:dyDescent="0.25">
      <c r="B34" s="1">
        <v>33</v>
      </c>
      <c r="C34" s="3" t="s">
        <v>108</v>
      </c>
      <c r="D34" s="1" t="s">
        <v>14</v>
      </c>
      <c r="E34" s="1">
        <v>19194477</v>
      </c>
      <c r="G34" s="9" t="s">
        <v>110</v>
      </c>
      <c r="H34" s="1">
        <v>3005535034</v>
      </c>
      <c r="I34" s="15" t="s">
        <v>15</v>
      </c>
      <c r="J34" s="1" t="s">
        <v>16</v>
      </c>
      <c r="O34" s="1"/>
    </row>
    <row r="35" spans="2:15" x14ac:dyDescent="0.25">
      <c r="B35" s="1">
        <v>34</v>
      </c>
      <c r="C35" s="3" t="s">
        <v>109</v>
      </c>
      <c r="D35" s="1" t="s">
        <v>14</v>
      </c>
      <c r="E35" s="1">
        <v>41410632</v>
      </c>
      <c r="G35" s="9" t="s">
        <v>111</v>
      </c>
      <c r="I35" s="15" t="s">
        <v>15</v>
      </c>
      <c r="J35" s="1" t="s">
        <v>16</v>
      </c>
      <c r="O35" s="1"/>
    </row>
    <row r="36" spans="2:15" x14ac:dyDescent="0.25">
      <c r="B36" s="1">
        <v>35</v>
      </c>
      <c r="C36" s="3" t="s">
        <v>47</v>
      </c>
      <c r="I36" s="15" t="s">
        <v>15</v>
      </c>
      <c r="J36" s="1" t="s">
        <v>126</v>
      </c>
      <c r="O36" s="1"/>
    </row>
    <row r="37" spans="2:15" x14ac:dyDescent="0.25">
      <c r="B37" s="1">
        <v>36</v>
      </c>
      <c r="C37" s="7" t="s">
        <v>48</v>
      </c>
      <c r="I37" s="16" t="s">
        <v>33</v>
      </c>
      <c r="J37" s="1" t="s">
        <v>126</v>
      </c>
      <c r="O37" s="1"/>
    </row>
    <row r="38" spans="2:15" x14ac:dyDescent="0.25">
      <c r="B38" s="1">
        <v>37</v>
      </c>
      <c r="C38" s="4" t="s">
        <v>49</v>
      </c>
      <c r="D38" s="1" t="s">
        <v>14</v>
      </c>
      <c r="E38" s="2">
        <v>1005848342</v>
      </c>
      <c r="F38" s="1" t="s">
        <v>50</v>
      </c>
      <c r="G38" s="9">
        <v>23</v>
      </c>
      <c r="I38" s="6" t="s">
        <v>20</v>
      </c>
      <c r="J38" s="1" t="s">
        <v>27</v>
      </c>
      <c r="L38" s="2">
        <v>100000</v>
      </c>
      <c r="O38" s="1"/>
    </row>
    <row r="39" spans="2:15" s="11" customFormat="1" x14ac:dyDescent="0.25">
      <c r="B39" s="10"/>
      <c r="C39" s="4" t="s">
        <v>51</v>
      </c>
      <c r="D39" s="10" t="s">
        <v>52</v>
      </c>
      <c r="E39" s="12">
        <v>1073630686</v>
      </c>
      <c r="F39" s="10" t="s">
        <v>53</v>
      </c>
      <c r="G39" s="13">
        <v>5</v>
      </c>
      <c r="H39" s="10" t="s">
        <v>54</v>
      </c>
      <c r="I39" s="6" t="s">
        <v>20</v>
      </c>
      <c r="J39" s="10" t="s">
        <v>27</v>
      </c>
      <c r="K39" s="10"/>
      <c r="L39" s="10"/>
      <c r="M39" s="10"/>
      <c r="N39" s="10"/>
      <c r="O39" s="10"/>
    </row>
    <row r="40" spans="2:15" x14ac:dyDescent="0.25">
      <c r="B40" s="1">
        <v>38</v>
      </c>
      <c r="C40" s="3" t="s">
        <v>59</v>
      </c>
      <c r="D40" s="1" t="s">
        <v>14</v>
      </c>
      <c r="E40" s="2">
        <v>51840790</v>
      </c>
      <c r="I40" s="15" t="s">
        <v>15</v>
      </c>
      <c r="J40" s="1" t="s">
        <v>16</v>
      </c>
      <c r="O40" s="1"/>
    </row>
    <row r="41" spans="2:15" x14ac:dyDescent="0.25">
      <c r="B41" s="1">
        <v>39</v>
      </c>
      <c r="C41" s="7" t="s">
        <v>61</v>
      </c>
      <c r="D41" s="1" t="s">
        <v>14</v>
      </c>
      <c r="E41" s="2">
        <v>41568536</v>
      </c>
      <c r="I41" s="16" t="s">
        <v>33</v>
      </c>
      <c r="J41" s="1" t="s">
        <v>46</v>
      </c>
      <c r="L41" s="2">
        <v>70000</v>
      </c>
      <c r="O41" s="1"/>
    </row>
    <row r="42" spans="2:15" x14ac:dyDescent="0.25">
      <c r="B42" s="1">
        <v>40</v>
      </c>
      <c r="C42" s="7" t="s">
        <v>62</v>
      </c>
      <c r="D42" s="1" t="s">
        <v>14</v>
      </c>
      <c r="E42" s="2">
        <v>21017918</v>
      </c>
      <c r="I42" s="16" t="s">
        <v>33</v>
      </c>
      <c r="J42" s="1" t="s">
        <v>46</v>
      </c>
      <c r="O42" s="1"/>
    </row>
    <row r="43" spans="2:15" x14ac:dyDescent="0.25">
      <c r="B43" s="1">
        <v>41</v>
      </c>
      <c r="C43" s="3" t="s">
        <v>63</v>
      </c>
      <c r="D43" s="1" t="s">
        <v>14</v>
      </c>
      <c r="E43" s="2">
        <v>1015478891</v>
      </c>
      <c r="F43" s="5">
        <v>36152</v>
      </c>
      <c r="G43" s="9">
        <v>25</v>
      </c>
      <c r="I43" s="15" t="s">
        <v>15</v>
      </c>
      <c r="J43" s="1" t="s">
        <v>27</v>
      </c>
      <c r="K43" s="1" t="s">
        <v>87</v>
      </c>
      <c r="L43" s="2">
        <v>100000</v>
      </c>
      <c r="O43" s="1"/>
    </row>
    <row r="44" spans="2:15" s="11" customFormat="1" x14ac:dyDescent="0.25">
      <c r="B44" s="10"/>
      <c r="C44" s="3" t="s">
        <v>64</v>
      </c>
      <c r="D44" s="10" t="s">
        <v>52</v>
      </c>
      <c r="E44" s="12">
        <v>1023037329</v>
      </c>
      <c r="F44" s="14">
        <v>42936</v>
      </c>
      <c r="G44" s="13">
        <v>6</v>
      </c>
      <c r="H44" s="10" t="s">
        <v>54</v>
      </c>
      <c r="I44" s="15" t="s">
        <v>15</v>
      </c>
      <c r="J44" s="10" t="s">
        <v>27</v>
      </c>
      <c r="K44" s="10" t="s">
        <v>86</v>
      </c>
      <c r="L44" s="10"/>
      <c r="M44" s="10"/>
      <c r="N44" s="10"/>
      <c r="O44" s="10"/>
    </row>
    <row r="45" spans="2:15" x14ac:dyDescent="0.25">
      <c r="B45" s="1">
        <v>42</v>
      </c>
      <c r="C45" s="3" t="s">
        <v>65</v>
      </c>
      <c r="D45" s="1" t="s">
        <v>14</v>
      </c>
      <c r="E45" s="2">
        <v>20872142</v>
      </c>
      <c r="F45" s="5">
        <v>29475</v>
      </c>
      <c r="G45" s="9">
        <v>43</v>
      </c>
      <c r="I45" s="15" t="s">
        <v>15</v>
      </c>
      <c r="J45" s="1" t="s">
        <v>27</v>
      </c>
      <c r="K45" s="1" t="s">
        <v>85</v>
      </c>
      <c r="O45" s="1"/>
    </row>
    <row r="46" spans="2:15" x14ac:dyDescent="0.25">
      <c r="B46" s="1">
        <v>43</v>
      </c>
      <c r="C46" s="3" t="s">
        <v>66</v>
      </c>
      <c r="D46" s="1" t="s">
        <v>14</v>
      </c>
      <c r="E46" s="2">
        <v>4137931</v>
      </c>
      <c r="F46" s="5">
        <v>28442</v>
      </c>
      <c r="G46" s="9">
        <f>2023-1977</f>
        <v>46</v>
      </c>
      <c r="I46" s="15" t="s">
        <v>15</v>
      </c>
      <c r="J46" s="1" t="s">
        <v>27</v>
      </c>
      <c r="K46" s="1" t="s">
        <v>86</v>
      </c>
      <c r="O46" s="1"/>
    </row>
    <row r="47" spans="2:15" x14ac:dyDescent="0.25">
      <c r="B47" s="1">
        <v>44</v>
      </c>
      <c r="C47" s="7" t="s">
        <v>67</v>
      </c>
      <c r="D47" s="1" t="s">
        <v>14</v>
      </c>
      <c r="E47" s="2">
        <v>21012039</v>
      </c>
      <c r="H47" s="1" t="s">
        <v>68</v>
      </c>
      <c r="I47" s="16" t="s">
        <v>33</v>
      </c>
      <c r="J47" s="1" t="s">
        <v>46</v>
      </c>
      <c r="K47" s="1" t="s">
        <v>87</v>
      </c>
      <c r="O47" s="1"/>
    </row>
    <row r="48" spans="2:15" x14ac:dyDescent="0.25">
      <c r="B48" s="1">
        <v>45</v>
      </c>
      <c r="C48" s="7" t="s">
        <v>69</v>
      </c>
      <c r="D48" s="1" t="s">
        <v>14</v>
      </c>
      <c r="E48" s="2">
        <v>21013371</v>
      </c>
      <c r="G48" s="9">
        <v>68</v>
      </c>
      <c r="H48" s="1" t="s">
        <v>70</v>
      </c>
      <c r="I48" s="16" t="s">
        <v>33</v>
      </c>
      <c r="J48" s="1" t="s">
        <v>46</v>
      </c>
      <c r="K48" s="1" t="s">
        <v>87</v>
      </c>
      <c r="O48" s="1"/>
    </row>
    <row r="49" spans="2:15" x14ac:dyDescent="0.25">
      <c r="B49" s="1">
        <v>46</v>
      </c>
      <c r="C49" s="7" t="s">
        <v>71</v>
      </c>
      <c r="D49" s="1" t="s">
        <v>14</v>
      </c>
      <c r="E49" s="2">
        <v>21013874</v>
      </c>
      <c r="G49" s="9">
        <v>67</v>
      </c>
      <c r="H49" s="1" t="s">
        <v>73</v>
      </c>
      <c r="I49" s="16" t="s">
        <v>33</v>
      </c>
      <c r="J49" s="1" t="s">
        <v>46</v>
      </c>
      <c r="K49" s="1" t="s">
        <v>87</v>
      </c>
      <c r="O49" s="1"/>
    </row>
    <row r="50" spans="2:15" x14ac:dyDescent="0.25">
      <c r="B50" s="1">
        <v>47</v>
      </c>
      <c r="C50" s="7" t="s">
        <v>72</v>
      </c>
      <c r="D50" s="1" t="s">
        <v>14</v>
      </c>
      <c r="E50" s="2">
        <v>21011498</v>
      </c>
      <c r="G50" s="9">
        <v>75</v>
      </c>
      <c r="H50" s="1" t="s">
        <v>74</v>
      </c>
      <c r="I50" s="16" t="s">
        <v>33</v>
      </c>
      <c r="J50" s="1" t="s">
        <v>46</v>
      </c>
      <c r="K50" s="1" t="s">
        <v>87</v>
      </c>
      <c r="O50" s="1"/>
    </row>
    <row r="51" spans="2:15" x14ac:dyDescent="0.25">
      <c r="B51" s="1">
        <v>48</v>
      </c>
      <c r="C51" s="7" t="s">
        <v>75</v>
      </c>
      <c r="D51" s="1" t="s">
        <v>14</v>
      </c>
      <c r="E51" s="2">
        <v>21015192</v>
      </c>
      <c r="H51" s="1" t="s">
        <v>76</v>
      </c>
      <c r="I51" s="16" t="s">
        <v>33</v>
      </c>
      <c r="J51" s="1" t="s">
        <v>46</v>
      </c>
      <c r="K51" s="1" t="s">
        <v>87</v>
      </c>
      <c r="O51" s="1"/>
    </row>
    <row r="52" spans="2:15" x14ac:dyDescent="0.25">
      <c r="B52" s="1">
        <v>49</v>
      </c>
      <c r="C52" s="7" t="s">
        <v>77</v>
      </c>
      <c r="D52" s="1" t="s">
        <v>14</v>
      </c>
      <c r="E52" s="2">
        <v>37241037</v>
      </c>
      <c r="G52" s="9">
        <v>70</v>
      </c>
      <c r="H52" s="1" t="s">
        <v>78</v>
      </c>
      <c r="I52" s="16" t="s">
        <v>33</v>
      </c>
      <c r="J52" s="1" t="s">
        <v>46</v>
      </c>
      <c r="K52" s="1" t="s">
        <v>87</v>
      </c>
      <c r="O52" s="1"/>
    </row>
    <row r="53" spans="2:15" x14ac:dyDescent="0.25">
      <c r="B53" s="1">
        <v>50</v>
      </c>
      <c r="C53" s="7" t="s">
        <v>31</v>
      </c>
      <c r="I53" s="16" t="s">
        <v>33</v>
      </c>
      <c r="J53" s="1" t="s">
        <v>46</v>
      </c>
      <c r="K53" s="1" t="s">
        <v>87</v>
      </c>
      <c r="O53" s="1"/>
    </row>
    <row r="54" spans="2:15" x14ac:dyDescent="0.25">
      <c r="B54" s="1">
        <v>51</v>
      </c>
      <c r="C54" s="7" t="s">
        <v>31</v>
      </c>
      <c r="I54" s="16" t="s">
        <v>33</v>
      </c>
      <c r="J54" s="1" t="s">
        <v>46</v>
      </c>
      <c r="K54" s="1" t="s">
        <v>87</v>
      </c>
      <c r="O54" s="1"/>
    </row>
    <row r="55" spans="2:15" x14ac:dyDescent="0.25">
      <c r="B55" s="1">
        <v>52</v>
      </c>
      <c r="C55" s="7" t="s">
        <v>79</v>
      </c>
      <c r="D55" s="1" t="s">
        <v>14</v>
      </c>
      <c r="E55" s="1">
        <v>21018576</v>
      </c>
      <c r="F55" s="1" t="s">
        <v>80</v>
      </c>
      <c r="G55" s="9">
        <v>41</v>
      </c>
      <c r="H55" s="1">
        <v>3142116642</v>
      </c>
      <c r="I55" s="16" t="s">
        <v>33</v>
      </c>
      <c r="J55" s="1" t="s">
        <v>46</v>
      </c>
      <c r="K55" s="1" t="s">
        <v>87</v>
      </c>
      <c r="O55" s="1"/>
    </row>
    <row r="56" spans="2:15" x14ac:dyDescent="0.25">
      <c r="B56" s="1">
        <v>53</v>
      </c>
      <c r="C56" s="3" t="s">
        <v>82</v>
      </c>
      <c r="D56" s="1" t="s">
        <v>14</v>
      </c>
      <c r="E56" s="1">
        <v>35511678</v>
      </c>
      <c r="F56" s="5">
        <v>25104</v>
      </c>
      <c r="G56" s="9">
        <f>2023-1968</f>
        <v>55</v>
      </c>
      <c r="I56" s="15" t="s">
        <v>15</v>
      </c>
      <c r="J56" s="1" t="s">
        <v>27</v>
      </c>
      <c r="O56" s="1"/>
    </row>
    <row r="57" spans="2:15" x14ac:dyDescent="0.25">
      <c r="B57" s="1">
        <v>54</v>
      </c>
      <c r="C57" s="3" t="s">
        <v>83</v>
      </c>
      <c r="D57" s="1" t="s">
        <v>14</v>
      </c>
      <c r="E57" s="1">
        <v>1073629922</v>
      </c>
      <c r="F57" s="5">
        <v>34937</v>
      </c>
      <c r="G57" s="9">
        <f>2023-1995</f>
        <v>28</v>
      </c>
      <c r="I57" s="15" t="s">
        <v>15</v>
      </c>
      <c r="J57" s="1" t="s">
        <v>27</v>
      </c>
      <c r="O57" s="1"/>
    </row>
    <row r="58" spans="2:15" x14ac:dyDescent="0.25">
      <c r="B58" s="1">
        <v>55</v>
      </c>
      <c r="C58" s="3" t="s">
        <v>88</v>
      </c>
      <c r="D58" s="1" t="s">
        <v>14</v>
      </c>
      <c r="E58" s="1">
        <v>41600310</v>
      </c>
      <c r="F58" s="1" t="s">
        <v>127</v>
      </c>
      <c r="H58" s="1">
        <v>3142579877</v>
      </c>
      <c r="I58" s="15" t="s">
        <v>15</v>
      </c>
      <c r="J58" s="1" t="s">
        <v>16</v>
      </c>
      <c r="O58" s="1"/>
    </row>
    <row r="59" spans="2:15" x14ac:dyDescent="0.25">
      <c r="B59" s="1">
        <v>56</v>
      </c>
      <c r="C59" s="3" t="s">
        <v>89</v>
      </c>
      <c r="D59" s="1" t="s">
        <v>14</v>
      </c>
      <c r="E59" s="1">
        <v>14248202</v>
      </c>
      <c r="F59" s="1" t="s">
        <v>128</v>
      </c>
      <c r="H59" s="1">
        <v>3202633401</v>
      </c>
      <c r="I59" s="15" t="s">
        <v>15</v>
      </c>
      <c r="J59" s="1" t="s">
        <v>16</v>
      </c>
      <c r="O59" s="1"/>
    </row>
    <row r="60" spans="2:15" x14ac:dyDescent="0.25">
      <c r="B60" s="1">
        <v>57</v>
      </c>
      <c r="C60" s="3"/>
      <c r="I60" s="15"/>
      <c r="O60" s="1"/>
    </row>
    <row r="61" spans="2:15" x14ac:dyDescent="0.25">
      <c r="B61" s="1">
        <v>58</v>
      </c>
      <c r="C61" s="3"/>
      <c r="E61" s="2"/>
      <c r="I61" s="15"/>
      <c r="O61" s="1"/>
    </row>
    <row r="62" spans="2:15" x14ac:dyDescent="0.25">
      <c r="B62" s="1">
        <v>59</v>
      </c>
      <c r="C62" s="7" t="s">
        <v>98</v>
      </c>
      <c r="D62" s="1" t="s">
        <v>14</v>
      </c>
      <c r="E62" s="2">
        <v>21018743</v>
      </c>
      <c r="G62" s="9" t="s">
        <v>100</v>
      </c>
      <c r="I62" s="16" t="s">
        <v>33</v>
      </c>
      <c r="J62" s="1" t="s">
        <v>16</v>
      </c>
      <c r="K62" s="1" t="s">
        <v>87</v>
      </c>
    </row>
    <row r="63" spans="2:15" x14ac:dyDescent="0.25">
      <c r="B63" s="1">
        <v>60</v>
      </c>
      <c r="C63" s="7" t="s">
        <v>60</v>
      </c>
      <c r="D63" s="1" t="s">
        <v>43</v>
      </c>
      <c r="E63" s="2">
        <v>1075629884</v>
      </c>
      <c r="G63" s="9" t="s">
        <v>99</v>
      </c>
      <c r="I63" s="16" t="s">
        <v>33</v>
      </c>
      <c r="J63" s="1" t="s">
        <v>16</v>
      </c>
      <c r="K63" s="1" t="s">
        <v>86</v>
      </c>
    </row>
    <row r="64" spans="2:15" x14ac:dyDescent="0.25">
      <c r="B64" s="1">
        <v>61</v>
      </c>
      <c r="C64" s="7" t="s">
        <v>101</v>
      </c>
      <c r="D64" s="1" t="s">
        <v>14</v>
      </c>
      <c r="E64" s="1" t="s">
        <v>102</v>
      </c>
      <c r="G64" s="9" t="s">
        <v>104</v>
      </c>
      <c r="I64" s="16" t="s">
        <v>33</v>
      </c>
      <c r="J64" s="1" t="s">
        <v>46</v>
      </c>
      <c r="K64" s="1" t="s">
        <v>107</v>
      </c>
    </row>
    <row r="65" spans="2:15" x14ac:dyDescent="0.25">
      <c r="B65" s="1">
        <v>62</v>
      </c>
      <c r="C65" s="7" t="s">
        <v>103</v>
      </c>
      <c r="D65" s="1" t="s">
        <v>14</v>
      </c>
      <c r="E65" s="1">
        <v>21017475</v>
      </c>
      <c r="G65" s="9" t="s">
        <v>105</v>
      </c>
      <c r="H65" s="1">
        <v>3222697687</v>
      </c>
      <c r="I65" s="16" t="s">
        <v>33</v>
      </c>
      <c r="J65" s="1" t="s">
        <v>46</v>
      </c>
      <c r="K65" s="1" t="s">
        <v>106</v>
      </c>
      <c r="O65" s="1"/>
    </row>
    <row r="66" spans="2:15" x14ac:dyDescent="0.25">
      <c r="B66" s="1">
        <v>63</v>
      </c>
      <c r="C66" s="7" t="s">
        <v>112</v>
      </c>
      <c r="D66" s="1" t="s">
        <v>14</v>
      </c>
      <c r="E66" s="2">
        <v>19143337</v>
      </c>
      <c r="G66" s="9">
        <v>73</v>
      </c>
      <c r="I66" s="16" t="s">
        <v>33</v>
      </c>
      <c r="J66" s="1" t="s">
        <v>16</v>
      </c>
      <c r="K66" s="1" t="s">
        <v>87</v>
      </c>
      <c r="O66" s="1"/>
    </row>
    <row r="67" spans="2:15" x14ac:dyDescent="0.25">
      <c r="B67" s="1">
        <v>64</v>
      </c>
      <c r="C67" s="7" t="s">
        <v>113</v>
      </c>
      <c r="D67" s="1" t="s">
        <v>14</v>
      </c>
      <c r="E67" s="2">
        <v>41721559</v>
      </c>
      <c r="G67" s="9">
        <v>67</v>
      </c>
      <c r="I67" s="16" t="s">
        <v>33</v>
      </c>
      <c r="J67" s="1" t="s">
        <v>16</v>
      </c>
      <c r="K67" s="1" t="s">
        <v>87</v>
      </c>
      <c r="O67" s="1"/>
    </row>
    <row r="68" spans="2:15" x14ac:dyDescent="0.25">
      <c r="B68" s="1">
        <v>65</v>
      </c>
      <c r="C68" s="7" t="s">
        <v>114</v>
      </c>
      <c r="D68" s="1" t="s">
        <v>14</v>
      </c>
      <c r="E68" s="2">
        <v>41745302</v>
      </c>
      <c r="G68" s="9">
        <v>69</v>
      </c>
      <c r="I68" s="16" t="s">
        <v>33</v>
      </c>
      <c r="J68" s="1" t="s">
        <v>16</v>
      </c>
      <c r="K68" s="1" t="s">
        <v>87</v>
      </c>
      <c r="O68" s="1"/>
    </row>
    <row r="69" spans="2:15" x14ac:dyDescent="0.25">
      <c r="B69" s="1">
        <v>66</v>
      </c>
      <c r="C69" s="7" t="s">
        <v>115</v>
      </c>
      <c r="D69" s="1" t="s">
        <v>14</v>
      </c>
      <c r="E69" s="2">
        <v>51747869</v>
      </c>
      <c r="G69" s="9">
        <v>59</v>
      </c>
      <c r="I69" s="16" t="s">
        <v>33</v>
      </c>
      <c r="J69" s="1" t="s">
        <v>16</v>
      </c>
      <c r="K69" s="1" t="s">
        <v>87</v>
      </c>
      <c r="O69" s="1"/>
    </row>
    <row r="70" spans="2:15" x14ac:dyDescent="0.25">
      <c r="B70" s="1">
        <v>67</v>
      </c>
      <c r="C70" s="7" t="s">
        <v>116</v>
      </c>
      <c r="D70" s="1" t="s">
        <v>14</v>
      </c>
      <c r="E70" s="2">
        <v>35504848</v>
      </c>
      <c r="G70" s="9">
        <v>62</v>
      </c>
      <c r="I70" s="16" t="s">
        <v>33</v>
      </c>
      <c r="J70" s="1" t="s">
        <v>16</v>
      </c>
      <c r="K70" s="1" t="s">
        <v>85</v>
      </c>
      <c r="O70" s="1"/>
    </row>
    <row r="71" spans="2:15" x14ac:dyDescent="0.25">
      <c r="B71" s="1">
        <v>68</v>
      </c>
      <c r="C71" s="4" t="s">
        <v>117</v>
      </c>
      <c r="D71" s="1" t="s">
        <v>14</v>
      </c>
      <c r="E71" s="1">
        <v>20357650</v>
      </c>
      <c r="F71" s="1" t="s">
        <v>118</v>
      </c>
      <c r="G71" s="9">
        <f>2023-1962</f>
        <v>61</v>
      </c>
      <c r="I71" s="6" t="s">
        <v>20</v>
      </c>
      <c r="J71" s="1" t="s">
        <v>16</v>
      </c>
      <c r="K71" s="1" t="s">
        <v>123</v>
      </c>
      <c r="O71" s="1"/>
    </row>
    <row r="72" spans="2:15" x14ac:dyDescent="0.25">
      <c r="B72" s="1">
        <v>69</v>
      </c>
      <c r="C72" s="4" t="s">
        <v>119</v>
      </c>
      <c r="D72" s="1" t="s">
        <v>14</v>
      </c>
      <c r="E72" s="1">
        <v>178772</v>
      </c>
      <c r="F72" s="1" t="s">
        <v>120</v>
      </c>
      <c r="G72" s="9">
        <f>2024-1956</f>
        <v>68</v>
      </c>
      <c r="I72" s="6" t="s">
        <v>20</v>
      </c>
      <c r="J72" s="1" t="s">
        <v>16</v>
      </c>
      <c r="K72" s="1" t="s">
        <v>124</v>
      </c>
      <c r="O72" s="1"/>
    </row>
    <row r="73" spans="2:15" x14ac:dyDescent="0.25">
      <c r="B73" s="1">
        <v>70</v>
      </c>
      <c r="C73" s="4" t="s">
        <v>121</v>
      </c>
      <c r="D73" s="1" t="s">
        <v>14</v>
      </c>
      <c r="E73" s="1">
        <v>1072960803</v>
      </c>
      <c r="F73" s="1" t="s">
        <v>122</v>
      </c>
      <c r="G73" s="9">
        <f>2024-1989</f>
        <v>35</v>
      </c>
      <c r="H73" s="1">
        <v>3118842333</v>
      </c>
      <c r="I73" s="6" t="s">
        <v>20</v>
      </c>
      <c r="J73" s="1" t="s">
        <v>16</v>
      </c>
      <c r="K73" s="1" t="s">
        <v>125</v>
      </c>
      <c r="O73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2024-02-28T13:15:28Z</dcterms:created>
  <dcterms:modified xsi:type="dcterms:W3CDTF">2024-05-10T15:04:02Z</dcterms:modified>
</cp:coreProperties>
</file>