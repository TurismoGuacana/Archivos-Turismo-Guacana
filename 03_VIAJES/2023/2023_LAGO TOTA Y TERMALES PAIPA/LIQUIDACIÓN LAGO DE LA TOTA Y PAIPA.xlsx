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Desktop\Turismo Guacana\LAGO DE TOTA Y TERMALES DE PAIPA\"/>
    </mc:Choice>
  </mc:AlternateContent>
  <xr:revisionPtr revIDLastSave="0" documentId="8_{8DF533BE-A55B-4EE9-8221-89D8A7B232DB}" xr6:coauthVersionLast="47" xr6:coauthVersionMax="47" xr10:uidLastSave="{00000000-0000-0000-0000-000000000000}"/>
  <bookViews>
    <workbookView xWindow="-120" yWindow="-120" windowWidth="20730" windowHeight="11160" xr2:uid="{ABFC8057-F7EB-4750-B7A9-17922281BD0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" l="1"/>
  <c r="N21" i="1"/>
  <c r="O21" i="1" s="1"/>
  <c r="N22" i="1"/>
  <c r="O22" i="1" s="1"/>
  <c r="N20" i="1"/>
  <c r="O20" i="1" s="1"/>
  <c r="N19" i="1"/>
  <c r="O19" i="1" s="1"/>
  <c r="N18" i="1"/>
  <c r="N13" i="1"/>
  <c r="N12" i="1"/>
  <c r="J45" i="1"/>
  <c r="K45" i="1"/>
  <c r="K34" i="1"/>
  <c r="K33" i="1"/>
  <c r="K4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5" i="1"/>
  <c r="K36" i="1"/>
  <c r="K37" i="1"/>
  <c r="K38" i="1"/>
  <c r="K39" i="1"/>
  <c r="K40" i="1"/>
  <c r="K41" i="1"/>
  <c r="K43" i="1"/>
  <c r="K44" i="1"/>
  <c r="K3" i="1"/>
  <c r="I23" i="2"/>
  <c r="I26" i="2"/>
  <c r="I25" i="2"/>
  <c r="I24" i="2"/>
  <c r="N23" i="1" l="1"/>
  <c r="O18" i="1"/>
  <c r="O23" i="1" s="1"/>
  <c r="I27" i="2"/>
</calcChain>
</file>

<file path=xl/sharedStrings.xml><?xml version="1.0" encoding="utf-8"?>
<sst xmlns="http://schemas.openxmlformats.org/spreadsheetml/2006/main" count="391" uniqueCount="98">
  <si>
    <t>#</t>
  </si>
  <si>
    <t>NOMBRE</t>
  </si>
  <si>
    <t>T.D</t>
  </si>
  <si>
    <t># DOC</t>
  </si>
  <si>
    <t>FEC. NAC</t>
  </si>
  <si>
    <t>CEL</t>
  </si>
  <si>
    <t>MUNICIPIO</t>
  </si>
  <si>
    <t>COMISIONISTA</t>
  </si>
  <si>
    <t>VALOR</t>
  </si>
  <si>
    <t>COMISION</t>
  </si>
  <si>
    <t xml:space="preserve">Lady Diana Fuentes </t>
  </si>
  <si>
    <t>CC</t>
  </si>
  <si>
    <t>322 286 6901</t>
  </si>
  <si>
    <t>TOCAIMA</t>
  </si>
  <si>
    <t>Hernando Romero</t>
  </si>
  <si>
    <t>Luisa Fernanda Romero</t>
  </si>
  <si>
    <t>TI</t>
  </si>
  <si>
    <t>Valentina Cruz Tafur</t>
  </si>
  <si>
    <t>Luz Erica Villamizar Sandoval</t>
  </si>
  <si>
    <t>VICTOR</t>
  </si>
  <si>
    <t>Lina María Muñoz Lopez</t>
  </si>
  <si>
    <t>LAD</t>
  </si>
  <si>
    <t>Javier Nicolas Rodriguez Prada</t>
  </si>
  <si>
    <t>311 831 8402</t>
  </si>
  <si>
    <t>APULO</t>
  </si>
  <si>
    <t>311 647 2544</t>
  </si>
  <si>
    <t>313 841 4164</t>
  </si>
  <si>
    <t>Victor Muñoz Echeverri</t>
  </si>
  <si>
    <t>Eliana Estefania Plazas Morneno</t>
  </si>
  <si>
    <t>EDITH</t>
  </si>
  <si>
    <t xml:space="preserve">Yariglis Quiroz </t>
  </si>
  <si>
    <t>PPT</t>
  </si>
  <si>
    <t>Anna Bella Rpdriguez Quiroz</t>
  </si>
  <si>
    <t xml:space="preserve">Luis Nieves </t>
  </si>
  <si>
    <t>Marlen Moreno Infante</t>
  </si>
  <si>
    <t>Rosa Lievano</t>
  </si>
  <si>
    <t>322 517 6275</t>
  </si>
  <si>
    <t>Ana Esperanza Carranza Garcia</t>
  </si>
  <si>
    <t>311 493 1124</t>
  </si>
  <si>
    <t xml:space="preserve">Oliverio Bejarano </t>
  </si>
  <si>
    <t xml:space="preserve">Luis Antonio Avila </t>
  </si>
  <si>
    <t xml:space="preserve">Alexander Rodriguez </t>
  </si>
  <si>
    <t>310 316 6791</t>
  </si>
  <si>
    <t>ANAPOIMA</t>
  </si>
  <si>
    <t>Helena Castillo Carranza</t>
  </si>
  <si>
    <t>Ana Cristina Carranza Garcia</t>
  </si>
  <si>
    <t>Nidia Rojas Paez</t>
  </si>
  <si>
    <t xml:space="preserve">Albeiro Robayo </t>
  </si>
  <si>
    <t>Gabriela Alzate</t>
  </si>
  <si>
    <t>324 683 5949</t>
  </si>
  <si>
    <t>Helena Johana Beltran Tovar</t>
  </si>
  <si>
    <t>322 346 3056</t>
  </si>
  <si>
    <t>PRIMA</t>
  </si>
  <si>
    <t xml:space="preserve">Andres Penagos </t>
  </si>
  <si>
    <t>319 210 9386</t>
  </si>
  <si>
    <t xml:space="preserve">María Gloria America Farias </t>
  </si>
  <si>
    <t>Yor Mary Farias</t>
  </si>
  <si>
    <t>Nidia Farias</t>
  </si>
  <si>
    <t>Angel María Frias</t>
  </si>
  <si>
    <t>Luz Marina Farias</t>
  </si>
  <si>
    <t>311 566 9879</t>
  </si>
  <si>
    <t>MOSQUERA</t>
  </si>
  <si>
    <t>Luis Alberto Duarte</t>
  </si>
  <si>
    <t>EMPRESA</t>
  </si>
  <si>
    <t>Alejandra Huertas Molina</t>
  </si>
  <si>
    <t>Lida Omaira Varón Garcia</t>
  </si>
  <si>
    <t>Martha Cecilia Castillo</t>
  </si>
  <si>
    <t>310 771 6319</t>
  </si>
  <si>
    <t>David Steven Moncada</t>
  </si>
  <si>
    <t>Luz Amparo Lopez Rodriguez</t>
  </si>
  <si>
    <t>Nancy Espinoza</t>
  </si>
  <si>
    <t>312 435 5025</t>
  </si>
  <si>
    <t>Lucinda Prada</t>
  </si>
  <si>
    <t>Maira Alejandra Rodriguez Prada</t>
  </si>
  <si>
    <t>Ana Sofia Rodriguez Prada</t>
  </si>
  <si>
    <t>RC</t>
  </si>
  <si>
    <t>Blanca Nubia Martinez</t>
  </si>
  <si>
    <t>Rosa Rodriguez Cantor</t>
  </si>
  <si>
    <t>TOTAL</t>
  </si>
  <si>
    <t>ANDREA</t>
  </si>
  <si>
    <t xml:space="preserve"> </t>
  </si>
  <si>
    <t>Eliana Estefania Plazas Moreno</t>
  </si>
  <si>
    <t>Anna Bella Rodriguez Quiroz</t>
  </si>
  <si>
    <t>Angel María Farias</t>
  </si>
  <si>
    <t>SEGURO</t>
  </si>
  <si>
    <t>ALMUERZO</t>
  </si>
  <si>
    <t>INGRESO A TOTA</t>
  </si>
  <si>
    <t>INGRESO A TERMALES</t>
  </si>
  <si>
    <t>REFRIGERIO</t>
  </si>
  <si>
    <t>COSTOS Y GASTOS</t>
  </si>
  <si>
    <t>INGRESOS</t>
  </si>
  <si>
    <t>UTILIDAD</t>
  </si>
  <si>
    <t>COMSIONISTAS</t>
  </si>
  <si>
    <t>PAX</t>
  </si>
  <si>
    <t>COMISIÓN</t>
  </si>
  <si>
    <t>TRANSPORTE</t>
  </si>
  <si>
    <t>GASTOS DE REPRESENT</t>
  </si>
  <si>
    <t>INGRESO PUEBLITO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</si>
</sst>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2" fontId="2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3" fontId="0" fillId="0" borderId="1" xfId="0" applyNumberFormat="1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2" xfId="0" applyBorder="1"/>
    <xf numFmtId="42" fontId="1" fillId="0" borderId="1" xfId="1" applyFont="1" applyBorder="1"/>
    <xf numFmtId="42" fontId="0" fillId="0" borderId="1" xfId="1" applyFont="1" applyBorder="1"/>
    <xf numFmtId="42" fontId="0" fillId="0" borderId="0" xfId="1" applyFont="1"/>
    <xf numFmtId="3" fontId="0" fillId="0" borderId="0" xfId="0" applyNumberFormat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42" fontId="1" fillId="0" borderId="0" xfId="1" applyFont="1"/>
    <xf numFmtId="42" fontId="0" fillId="0" borderId="1" xfId="1" applyFont="1" applyBorder="1" applyAlignment="1">
      <alignment horizontal="center"/>
    </xf>
    <xf numFmtId="42" fontId="0" fillId="0" borderId="4" xfId="1" applyFont="1" applyBorder="1" applyAlignment="1">
      <alignment horizontal="center"/>
    </xf>
    <xf numFmtId="0" fontId="0" fillId="0" borderId="3" xfId="0" applyBorder="1"/>
    <xf numFmtId="42" fontId="0" fillId="0" borderId="3" xfId="1" applyFont="1" applyBorder="1" applyAlignment="1">
      <alignment horizontal="center"/>
    </xf>
    <xf numFmtId="42" fontId="0" fillId="0" borderId="4" xfId="0" applyNumberForma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3" borderId="4" xfId="0" applyFill="1" applyBorder="1"/>
    <xf numFmtId="0" fontId="0" fillId="2" borderId="3" xfId="0" applyFill="1" applyBorder="1"/>
    <xf numFmtId="0" fontId="0" fillId="4" borderId="4" xfId="0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A938-8B24-4F31-8399-C8358BD493C0}">
  <dimension ref="B2:O45"/>
  <sheetViews>
    <sheetView tabSelected="1" topLeftCell="D1" zoomScale="112" zoomScaleNormal="112" workbookViewId="0">
      <selection activeCell="M13" sqref="M13"/>
    </sheetView>
  </sheetViews>
  <sheetFormatPr baseColWidth="10" defaultRowHeight="15" x14ac:dyDescent="0.25"/>
  <cols>
    <col min="2" max="2" width="3.42578125" bestFit="1" customWidth="1"/>
    <col min="3" max="3" width="30.140625" bestFit="1" customWidth="1"/>
    <col min="9" max="9" width="14.42578125" bestFit="1" customWidth="1"/>
    <col min="11" max="11" width="12" style="13" bestFit="1" customWidth="1"/>
    <col min="13" max="13" width="19.7109375" bestFit="1" customWidth="1"/>
    <col min="14" max="14" width="12" style="15" bestFit="1" customWidth="1"/>
    <col min="15" max="15" width="11.42578125" style="13"/>
  </cols>
  <sheetData>
    <row r="2" spans="2:15" s="1" customFormat="1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11" t="s">
        <v>9</v>
      </c>
      <c r="M2" s="24" t="s">
        <v>89</v>
      </c>
      <c r="N2" s="24"/>
      <c r="O2" s="18"/>
    </row>
    <row r="3" spans="2:15" x14ac:dyDescent="0.25">
      <c r="B3" s="3">
        <v>1</v>
      </c>
      <c r="C3" s="3" t="s">
        <v>22</v>
      </c>
      <c r="D3" s="3" t="s">
        <v>11</v>
      </c>
      <c r="E3" s="3">
        <v>1006729822</v>
      </c>
      <c r="F3" s="3"/>
      <c r="G3" s="3" t="s">
        <v>23</v>
      </c>
      <c r="H3" s="3" t="s">
        <v>24</v>
      </c>
      <c r="I3" s="3" t="s">
        <v>21</v>
      </c>
      <c r="J3" s="4">
        <v>195000</v>
      </c>
      <c r="K3" s="12">
        <f>J3-15000</f>
        <v>180000</v>
      </c>
      <c r="M3" s="3" t="s">
        <v>95</v>
      </c>
      <c r="N3" s="19">
        <v>3100000</v>
      </c>
    </row>
    <row r="4" spans="2:15" x14ac:dyDescent="0.25">
      <c r="B4" s="3">
        <v>2</v>
      </c>
      <c r="C4" s="3" t="s">
        <v>10</v>
      </c>
      <c r="D4" s="3" t="s">
        <v>11</v>
      </c>
      <c r="E4" s="3">
        <v>21018348</v>
      </c>
      <c r="F4" s="3"/>
      <c r="G4" s="3" t="s">
        <v>12</v>
      </c>
      <c r="H4" s="3" t="s">
        <v>13</v>
      </c>
      <c r="I4" s="3" t="s">
        <v>19</v>
      </c>
      <c r="J4" s="4">
        <v>195000</v>
      </c>
      <c r="K4" s="12">
        <f t="shared" ref="K4:K44" si="0">J4-15000</f>
        <v>180000</v>
      </c>
      <c r="M4" s="3" t="s">
        <v>84</v>
      </c>
      <c r="N4" s="19">
        <v>126000</v>
      </c>
    </row>
    <row r="5" spans="2:15" x14ac:dyDescent="0.25">
      <c r="B5" s="3">
        <v>3</v>
      </c>
      <c r="C5" s="3" t="s">
        <v>14</v>
      </c>
      <c r="D5" s="3" t="s">
        <v>11</v>
      </c>
      <c r="E5" s="4">
        <v>11451254</v>
      </c>
      <c r="F5" s="3"/>
      <c r="G5" s="3" t="s">
        <v>25</v>
      </c>
      <c r="H5" s="3" t="s">
        <v>24</v>
      </c>
      <c r="I5" s="3" t="s">
        <v>21</v>
      </c>
      <c r="J5" s="4">
        <v>195000</v>
      </c>
      <c r="K5" s="12">
        <f t="shared" si="0"/>
        <v>180000</v>
      </c>
      <c r="M5" s="3" t="s">
        <v>85</v>
      </c>
      <c r="N5" s="19">
        <v>820000</v>
      </c>
    </row>
    <row r="6" spans="2:15" x14ac:dyDescent="0.25">
      <c r="B6" s="3">
        <v>4</v>
      </c>
      <c r="C6" s="3" t="s">
        <v>15</v>
      </c>
      <c r="D6" s="3" t="s">
        <v>16</v>
      </c>
      <c r="E6" s="3">
        <v>1073628057</v>
      </c>
      <c r="F6" s="3"/>
      <c r="G6" s="3"/>
      <c r="H6" s="3" t="s">
        <v>24</v>
      </c>
      <c r="I6" s="3" t="s">
        <v>21</v>
      </c>
      <c r="J6" s="4">
        <v>195000</v>
      </c>
      <c r="K6" s="12">
        <f t="shared" si="0"/>
        <v>180000</v>
      </c>
      <c r="M6" s="3" t="s">
        <v>86</v>
      </c>
      <c r="N6" s="19">
        <v>50000</v>
      </c>
    </row>
    <row r="7" spans="2:15" x14ac:dyDescent="0.25">
      <c r="B7" s="3">
        <v>5</v>
      </c>
      <c r="C7" s="3" t="s">
        <v>17</v>
      </c>
      <c r="D7" s="3" t="s">
        <v>11</v>
      </c>
      <c r="E7" s="3">
        <v>1070615040</v>
      </c>
      <c r="F7" s="3"/>
      <c r="G7" s="3"/>
      <c r="H7" s="3" t="s">
        <v>13</v>
      </c>
      <c r="I7" s="3" t="s">
        <v>19</v>
      </c>
      <c r="J7" s="4">
        <v>195000</v>
      </c>
      <c r="K7" s="12">
        <f t="shared" si="0"/>
        <v>180000</v>
      </c>
      <c r="M7" s="3" t="s">
        <v>87</v>
      </c>
      <c r="N7" s="19">
        <v>760000</v>
      </c>
    </row>
    <row r="8" spans="2:15" x14ac:dyDescent="0.25">
      <c r="B8" s="3">
        <v>6</v>
      </c>
      <c r="C8" s="3" t="s">
        <v>18</v>
      </c>
      <c r="D8" s="3" t="s">
        <v>11</v>
      </c>
      <c r="E8" s="3">
        <v>1090439070</v>
      </c>
      <c r="F8" s="3"/>
      <c r="G8" s="3"/>
      <c r="H8" s="3" t="s">
        <v>13</v>
      </c>
      <c r="I8" s="3" t="s">
        <v>19</v>
      </c>
      <c r="J8" s="4">
        <v>195000</v>
      </c>
      <c r="K8" s="12">
        <f t="shared" si="0"/>
        <v>180000</v>
      </c>
      <c r="M8" s="3" t="s">
        <v>88</v>
      </c>
      <c r="N8" s="19">
        <v>240000</v>
      </c>
    </row>
    <row r="9" spans="2:15" x14ac:dyDescent="0.25">
      <c r="B9" s="3">
        <v>7</v>
      </c>
      <c r="C9" s="3" t="s">
        <v>20</v>
      </c>
      <c r="D9" s="3" t="s">
        <v>11</v>
      </c>
      <c r="E9" s="3">
        <v>1073629939</v>
      </c>
      <c r="F9" s="3"/>
      <c r="G9" s="3" t="s">
        <v>26</v>
      </c>
      <c r="H9" s="3" t="s">
        <v>24</v>
      </c>
      <c r="I9" s="3" t="s">
        <v>19</v>
      </c>
      <c r="J9" s="4">
        <v>195000</v>
      </c>
      <c r="K9" s="12">
        <f t="shared" si="0"/>
        <v>180000</v>
      </c>
      <c r="M9" s="3" t="s">
        <v>96</v>
      </c>
      <c r="N9" s="19">
        <v>220000</v>
      </c>
    </row>
    <row r="10" spans="2:15" ht="15.75" thickBot="1" x14ac:dyDescent="0.3">
      <c r="B10" s="3">
        <v>8</v>
      </c>
      <c r="C10" s="3" t="s">
        <v>27</v>
      </c>
      <c r="D10" s="3" t="s">
        <v>11</v>
      </c>
      <c r="E10" s="3">
        <v>1075629247</v>
      </c>
      <c r="F10" s="3"/>
      <c r="G10" s="3"/>
      <c r="H10" s="3" t="s">
        <v>13</v>
      </c>
      <c r="I10" s="3" t="s">
        <v>19</v>
      </c>
      <c r="J10" s="4">
        <v>195000</v>
      </c>
      <c r="K10" s="12">
        <f t="shared" si="0"/>
        <v>180000</v>
      </c>
      <c r="M10" s="21" t="s">
        <v>97</v>
      </c>
      <c r="N10" s="22">
        <v>228000</v>
      </c>
    </row>
    <row r="11" spans="2:15" x14ac:dyDescent="0.25">
      <c r="B11" s="3">
        <v>9</v>
      </c>
      <c r="C11" s="3" t="s">
        <v>28</v>
      </c>
      <c r="D11" s="3" t="s">
        <v>11</v>
      </c>
      <c r="E11" s="3">
        <v>1010085329</v>
      </c>
      <c r="F11" s="3"/>
      <c r="G11" s="3"/>
      <c r="H11" s="3" t="s">
        <v>24</v>
      </c>
      <c r="I11" s="3" t="s">
        <v>29</v>
      </c>
      <c r="J11" s="4">
        <v>195000</v>
      </c>
      <c r="K11" s="12">
        <f t="shared" si="0"/>
        <v>180000</v>
      </c>
      <c r="M11" s="25" t="s">
        <v>78</v>
      </c>
      <c r="N11" s="20">
        <f>SUM(N3:N10)</f>
        <v>5544000</v>
      </c>
    </row>
    <row r="12" spans="2:15" ht="15.75" thickBot="1" x14ac:dyDescent="0.3">
      <c r="B12" s="3">
        <v>10</v>
      </c>
      <c r="C12" s="3" t="s">
        <v>30</v>
      </c>
      <c r="D12" s="3" t="s">
        <v>31</v>
      </c>
      <c r="E12" s="3">
        <v>4891826</v>
      </c>
      <c r="F12" s="3"/>
      <c r="G12" s="3"/>
      <c r="H12" s="3" t="s">
        <v>24</v>
      </c>
      <c r="I12" s="3" t="s">
        <v>29</v>
      </c>
      <c r="J12" s="4">
        <v>195000</v>
      </c>
      <c r="K12" s="12">
        <f t="shared" si="0"/>
        <v>180000</v>
      </c>
      <c r="M12" s="26" t="s">
        <v>90</v>
      </c>
      <c r="N12" s="22">
        <f>K45</f>
        <v>7055000</v>
      </c>
    </row>
    <row r="13" spans="2:15" x14ac:dyDescent="0.25">
      <c r="B13" s="3">
        <v>11</v>
      </c>
      <c r="C13" s="3" t="s">
        <v>32</v>
      </c>
      <c r="D13" s="3" t="s">
        <v>31</v>
      </c>
      <c r="E13" s="3">
        <v>5935750</v>
      </c>
      <c r="F13" s="3"/>
      <c r="G13" s="3"/>
      <c r="H13" s="3" t="s">
        <v>24</v>
      </c>
      <c r="I13" s="3" t="s">
        <v>29</v>
      </c>
      <c r="J13" s="4">
        <v>195000</v>
      </c>
      <c r="K13" s="12">
        <f t="shared" si="0"/>
        <v>180000</v>
      </c>
      <c r="M13" s="27" t="s">
        <v>91</v>
      </c>
      <c r="N13" s="23">
        <f>N12-N11</f>
        <v>1511000</v>
      </c>
    </row>
    <row r="14" spans="2:15" x14ac:dyDescent="0.25">
      <c r="B14" s="3">
        <v>12</v>
      </c>
      <c r="C14" s="3" t="s">
        <v>33</v>
      </c>
      <c r="D14" s="3" t="s">
        <v>31</v>
      </c>
      <c r="E14" s="3">
        <v>1411505</v>
      </c>
      <c r="F14" s="3"/>
      <c r="G14" s="3">
        <v>3025413354</v>
      </c>
      <c r="H14" s="3" t="s">
        <v>24</v>
      </c>
      <c r="I14" s="3" t="s">
        <v>29</v>
      </c>
      <c r="J14" s="4">
        <v>195000</v>
      </c>
      <c r="K14" s="12">
        <f t="shared" si="0"/>
        <v>180000</v>
      </c>
    </row>
    <row r="15" spans="2:15" x14ac:dyDescent="0.25">
      <c r="B15" s="3">
        <v>13</v>
      </c>
      <c r="C15" s="3" t="s">
        <v>34</v>
      </c>
      <c r="D15" s="3" t="s">
        <v>11</v>
      </c>
      <c r="E15" s="3">
        <v>52021638</v>
      </c>
      <c r="F15" s="3"/>
      <c r="G15" s="3"/>
      <c r="H15" s="3" t="s">
        <v>24</v>
      </c>
      <c r="I15" s="3" t="s">
        <v>29</v>
      </c>
      <c r="J15" s="4">
        <v>195000</v>
      </c>
      <c r="K15" s="12">
        <f t="shared" si="0"/>
        <v>180000</v>
      </c>
    </row>
    <row r="16" spans="2:15" x14ac:dyDescent="0.25">
      <c r="B16" s="3">
        <v>14</v>
      </c>
      <c r="C16" s="3" t="s">
        <v>35</v>
      </c>
      <c r="D16" s="3" t="s">
        <v>11</v>
      </c>
      <c r="E16" s="3">
        <v>51583764</v>
      </c>
      <c r="F16" s="6">
        <v>20860</v>
      </c>
      <c r="G16" s="3" t="s">
        <v>36</v>
      </c>
      <c r="H16" s="3" t="s">
        <v>24</v>
      </c>
      <c r="I16" s="3" t="s">
        <v>21</v>
      </c>
      <c r="J16" s="4">
        <v>195000</v>
      </c>
      <c r="K16" s="12">
        <f t="shared" si="0"/>
        <v>180000</v>
      </c>
    </row>
    <row r="17" spans="2:15" x14ac:dyDescent="0.25">
      <c r="B17" s="3">
        <v>15</v>
      </c>
      <c r="C17" s="3" t="s">
        <v>37</v>
      </c>
      <c r="D17" s="3" t="s">
        <v>11</v>
      </c>
      <c r="E17" s="3">
        <v>20871813</v>
      </c>
      <c r="F17" s="3"/>
      <c r="G17" s="3" t="s">
        <v>38</v>
      </c>
      <c r="H17" s="3" t="s">
        <v>24</v>
      </c>
      <c r="I17" s="3" t="s">
        <v>29</v>
      </c>
      <c r="J17" s="4">
        <v>195000</v>
      </c>
      <c r="K17" s="12">
        <f t="shared" si="0"/>
        <v>180000</v>
      </c>
      <c r="M17" s="2" t="s">
        <v>92</v>
      </c>
      <c r="N17" s="16" t="s">
        <v>93</v>
      </c>
      <c r="O17" s="11" t="s">
        <v>94</v>
      </c>
    </row>
    <row r="18" spans="2:15" x14ac:dyDescent="0.25">
      <c r="B18" s="3">
        <v>16</v>
      </c>
      <c r="C18" s="3" t="s">
        <v>39</v>
      </c>
      <c r="D18" s="3" t="s">
        <v>11</v>
      </c>
      <c r="E18" s="3">
        <v>11451426</v>
      </c>
      <c r="F18" s="3"/>
      <c r="G18" s="3"/>
      <c r="H18" s="3" t="s">
        <v>24</v>
      </c>
      <c r="I18" s="3" t="s">
        <v>29</v>
      </c>
      <c r="J18" s="4">
        <v>195000</v>
      </c>
      <c r="K18" s="12">
        <f t="shared" si="0"/>
        <v>180000</v>
      </c>
      <c r="M18" s="3" t="s">
        <v>21</v>
      </c>
      <c r="N18" s="17">
        <f>COUNTIF(I:I,"LAD")</f>
        <v>9</v>
      </c>
      <c r="O18" s="12">
        <f>N18*15000</f>
        <v>135000</v>
      </c>
    </row>
    <row r="19" spans="2:15" x14ac:dyDescent="0.25">
      <c r="B19" s="3">
        <v>17</v>
      </c>
      <c r="C19" s="3" t="s">
        <v>40</v>
      </c>
      <c r="D19" s="3" t="s">
        <v>11</v>
      </c>
      <c r="E19" s="3">
        <v>17097579</v>
      </c>
      <c r="F19" s="3"/>
      <c r="G19" s="3"/>
      <c r="H19" s="3" t="s">
        <v>24</v>
      </c>
      <c r="I19" s="3" t="s">
        <v>29</v>
      </c>
      <c r="J19" s="4">
        <v>195000</v>
      </c>
      <c r="K19" s="12">
        <f t="shared" si="0"/>
        <v>180000</v>
      </c>
      <c r="M19" s="3" t="s">
        <v>19</v>
      </c>
      <c r="N19" s="17">
        <f>COUNTIF(I:I,"VICTOR")</f>
        <v>5</v>
      </c>
      <c r="O19" s="12">
        <f t="shared" ref="O19:O22" si="1">N19*15000</f>
        <v>75000</v>
      </c>
    </row>
    <row r="20" spans="2:15" x14ac:dyDescent="0.25">
      <c r="B20" s="3">
        <v>18</v>
      </c>
      <c r="C20" s="3" t="s">
        <v>41</v>
      </c>
      <c r="D20" s="3" t="s">
        <v>11</v>
      </c>
      <c r="E20" s="3">
        <v>52323528</v>
      </c>
      <c r="F20" s="3"/>
      <c r="G20" s="3" t="s">
        <v>42</v>
      </c>
      <c r="H20" s="3" t="s">
        <v>43</v>
      </c>
      <c r="I20" s="3" t="s">
        <v>21</v>
      </c>
      <c r="J20" s="4">
        <v>195000</v>
      </c>
      <c r="K20" s="12">
        <f t="shared" si="0"/>
        <v>180000</v>
      </c>
      <c r="M20" s="3" t="s">
        <v>29</v>
      </c>
      <c r="N20" s="17">
        <f>COUNTIF(I:I,"EDITH")</f>
        <v>21</v>
      </c>
      <c r="O20" s="12">
        <f t="shared" si="1"/>
        <v>315000</v>
      </c>
    </row>
    <row r="21" spans="2:15" x14ac:dyDescent="0.25">
      <c r="B21" s="3">
        <v>19</v>
      </c>
      <c r="C21" s="3" t="s">
        <v>44</v>
      </c>
      <c r="D21" s="3" t="s">
        <v>11</v>
      </c>
      <c r="E21" s="3">
        <v>107363042</v>
      </c>
      <c r="F21" s="3"/>
      <c r="G21" s="3"/>
      <c r="H21" s="3" t="s">
        <v>24</v>
      </c>
      <c r="I21" s="3" t="s">
        <v>29</v>
      </c>
      <c r="J21" s="4">
        <v>195000</v>
      </c>
      <c r="K21" s="12">
        <f t="shared" si="0"/>
        <v>180000</v>
      </c>
      <c r="M21" s="3" t="s">
        <v>52</v>
      </c>
      <c r="N21" s="17">
        <f>COUNTIF(I:I,"PRIMA")</f>
        <v>2</v>
      </c>
      <c r="O21" s="12">
        <f t="shared" si="1"/>
        <v>30000</v>
      </c>
    </row>
    <row r="22" spans="2:15" x14ac:dyDescent="0.25">
      <c r="B22" s="3">
        <v>20</v>
      </c>
      <c r="C22" s="3" t="s">
        <v>45</v>
      </c>
      <c r="D22" s="3" t="s">
        <v>11</v>
      </c>
      <c r="E22" s="3">
        <v>28994918</v>
      </c>
      <c r="F22" s="3"/>
      <c r="G22" s="3"/>
      <c r="H22" s="3" t="s">
        <v>24</v>
      </c>
      <c r="I22" s="3" t="s">
        <v>29</v>
      </c>
      <c r="J22" s="4">
        <v>195000</v>
      </c>
      <c r="K22" s="12">
        <f t="shared" si="0"/>
        <v>180000</v>
      </c>
      <c r="M22" s="3" t="s">
        <v>79</v>
      </c>
      <c r="N22" s="17">
        <f>COUNTIF(I:I,"ANDREA")</f>
        <v>2</v>
      </c>
      <c r="O22" s="12">
        <f t="shared" si="1"/>
        <v>30000</v>
      </c>
    </row>
    <row r="23" spans="2:15" x14ac:dyDescent="0.25">
      <c r="B23" s="3">
        <v>21</v>
      </c>
      <c r="C23" s="3" t="s">
        <v>46</v>
      </c>
      <c r="D23" s="3" t="s">
        <v>11</v>
      </c>
      <c r="E23" s="3">
        <v>20358064</v>
      </c>
      <c r="F23" s="3"/>
      <c r="G23" s="3"/>
      <c r="H23" s="3" t="s">
        <v>24</v>
      </c>
      <c r="I23" s="3" t="s">
        <v>29</v>
      </c>
      <c r="J23" s="4">
        <v>195000</v>
      </c>
      <c r="K23" s="12">
        <f t="shared" si="0"/>
        <v>180000</v>
      </c>
      <c r="M23" s="3" t="s">
        <v>78</v>
      </c>
      <c r="N23" s="17">
        <f>SUM(N18:N22)</f>
        <v>39</v>
      </c>
      <c r="O23" s="11">
        <f>SUM(O18:O22)</f>
        <v>585000</v>
      </c>
    </row>
    <row r="24" spans="2:15" x14ac:dyDescent="0.25">
      <c r="B24" s="3">
        <v>22</v>
      </c>
      <c r="C24" s="3" t="s">
        <v>47</v>
      </c>
      <c r="D24" s="3" t="s">
        <v>11</v>
      </c>
      <c r="E24" s="3">
        <v>11450878</v>
      </c>
      <c r="F24" s="3"/>
      <c r="G24" s="3"/>
      <c r="H24" s="3" t="s">
        <v>24</v>
      </c>
      <c r="I24" s="3" t="s">
        <v>29</v>
      </c>
      <c r="J24" s="4">
        <v>195000</v>
      </c>
      <c r="K24" s="12">
        <f t="shared" si="0"/>
        <v>180000</v>
      </c>
    </row>
    <row r="25" spans="2:15" x14ac:dyDescent="0.25">
      <c r="B25" s="3">
        <v>23</v>
      </c>
      <c r="C25" s="3" t="s">
        <v>48</v>
      </c>
      <c r="D25" s="3" t="s">
        <v>11</v>
      </c>
      <c r="E25" s="3">
        <v>43043664</v>
      </c>
      <c r="F25" s="3"/>
      <c r="G25" s="3" t="s">
        <v>49</v>
      </c>
      <c r="H25" s="3" t="s">
        <v>24</v>
      </c>
      <c r="I25" s="3" t="s">
        <v>29</v>
      </c>
      <c r="J25" s="4">
        <v>195000</v>
      </c>
      <c r="K25" s="12">
        <f t="shared" si="0"/>
        <v>180000</v>
      </c>
    </row>
    <row r="26" spans="2:15" x14ac:dyDescent="0.25">
      <c r="B26" s="3">
        <v>24</v>
      </c>
      <c r="C26" s="3" t="s">
        <v>50</v>
      </c>
      <c r="D26" s="3" t="s">
        <v>11</v>
      </c>
      <c r="E26" s="3">
        <v>1075627921</v>
      </c>
      <c r="F26" s="3"/>
      <c r="G26" s="3" t="s">
        <v>51</v>
      </c>
      <c r="H26" s="3" t="s">
        <v>13</v>
      </c>
      <c r="I26" s="3" t="s">
        <v>52</v>
      </c>
      <c r="J26" s="4">
        <v>195000</v>
      </c>
      <c r="K26" s="12">
        <f t="shared" si="0"/>
        <v>180000</v>
      </c>
    </row>
    <row r="27" spans="2:15" x14ac:dyDescent="0.25">
      <c r="B27" s="3">
        <v>25</v>
      </c>
      <c r="C27" s="3" t="s">
        <v>53</v>
      </c>
      <c r="D27" s="3" t="s">
        <v>11</v>
      </c>
      <c r="E27" s="3">
        <v>1075627921</v>
      </c>
      <c r="F27" s="3"/>
      <c r="G27" s="3" t="s">
        <v>54</v>
      </c>
      <c r="H27" s="3" t="s">
        <v>13</v>
      </c>
      <c r="I27" s="3" t="s">
        <v>52</v>
      </c>
      <c r="J27" s="4">
        <v>195000</v>
      </c>
      <c r="K27" s="12">
        <f t="shared" si="0"/>
        <v>180000</v>
      </c>
    </row>
    <row r="28" spans="2:15" x14ac:dyDescent="0.25">
      <c r="B28" s="3">
        <v>26</v>
      </c>
      <c r="C28" s="3" t="s">
        <v>55</v>
      </c>
      <c r="D28" s="3" t="s">
        <v>11</v>
      </c>
      <c r="E28" s="3">
        <v>41607607</v>
      </c>
      <c r="F28" s="3"/>
      <c r="G28" s="3"/>
      <c r="H28" s="3" t="s">
        <v>61</v>
      </c>
      <c r="I28" s="3" t="s">
        <v>29</v>
      </c>
      <c r="J28" s="4">
        <v>195000</v>
      </c>
      <c r="K28" s="12">
        <f t="shared" si="0"/>
        <v>180000</v>
      </c>
    </row>
    <row r="29" spans="2:15" x14ac:dyDescent="0.25">
      <c r="B29" s="3">
        <v>27</v>
      </c>
      <c r="C29" s="3" t="s">
        <v>56</v>
      </c>
      <c r="D29" s="3" t="s">
        <v>11</v>
      </c>
      <c r="E29" s="3">
        <v>20871432</v>
      </c>
      <c r="F29" s="3"/>
      <c r="G29" s="3"/>
      <c r="H29" s="3" t="s">
        <v>61</v>
      </c>
      <c r="I29" s="3" t="s">
        <v>29</v>
      </c>
      <c r="J29" s="4">
        <v>195000</v>
      </c>
      <c r="K29" s="12">
        <f t="shared" si="0"/>
        <v>180000</v>
      </c>
    </row>
    <row r="30" spans="2:15" x14ac:dyDescent="0.25">
      <c r="B30" s="3">
        <v>28</v>
      </c>
      <c r="C30" s="3" t="s">
        <v>57</v>
      </c>
      <c r="D30" s="3" t="s">
        <v>11</v>
      </c>
      <c r="E30" s="3">
        <v>35328103</v>
      </c>
      <c r="F30" s="3"/>
      <c r="G30" s="3"/>
      <c r="H30" s="3" t="s">
        <v>61</v>
      </c>
      <c r="I30" s="3" t="s">
        <v>29</v>
      </c>
      <c r="J30" s="4">
        <v>195000</v>
      </c>
      <c r="K30" s="12">
        <f t="shared" si="0"/>
        <v>180000</v>
      </c>
    </row>
    <row r="31" spans="2:15" x14ac:dyDescent="0.25">
      <c r="B31" s="3">
        <v>29</v>
      </c>
      <c r="C31" s="3" t="s">
        <v>83</v>
      </c>
      <c r="D31" s="3" t="s">
        <v>11</v>
      </c>
      <c r="E31" s="3">
        <v>11450563</v>
      </c>
      <c r="F31" s="3"/>
      <c r="G31" s="3"/>
      <c r="H31" s="3" t="s">
        <v>61</v>
      </c>
      <c r="I31" s="3" t="s">
        <v>29</v>
      </c>
      <c r="J31" s="4">
        <v>195000</v>
      </c>
      <c r="K31" s="12">
        <f t="shared" si="0"/>
        <v>180000</v>
      </c>
    </row>
    <row r="32" spans="2:15" x14ac:dyDescent="0.25">
      <c r="B32" s="3">
        <v>30</v>
      </c>
      <c r="C32" s="3" t="s">
        <v>59</v>
      </c>
      <c r="D32" s="3" t="s">
        <v>11</v>
      </c>
      <c r="E32" s="3">
        <v>21056386</v>
      </c>
      <c r="F32" s="3"/>
      <c r="G32" s="3" t="s">
        <v>60</v>
      </c>
      <c r="H32" s="3" t="s">
        <v>61</v>
      </c>
      <c r="I32" s="3" t="s">
        <v>29</v>
      </c>
      <c r="J32" s="4">
        <v>195000</v>
      </c>
      <c r="K32" s="12">
        <f t="shared" si="0"/>
        <v>180000</v>
      </c>
    </row>
    <row r="33" spans="2:11" x14ac:dyDescent="0.25">
      <c r="B33" s="3">
        <v>32</v>
      </c>
      <c r="C33" s="3" t="s">
        <v>62</v>
      </c>
      <c r="D33" s="3" t="s">
        <v>11</v>
      </c>
      <c r="E33" s="3">
        <v>79538678</v>
      </c>
      <c r="F33" s="3"/>
      <c r="G33" s="3"/>
      <c r="H33" s="3" t="s">
        <v>24</v>
      </c>
      <c r="I33" s="3" t="s">
        <v>63</v>
      </c>
      <c r="J33" s="3">
        <v>0</v>
      </c>
      <c r="K33" s="12">
        <f>J33</f>
        <v>0</v>
      </c>
    </row>
    <row r="34" spans="2:11" x14ac:dyDescent="0.25">
      <c r="B34" s="3">
        <v>33</v>
      </c>
      <c r="C34" s="3" t="s">
        <v>64</v>
      </c>
      <c r="D34" s="3" t="s">
        <v>11</v>
      </c>
      <c r="E34" s="3">
        <v>1003635450</v>
      </c>
      <c r="F34" s="3"/>
      <c r="G34" s="3"/>
      <c r="H34" s="3" t="s">
        <v>24</v>
      </c>
      <c r="I34" s="3" t="s">
        <v>63</v>
      </c>
      <c r="J34" s="3">
        <v>0</v>
      </c>
      <c r="K34" s="12">
        <f>J34</f>
        <v>0</v>
      </c>
    </row>
    <row r="35" spans="2:11" x14ac:dyDescent="0.25">
      <c r="B35" s="3">
        <v>34</v>
      </c>
      <c r="C35" s="3" t="s">
        <v>65</v>
      </c>
      <c r="D35" s="3" t="s">
        <v>11</v>
      </c>
      <c r="E35" s="3">
        <v>38259709</v>
      </c>
      <c r="F35" s="3"/>
      <c r="G35" s="3"/>
      <c r="H35" s="3" t="s">
        <v>24</v>
      </c>
      <c r="I35" s="3" t="s">
        <v>29</v>
      </c>
      <c r="J35" s="4">
        <v>195000</v>
      </c>
      <c r="K35" s="12">
        <f t="shared" si="0"/>
        <v>180000</v>
      </c>
    </row>
    <row r="36" spans="2:11" x14ac:dyDescent="0.25">
      <c r="B36" s="3">
        <v>35</v>
      </c>
      <c r="C36" s="3" t="s">
        <v>66</v>
      </c>
      <c r="D36" s="3" t="s">
        <v>11</v>
      </c>
      <c r="E36" s="3">
        <v>20871515</v>
      </c>
      <c r="F36" s="3"/>
      <c r="G36" s="3" t="s">
        <v>67</v>
      </c>
      <c r="H36" s="3" t="s">
        <v>24</v>
      </c>
      <c r="I36" s="3" t="s">
        <v>29</v>
      </c>
      <c r="J36" s="4">
        <v>195000</v>
      </c>
      <c r="K36" s="12">
        <f t="shared" si="0"/>
        <v>180000</v>
      </c>
    </row>
    <row r="37" spans="2:11" x14ac:dyDescent="0.25">
      <c r="B37" s="3">
        <v>36</v>
      </c>
      <c r="C37" s="3" t="s">
        <v>68</v>
      </c>
      <c r="D37" s="3" t="s">
        <v>11</v>
      </c>
      <c r="E37" s="3">
        <v>1293554562</v>
      </c>
      <c r="F37" s="3"/>
      <c r="G37" s="3"/>
      <c r="H37" s="3" t="s">
        <v>24</v>
      </c>
      <c r="I37" s="3" t="s">
        <v>29</v>
      </c>
      <c r="J37" s="4">
        <v>195000</v>
      </c>
      <c r="K37" s="12">
        <f t="shared" si="0"/>
        <v>180000</v>
      </c>
    </row>
    <row r="38" spans="2:11" x14ac:dyDescent="0.25">
      <c r="B38" s="3">
        <v>37</v>
      </c>
      <c r="C38" s="3" t="s">
        <v>69</v>
      </c>
      <c r="D38" s="3" t="s">
        <v>11</v>
      </c>
      <c r="E38" s="3">
        <v>30372665</v>
      </c>
      <c r="F38" s="3"/>
      <c r="G38" s="3"/>
      <c r="H38" s="3" t="s">
        <v>43</v>
      </c>
      <c r="I38" s="3" t="s">
        <v>21</v>
      </c>
      <c r="J38" s="4">
        <v>195000</v>
      </c>
      <c r="K38" s="12">
        <f t="shared" si="0"/>
        <v>180000</v>
      </c>
    </row>
    <row r="39" spans="2:11" x14ac:dyDescent="0.25">
      <c r="B39" s="3">
        <v>38</v>
      </c>
      <c r="C39" s="3" t="s">
        <v>70</v>
      </c>
      <c r="D39" s="3" t="s">
        <v>11</v>
      </c>
      <c r="E39" s="3">
        <v>20357610</v>
      </c>
      <c r="F39" s="3"/>
      <c r="G39" s="3" t="s">
        <v>71</v>
      </c>
      <c r="H39" s="3" t="s">
        <v>43</v>
      </c>
      <c r="I39" s="3" t="s">
        <v>21</v>
      </c>
      <c r="J39" s="4">
        <v>195000</v>
      </c>
      <c r="K39" s="12">
        <f t="shared" si="0"/>
        <v>180000</v>
      </c>
    </row>
    <row r="40" spans="2:11" x14ac:dyDescent="0.25">
      <c r="B40" s="3">
        <v>39</v>
      </c>
      <c r="C40" s="3" t="s">
        <v>72</v>
      </c>
      <c r="D40" s="3" t="s">
        <v>11</v>
      </c>
      <c r="E40" s="3">
        <v>3800081</v>
      </c>
      <c r="F40" s="3"/>
      <c r="G40" s="3"/>
      <c r="H40" s="3" t="s">
        <v>24</v>
      </c>
      <c r="I40" s="3" t="s">
        <v>21</v>
      </c>
      <c r="J40" s="4">
        <v>195000</v>
      </c>
      <c r="K40" s="12">
        <f t="shared" si="0"/>
        <v>180000</v>
      </c>
    </row>
    <row r="41" spans="2:11" x14ac:dyDescent="0.25">
      <c r="B41" s="3">
        <v>40</v>
      </c>
      <c r="C41" s="3" t="s">
        <v>73</v>
      </c>
      <c r="D41" s="3" t="s">
        <v>11</v>
      </c>
      <c r="E41" s="3">
        <v>1078828427</v>
      </c>
      <c r="F41" s="3"/>
      <c r="G41" s="3"/>
      <c r="H41" s="3" t="s">
        <v>24</v>
      </c>
      <c r="I41" s="3" t="s">
        <v>21</v>
      </c>
      <c r="J41" s="4">
        <v>195000</v>
      </c>
      <c r="K41" s="12">
        <f t="shared" si="0"/>
        <v>180000</v>
      </c>
    </row>
    <row r="42" spans="2:11" x14ac:dyDescent="0.25">
      <c r="B42" s="5"/>
      <c r="C42" s="3" t="s">
        <v>74</v>
      </c>
      <c r="D42" s="3" t="s">
        <v>75</v>
      </c>
      <c r="E42" s="3">
        <v>1073630987</v>
      </c>
      <c r="F42" s="3"/>
      <c r="G42" s="3"/>
      <c r="H42" s="3" t="s">
        <v>24</v>
      </c>
      <c r="I42" s="3"/>
      <c r="J42" s="4">
        <v>35000</v>
      </c>
      <c r="K42" s="12">
        <f>J42</f>
        <v>35000</v>
      </c>
    </row>
    <row r="43" spans="2:11" x14ac:dyDescent="0.25">
      <c r="B43" s="3">
        <v>41</v>
      </c>
      <c r="C43" s="3" t="s">
        <v>76</v>
      </c>
      <c r="D43" s="3" t="s">
        <v>11</v>
      </c>
      <c r="E43" s="3">
        <v>21017401</v>
      </c>
      <c r="F43" s="3"/>
      <c r="G43" s="3"/>
      <c r="H43" s="3" t="s">
        <v>13</v>
      </c>
      <c r="I43" s="3" t="s">
        <v>79</v>
      </c>
      <c r="J43" s="3">
        <v>195000</v>
      </c>
      <c r="K43" s="12">
        <f t="shared" si="0"/>
        <v>180000</v>
      </c>
    </row>
    <row r="44" spans="2:11" x14ac:dyDescent="0.25">
      <c r="B44" s="3">
        <v>42</v>
      </c>
      <c r="C44" s="3" t="s">
        <v>77</v>
      </c>
      <c r="D44" s="3" t="s">
        <v>11</v>
      </c>
      <c r="E44" s="3">
        <v>21014455</v>
      </c>
      <c r="F44" s="3"/>
      <c r="G44" s="3"/>
      <c r="H44" s="3" t="s">
        <v>13</v>
      </c>
      <c r="I44" s="3" t="s">
        <v>79</v>
      </c>
      <c r="J44" s="3">
        <v>195000</v>
      </c>
      <c r="K44" s="12">
        <f t="shared" si="0"/>
        <v>180000</v>
      </c>
    </row>
    <row r="45" spans="2:11" x14ac:dyDescent="0.25">
      <c r="J45" s="14">
        <f>SUM(J3:J44)</f>
        <v>7640000</v>
      </c>
      <c r="K45" s="13">
        <f>SUM(K3:K44)</f>
        <v>7055000</v>
      </c>
    </row>
  </sheetData>
  <mergeCells count="1"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7FCB-25A4-452D-96B7-8DE1B1E0FC82}">
  <dimension ref="B2:J44"/>
  <sheetViews>
    <sheetView topLeftCell="A7" workbookViewId="0">
      <selection activeCell="I23" sqref="I23:J27"/>
    </sheetView>
  </sheetViews>
  <sheetFormatPr baseColWidth="10" defaultRowHeight="15" x14ac:dyDescent="0.25"/>
  <cols>
    <col min="2" max="2" width="3" bestFit="1" customWidth="1"/>
    <col min="3" max="3" width="30.42578125" bestFit="1" customWidth="1"/>
    <col min="7" max="7" width="14.42578125" bestFit="1" customWidth="1"/>
  </cols>
  <sheetData>
    <row r="2" spans="2:7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6</v>
      </c>
      <c r="G2" s="2" t="s">
        <v>7</v>
      </c>
    </row>
    <row r="3" spans="2:7" x14ac:dyDescent="0.25">
      <c r="B3" s="3">
        <v>1</v>
      </c>
      <c r="C3" s="3" t="s">
        <v>22</v>
      </c>
      <c r="D3" s="3" t="s">
        <v>11</v>
      </c>
      <c r="E3" s="3">
        <v>1006729822</v>
      </c>
      <c r="F3" s="8" t="s">
        <v>24</v>
      </c>
      <c r="G3" s="3" t="s">
        <v>21</v>
      </c>
    </row>
    <row r="4" spans="2:7" x14ac:dyDescent="0.25">
      <c r="B4" s="3">
        <v>2</v>
      </c>
      <c r="C4" s="3" t="s">
        <v>10</v>
      </c>
      <c r="D4" s="3" t="s">
        <v>11</v>
      </c>
      <c r="E4" s="3">
        <v>21018348</v>
      </c>
      <c r="F4" s="9" t="s">
        <v>13</v>
      </c>
      <c r="G4" s="3" t="s">
        <v>19</v>
      </c>
    </row>
    <row r="5" spans="2:7" x14ac:dyDescent="0.25">
      <c r="B5" s="3">
        <v>3</v>
      </c>
      <c r="C5" s="3" t="s">
        <v>14</v>
      </c>
      <c r="D5" s="3" t="s">
        <v>11</v>
      </c>
      <c r="E5" s="4">
        <v>11451254</v>
      </c>
      <c r="F5" s="8" t="s">
        <v>24</v>
      </c>
      <c r="G5" s="3" t="s">
        <v>21</v>
      </c>
    </row>
    <row r="6" spans="2:7" x14ac:dyDescent="0.25">
      <c r="B6" s="3">
        <v>4</v>
      </c>
      <c r="C6" s="3" t="s">
        <v>15</v>
      </c>
      <c r="D6" s="3" t="s">
        <v>16</v>
      </c>
      <c r="E6" s="3">
        <v>1073628057</v>
      </c>
      <c r="F6" s="8" t="s">
        <v>24</v>
      </c>
      <c r="G6" s="3" t="s">
        <v>21</v>
      </c>
    </row>
    <row r="7" spans="2:7" x14ac:dyDescent="0.25">
      <c r="B7" s="3">
        <v>5</v>
      </c>
      <c r="C7" s="3" t="s">
        <v>17</v>
      </c>
      <c r="D7" s="3" t="s">
        <v>11</v>
      </c>
      <c r="E7" s="3">
        <v>1070615040</v>
      </c>
      <c r="F7" s="9" t="s">
        <v>13</v>
      </c>
      <c r="G7" s="3" t="s">
        <v>19</v>
      </c>
    </row>
    <row r="8" spans="2:7" x14ac:dyDescent="0.25">
      <c r="B8" s="3">
        <v>6</v>
      </c>
      <c r="C8" s="3" t="s">
        <v>18</v>
      </c>
      <c r="D8" s="3" t="s">
        <v>11</v>
      </c>
      <c r="E8" s="3">
        <v>1090439070</v>
      </c>
      <c r="F8" s="9" t="s">
        <v>13</v>
      </c>
      <c r="G8" s="3" t="s">
        <v>19</v>
      </c>
    </row>
    <row r="9" spans="2:7" x14ac:dyDescent="0.25">
      <c r="B9" s="3">
        <v>7</v>
      </c>
      <c r="C9" s="3" t="s">
        <v>20</v>
      </c>
      <c r="D9" s="3" t="s">
        <v>11</v>
      </c>
      <c r="E9" s="3">
        <v>1073629939</v>
      </c>
      <c r="F9" s="8" t="s">
        <v>24</v>
      </c>
      <c r="G9" s="3" t="s">
        <v>19</v>
      </c>
    </row>
    <row r="10" spans="2:7" x14ac:dyDescent="0.25">
      <c r="B10" s="3">
        <v>8</v>
      </c>
      <c r="C10" s="3" t="s">
        <v>27</v>
      </c>
      <c r="D10" s="3" t="s">
        <v>11</v>
      </c>
      <c r="E10" s="3">
        <v>1075629247</v>
      </c>
      <c r="F10" s="9" t="s">
        <v>13</v>
      </c>
      <c r="G10" s="3" t="s">
        <v>19</v>
      </c>
    </row>
    <row r="11" spans="2:7" x14ac:dyDescent="0.25">
      <c r="B11" s="3">
        <v>9</v>
      </c>
      <c r="C11" s="3" t="s">
        <v>81</v>
      </c>
      <c r="D11" s="3" t="s">
        <v>11</v>
      </c>
      <c r="E11" s="3">
        <v>1010085329</v>
      </c>
      <c r="F11" s="8" t="s">
        <v>24</v>
      </c>
      <c r="G11" s="3" t="s">
        <v>29</v>
      </c>
    </row>
    <row r="12" spans="2:7" x14ac:dyDescent="0.25">
      <c r="B12" s="3">
        <v>10</v>
      </c>
      <c r="C12" s="3" t="s">
        <v>30</v>
      </c>
      <c r="D12" s="3" t="s">
        <v>31</v>
      </c>
      <c r="E12" s="3">
        <v>4891826</v>
      </c>
      <c r="F12" s="8" t="s">
        <v>24</v>
      </c>
      <c r="G12" s="3" t="s">
        <v>29</v>
      </c>
    </row>
    <row r="13" spans="2:7" x14ac:dyDescent="0.25">
      <c r="B13" s="3">
        <v>11</v>
      </c>
      <c r="C13" s="3" t="s">
        <v>82</v>
      </c>
      <c r="D13" s="3" t="s">
        <v>31</v>
      </c>
      <c r="E13" s="3">
        <v>5935750</v>
      </c>
      <c r="F13" s="8" t="s">
        <v>24</v>
      </c>
      <c r="G13" s="3" t="s">
        <v>29</v>
      </c>
    </row>
    <row r="14" spans="2:7" x14ac:dyDescent="0.25">
      <c r="B14" s="3">
        <v>12</v>
      </c>
      <c r="C14" s="3" t="s">
        <v>33</v>
      </c>
      <c r="D14" s="3" t="s">
        <v>31</v>
      </c>
      <c r="E14" s="3">
        <v>1411505</v>
      </c>
      <c r="F14" s="8" t="s">
        <v>24</v>
      </c>
      <c r="G14" s="3" t="s">
        <v>29</v>
      </c>
    </row>
    <row r="15" spans="2:7" x14ac:dyDescent="0.25">
      <c r="B15" s="3">
        <v>13</v>
      </c>
      <c r="C15" s="3" t="s">
        <v>34</v>
      </c>
      <c r="D15" s="3" t="s">
        <v>11</v>
      </c>
      <c r="E15" s="3">
        <v>52021638</v>
      </c>
      <c r="F15" s="8" t="s">
        <v>24</v>
      </c>
      <c r="G15" s="3" t="s">
        <v>29</v>
      </c>
    </row>
    <row r="16" spans="2:7" x14ac:dyDescent="0.25">
      <c r="B16" s="3">
        <v>14</v>
      </c>
      <c r="C16" s="3" t="s">
        <v>35</v>
      </c>
      <c r="D16" s="3" t="s">
        <v>11</v>
      </c>
      <c r="E16" s="3">
        <v>51583764</v>
      </c>
      <c r="F16" s="8" t="s">
        <v>24</v>
      </c>
      <c r="G16" s="3" t="s">
        <v>21</v>
      </c>
    </row>
    <row r="17" spans="2:10" x14ac:dyDescent="0.25">
      <c r="B17" s="3">
        <v>15</v>
      </c>
      <c r="C17" s="3" t="s">
        <v>37</v>
      </c>
      <c r="D17" s="3" t="s">
        <v>11</v>
      </c>
      <c r="E17" s="3">
        <v>20871813</v>
      </c>
      <c r="F17" s="8" t="s">
        <v>24</v>
      </c>
      <c r="G17" s="3" t="s">
        <v>29</v>
      </c>
    </row>
    <row r="18" spans="2:10" x14ac:dyDescent="0.25">
      <c r="B18" s="3">
        <v>16</v>
      </c>
      <c r="C18" s="3" t="s">
        <v>39</v>
      </c>
      <c r="D18" s="3" t="s">
        <v>11</v>
      </c>
      <c r="E18" s="3">
        <v>11451426</v>
      </c>
      <c r="F18" s="8" t="s">
        <v>24</v>
      </c>
      <c r="G18" s="3" t="s">
        <v>29</v>
      </c>
    </row>
    <row r="19" spans="2:10" x14ac:dyDescent="0.25">
      <c r="B19" s="3">
        <v>17</v>
      </c>
      <c r="C19" s="3" t="s">
        <v>40</v>
      </c>
      <c r="D19" s="3" t="s">
        <v>11</v>
      </c>
      <c r="E19" s="3">
        <v>17097579</v>
      </c>
      <c r="F19" s="8" t="s">
        <v>24</v>
      </c>
      <c r="G19" s="3" t="s">
        <v>29</v>
      </c>
    </row>
    <row r="20" spans="2:10" x14ac:dyDescent="0.25">
      <c r="B20" s="3">
        <v>18</v>
      </c>
      <c r="C20" s="3" t="s">
        <v>41</v>
      </c>
      <c r="D20" s="3" t="s">
        <v>11</v>
      </c>
      <c r="E20" s="3">
        <v>52323528</v>
      </c>
      <c r="F20" s="7" t="s">
        <v>43</v>
      </c>
      <c r="G20" s="3" t="s">
        <v>21</v>
      </c>
    </row>
    <row r="21" spans="2:10" x14ac:dyDescent="0.25">
      <c r="B21" s="3">
        <v>19</v>
      </c>
      <c r="C21" s="3" t="s">
        <v>44</v>
      </c>
      <c r="D21" s="3" t="s">
        <v>11</v>
      </c>
      <c r="E21" s="3">
        <v>107363042</v>
      </c>
      <c r="F21" s="8" t="s">
        <v>24</v>
      </c>
      <c r="G21" s="3" t="s">
        <v>29</v>
      </c>
    </row>
    <row r="22" spans="2:10" x14ac:dyDescent="0.25">
      <c r="B22" s="3">
        <v>20</v>
      </c>
      <c r="C22" s="3" t="s">
        <v>45</v>
      </c>
      <c r="D22" s="3" t="s">
        <v>11</v>
      </c>
      <c r="E22" s="3">
        <v>28994918</v>
      </c>
      <c r="F22" s="8" t="s">
        <v>24</v>
      </c>
      <c r="G22" s="3" t="s">
        <v>29</v>
      </c>
    </row>
    <row r="23" spans="2:10" x14ac:dyDescent="0.25">
      <c r="B23" s="3">
        <v>21</v>
      </c>
      <c r="C23" s="3" t="s">
        <v>46</v>
      </c>
      <c r="D23" s="3" t="s">
        <v>11</v>
      </c>
      <c r="E23" s="3">
        <v>20358064</v>
      </c>
      <c r="F23" s="8" t="s">
        <v>24</v>
      </c>
      <c r="G23" s="3" t="s">
        <v>29</v>
      </c>
      <c r="I23" s="3">
        <f>COUNTIF(F:F,"MOSQUERA")</f>
        <v>4</v>
      </c>
      <c r="J23" s="5" t="s">
        <v>61</v>
      </c>
    </row>
    <row r="24" spans="2:10" x14ac:dyDescent="0.25">
      <c r="B24" s="3">
        <v>22</v>
      </c>
      <c r="C24" s="3" t="s">
        <v>47</v>
      </c>
      <c r="D24" s="3" t="s">
        <v>11</v>
      </c>
      <c r="E24" s="3">
        <v>11450878</v>
      </c>
      <c r="F24" s="8" t="s">
        <v>24</v>
      </c>
      <c r="G24" s="3" t="s">
        <v>29</v>
      </c>
      <c r="I24" s="3">
        <f>COUNTIF(F:F,"ANAPOIMA")</f>
        <v>3</v>
      </c>
      <c r="J24" s="7" t="s">
        <v>43</v>
      </c>
    </row>
    <row r="25" spans="2:10" x14ac:dyDescent="0.25">
      <c r="B25" s="3">
        <v>23</v>
      </c>
      <c r="C25" s="3" t="s">
        <v>48</v>
      </c>
      <c r="D25" s="3" t="s">
        <v>11</v>
      </c>
      <c r="E25" s="3">
        <v>43043664</v>
      </c>
      <c r="F25" s="8" t="s">
        <v>24</v>
      </c>
      <c r="G25" s="3" t="s">
        <v>29</v>
      </c>
      <c r="I25" s="3">
        <f>COUNTIF(F:F,"APULO")</f>
        <v>27</v>
      </c>
      <c r="J25" s="8" t="s">
        <v>24</v>
      </c>
    </row>
    <row r="26" spans="2:10" x14ac:dyDescent="0.25">
      <c r="B26" s="3">
        <v>24</v>
      </c>
      <c r="C26" s="3" t="s">
        <v>50</v>
      </c>
      <c r="D26" s="3" t="s">
        <v>11</v>
      </c>
      <c r="E26" s="3">
        <v>1075627921</v>
      </c>
      <c r="F26" s="9" t="s">
        <v>13</v>
      </c>
      <c r="G26" s="3" t="s">
        <v>52</v>
      </c>
      <c r="I26" s="3">
        <f>COUNTIF(F:F,"TOCAIMA")</f>
        <v>8</v>
      </c>
      <c r="J26" s="9" t="s">
        <v>13</v>
      </c>
    </row>
    <row r="27" spans="2:10" x14ac:dyDescent="0.25">
      <c r="B27" s="3">
        <v>25</v>
      </c>
      <c r="C27" s="3" t="s">
        <v>53</v>
      </c>
      <c r="D27" s="3" t="s">
        <v>11</v>
      </c>
      <c r="E27" s="3">
        <v>1075627921</v>
      </c>
      <c r="F27" s="9" t="s">
        <v>13</v>
      </c>
      <c r="G27" s="3" t="s">
        <v>52</v>
      </c>
      <c r="I27" s="3">
        <f>SUM(I23:I26)</f>
        <v>42</v>
      </c>
      <c r="J27" s="3" t="s">
        <v>78</v>
      </c>
    </row>
    <row r="28" spans="2:10" x14ac:dyDescent="0.25">
      <c r="B28" s="3">
        <v>26</v>
      </c>
      <c r="C28" s="3" t="s">
        <v>55</v>
      </c>
      <c r="D28" s="3" t="s">
        <v>11</v>
      </c>
      <c r="E28" s="3">
        <v>41607607</v>
      </c>
      <c r="F28" s="5" t="s">
        <v>61</v>
      </c>
      <c r="G28" s="3" t="s">
        <v>29</v>
      </c>
    </row>
    <row r="29" spans="2:10" x14ac:dyDescent="0.25">
      <c r="B29" s="3">
        <v>27</v>
      </c>
      <c r="C29" s="3" t="s">
        <v>56</v>
      </c>
      <c r="D29" s="3" t="s">
        <v>11</v>
      </c>
      <c r="E29" s="3">
        <v>20871432</v>
      </c>
      <c r="F29" s="5" t="s">
        <v>61</v>
      </c>
      <c r="G29" s="3" t="s">
        <v>29</v>
      </c>
    </row>
    <row r="30" spans="2:10" x14ac:dyDescent="0.25">
      <c r="B30" s="3">
        <v>28</v>
      </c>
      <c r="C30" s="3" t="s">
        <v>57</v>
      </c>
      <c r="D30" s="3" t="s">
        <v>11</v>
      </c>
      <c r="E30" s="3">
        <v>35328103</v>
      </c>
      <c r="F30" s="5" t="s">
        <v>61</v>
      </c>
      <c r="G30" s="3" t="s">
        <v>29</v>
      </c>
    </row>
    <row r="31" spans="2:10" x14ac:dyDescent="0.25">
      <c r="B31" s="3">
        <v>29</v>
      </c>
      <c r="C31" s="3" t="s">
        <v>58</v>
      </c>
      <c r="D31" s="3" t="s">
        <v>11</v>
      </c>
      <c r="E31" s="3">
        <v>11450563</v>
      </c>
      <c r="F31" s="5" t="s">
        <v>61</v>
      </c>
      <c r="G31" s="3" t="s">
        <v>29</v>
      </c>
    </row>
    <row r="32" spans="2:10" x14ac:dyDescent="0.25">
      <c r="B32" s="3">
        <v>30</v>
      </c>
      <c r="C32" s="3" t="s">
        <v>59</v>
      </c>
      <c r="D32" s="3" t="s">
        <v>11</v>
      </c>
      <c r="E32" s="3">
        <v>21056386</v>
      </c>
      <c r="F32" s="8" t="s">
        <v>24</v>
      </c>
      <c r="G32" s="3" t="s">
        <v>29</v>
      </c>
    </row>
    <row r="33" spans="2:8" x14ac:dyDescent="0.25">
      <c r="B33" s="3">
        <v>31</v>
      </c>
      <c r="C33" s="3" t="s">
        <v>62</v>
      </c>
      <c r="D33" s="3" t="s">
        <v>11</v>
      </c>
      <c r="E33" s="3">
        <v>79538678</v>
      </c>
      <c r="F33" s="8" t="s">
        <v>24</v>
      </c>
      <c r="G33" s="3" t="s">
        <v>63</v>
      </c>
    </row>
    <row r="34" spans="2:8" x14ac:dyDescent="0.25">
      <c r="B34" s="3">
        <v>32</v>
      </c>
      <c r="C34" s="3" t="s">
        <v>64</v>
      </c>
      <c r="D34" s="3" t="s">
        <v>11</v>
      </c>
      <c r="E34" s="3">
        <v>1003635450</v>
      </c>
      <c r="F34" s="8" t="s">
        <v>24</v>
      </c>
      <c r="G34" s="3" t="s">
        <v>63</v>
      </c>
    </row>
    <row r="35" spans="2:8" x14ac:dyDescent="0.25">
      <c r="B35" s="3">
        <v>33</v>
      </c>
      <c r="C35" s="3" t="s">
        <v>65</v>
      </c>
      <c r="D35" s="3" t="s">
        <v>11</v>
      </c>
      <c r="E35" s="3">
        <v>38259709</v>
      </c>
      <c r="F35" s="8" t="s">
        <v>24</v>
      </c>
      <c r="G35" s="3" t="s">
        <v>29</v>
      </c>
    </row>
    <row r="36" spans="2:8" x14ac:dyDescent="0.25">
      <c r="B36" s="3">
        <v>34</v>
      </c>
      <c r="C36" s="3" t="s">
        <v>66</v>
      </c>
      <c r="D36" s="3" t="s">
        <v>11</v>
      </c>
      <c r="E36" s="3">
        <v>20871515</v>
      </c>
      <c r="F36" s="8" t="s">
        <v>24</v>
      </c>
      <c r="G36" s="3" t="s">
        <v>29</v>
      </c>
      <c r="H36" s="10" t="s">
        <v>80</v>
      </c>
    </row>
    <row r="37" spans="2:8" x14ac:dyDescent="0.25">
      <c r="B37" s="3">
        <v>35</v>
      </c>
      <c r="C37" s="3" t="s">
        <v>68</v>
      </c>
      <c r="D37" s="3" t="s">
        <v>11</v>
      </c>
      <c r="E37" s="3">
        <v>1293554562</v>
      </c>
      <c r="F37" s="8" t="s">
        <v>24</v>
      </c>
      <c r="G37" s="3" t="s">
        <v>29</v>
      </c>
    </row>
    <row r="38" spans="2:8" x14ac:dyDescent="0.25">
      <c r="B38" s="3">
        <v>36</v>
      </c>
      <c r="C38" s="3" t="s">
        <v>69</v>
      </c>
      <c r="D38" s="3" t="s">
        <v>11</v>
      </c>
      <c r="E38" s="3">
        <v>30372665</v>
      </c>
      <c r="F38" s="7" t="s">
        <v>43</v>
      </c>
      <c r="G38" s="3" t="s">
        <v>21</v>
      </c>
    </row>
    <row r="39" spans="2:8" x14ac:dyDescent="0.25">
      <c r="B39" s="3">
        <v>37</v>
      </c>
      <c r="C39" s="3" t="s">
        <v>70</v>
      </c>
      <c r="D39" s="3" t="s">
        <v>11</v>
      </c>
      <c r="E39" s="3">
        <v>20357610</v>
      </c>
      <c r="F39" s="7" t="s">
        <v>43</v>
      </c>
      <c r="G39" s="3" t="s">
        <v>21</v>
      </c>
    </row>
    <row r="40" spans="2:8" x14ac:dyDescent="0.25">
      <c r="B40" s="3">
        <v>38</v>
      </c>
      <c r="C40" s="3" t="s">
        <v>72</v>
      </c>
      <c r="D40" s="3" t="s">
        <v>11</v>
      </c>
      <c r="E40" s="3">
        <v>3800081</v>
      </c>
      <c r="F40" s="8" t="s">
        <v>24</v>
      </c>
      <c r="G40" s="3" t="s">
        <v>21</v>
      </c>
    </row>
    <row r="41" spans="2:8" x14ac:dyDescent="0.25">
      <c r="B41" s="3">
        <v>39</v>
      </c>
      <c r="C41" s="3" t="s">
        <v>73</v>
      </c>
      <c r="D41" s="3" t="s">
        <v>11</v>
      </c>
      <c r="E41" s="3">
        <v>1078828427</v>
      </c>
      <c r="F41" s="8" t="s">
        <v>24</v>
      </c>
      <c r="G41" s="3" t="s">
        <v>21</v>
      </c>
    </row>
    <row r="42" spans="2:8" x14ac:dyDescent="0.25">
      <c r="B42" s="5"/>
      <c r="C42" s="3" t="s">
        <v>74</v>
      </c>
      <c r="D42" s="3" t="s">
        <v>75</v>
      </c>
      <c r="E42" s="3">
        <v>1073630987</v>
      </c>
      <c r="F42" s="8" t="s">
        <v>24</v>
      </c>
      <c r="G42" s="3" t="s">
        <v>21</v>
      </c>
    </row>
    <row r="43" spans="2:8" x14ac:dyDescent="0.25">
      <c r="B43" s="3">
        <v>40</v>
      </c>
      <c r="C43" s="3" t="s">
        <v>76</v>
      </c>
      <c r="D43" s="3" t="s">
        <v>11</v>
      </c>
      <c r="E43" s="3">
        <v>21017401</v>
      </c>
      <c r="F43" s="9" t="s">
        <v>13</v>
      </c>
      <c r="G43" s="3" t="s">
        <v>79</v>
      </c>
    </row>
    <row r="44" spans="2:8" x14ac:dyDescent="0.25">
      <c r="B44" s="3">
        <v>41</v>
      </c>
      <c r="C44" s="3" t="s">
        <v>77</v>
      </c>
      <c r="D44" s="3" t="s">
        <v>11</v>
      </c>
      <c r="E44" s="3">
        <v>21014455</v>
      </c>
      <c r="F44" s="9" t="s">
        <v>13</v>
      </c>
      <c r="G44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Valery Natalia Duarte Gomez</dc:creator>
  <cp:lastModifiedBy>Valery Natalia Duarte Gomez</cp:lastModifiedBy>
  <dcterms:created xsi:type="dcterms:W3CDTF">2025-02-28T17:04:56Z</dcterms:created>
  <dcterms:modified xsi:type="dcterms:W3CDTF">2025-04-03T21:30:47Z</dcterms:modified>
</cp:coreProperties>
</file>