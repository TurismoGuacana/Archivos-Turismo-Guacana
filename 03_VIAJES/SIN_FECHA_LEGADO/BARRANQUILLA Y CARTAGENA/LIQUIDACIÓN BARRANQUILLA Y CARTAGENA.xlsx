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BARRAQUILLA Y CARTAGENA\"/>
    </mc:Choice>
  </mc:AlternateContent>
  <xr:revisionPtr revIDLastSave="0" documentId="8_{62170778-ECB2-49FC-B70C-8F0B5E4CCA65}" xr6:coauthVersionLast="47" xr6:coauthVersionMax="47" xr10:uidLastSave="{00000000-0000-0000-0000-000000000000}"/>
  <bookViews>
    <workbookView xWindow="-120" yWindow="-120" windowWidth="20730" windowHeight="11160" xr2:uid="{E964ADEF-AAFE-46FA-9CD5-F99A15D092F6}"/>
  </bookViews>
  <sheets>
    <sheet name="Hoja1" sheetId="1" r:id="rId1"/>
    <sheet name="Hoja5" sheetId="6" r:id="rId2"/>
    <sheet name="Hoja4" sheetId="4" r:id="rId3"/>
    <sheet name="Hoja6" sheetId="7" r:id="rId4"/>
    <sheet name="Hoja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1" l="1"/>
  <c r="P25" i="1"/>
  <c r="L48" i="1"/>
  <c r="L41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2" i="1"/>
  <c r="L23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2" i="1"/>
  <c r="L43" i="1"/>
  <c r="L44" i="1"/>
  <c r="L45" i="1"/>
  <c r="L46" i="1"/>
  <c r="L47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K65" i="1"/>
  <c r="P23" i="1"/>
  <c r="O24" i="1"/>
  <c r="O23" i="1"/>
  <c r="O22" i="1"/>
  <c r="P22" i="1" s="1"/>
  <c r="O21" i="1"/>
  <c r="K4" i="6"/>
  <c r="K7" i="6"/>
  <c r="K3" i="6"/>
  <c r="K6" i="6"/>
  <c r="K5" i="6"/>
  <c r="O15" i="1" l="1"/>
  <c r="L66" i="1"/>
  <c r="O16" i="1"/>
  <c r="O25" i="1"/>
  <c r="P21" i="1"/>
  <c r="K8" i="6"/>
</calcChain>
</file>

<file path=xl/sharedStrings.xml><?xml version="1.0" encoding="utf-8"?>
<sst xmlns="http://schemas.openxmlformats.org/spreadsheetml/2006/main" count="1230" uniqueCount="144">
  <si>
    <t>Alfonso Hernández</t>
  </si>
  <si>
    <t xml:space="preserve">Luz Marina Barrios </t>
  </si>
  <si>
    <t>N°</t>
  </si>
  <si>
    <t>NOMBRE</t>
  </si>
  <si>
    <t>T.D</t>
  </si>
  <si>
    <t>N.D</t>
  </si>
  <si>
    <t>F.N</t>
  </si>
  <si>
    <t>TELEFONO</t>
  </si>
  <si>
    <t>MUNICIPIO</t>
  </si>
  <si>
    <t>ABONO</t>
  </si>
  <si>
    <t>COMISIONISTA</t>
  </si>
  <si>
    <t>VALOR</t>
  </si>
  <si>
    <t>COMSIÓN</t>
  </si>
  <si>
    <t>C.C</t>
  </si>
  <si>
    <t>APULO</t>
  </si>
  <si>
    <t>LAD</t>
  </si>
  <si>
    <t>MARIA ALBALIRIA MARTINEZ PAVA</t>
  </si>
  <si>
    <t xml:space="preserve">GLADYS TORRES BERRIO </t>
  </si>
  <si>
    <t>311 4432321</t>
  </si>
  <si>
    <t>311 8203230</t>
  </si>
  <si>
    <t>Flor alba Páez Ramirez</t>
  </si>
  <si>
    <t>EDITH</t>
  </si>
  <si>
    <t>T.I</t>
  </si>
  <si>
    <t>Nathya shagelen Silva Jiménez</t>
  </si>
  <si>
    <t>Yeimy Catherine Jiménez torres</t>
  </si>
  <si>
    <t>09-05 1993</t>
  </si>
  <si>
    <t>Emerson Estik silva Peñaloza</t>
  </si>
  <si>
    <t>Roberto Henandez</t>
  </si>
  <si>
    <t>María Antonia Acevedo</t>
  </si>
  <si>
    <t>Oliva Rubio Laverde</t>
  </si>
  <si>
    <t>Luis Duarte</t>
  </si>
  <si>
    <t>Gabriel Cabrera</t>
  </si>
  <si>
    <t>María Fernanda Benavides</t>
  </si>
  <si>
    <t>empres</t>
  </si>
  <si>
    <t>ANAPOIMA</t>
  </si>
  <si>
    <t>Erika Muñoz Medina</t>
  </si>
  <si>
    <t>Luz Amparo Rivera Hernandez</t>
  </si>
  <si>
    <t xml:space="preserve">Valentina Salamanca Narvaez </t>
  </si>
  <si>
    <t>Ana Edith Moreno Silva</t>
  </si>
  <si>
    <t xml:space="preserve">Gabriela Alzate </t>
  </si>
  <si>
    <t>Edgar Barreto Rodríguez</t>
  </si>
  <si>
    <t>María Nelly Lozano Suarez</t>
  </si>
  <si>
    <t>TOCAIMA</t>
  </si>
  <si>
    <t xml:space="preserve">Vuela </t>
  </si>
  <si>
    <t xml:space="preserve"> 14-10-2012</t>
  </si>
  <si>
    <t>Luz Mary Carvajal Rodríguez</t>
  </si>
  <si>
    <t>Said Peña Munayar</t>
  </si>
  <si>
    <t>ERNESTO MARQUEZ</t>
  </si>
  <si>
    <t>PATRICIA GARZÓN CASTELLO</t>
  </si>
  <si>
    <t>""</t>
  </si>
  <si>
    <t>311 510 3839</t>
  </si>
  <si>
    <t>311 510 7774</t>
  </si>
  <si>
    <t>Isabella Cabrera</t>
  </si>
  <si>
    <t>Johana Salcedo Alfonso</t>
  </si>
  <si>
    <t>José Ernesto Guevara Espinosa</t>
  </si>
  <si>
    <t>Salomon Salcedo Alfonso</t>
  </si>
  <si>
    <t>María Teresa Ramirez Barrero</t>
  </si>
  <si>
    <t>Hilda Peña Lopez</t>
  </si>
  <si>
    <t>313 221 9204</t>
  </si>
  <si>
    <t>Dilan Santiago Cruz Diaz</t>
  </si>
  <si>
    <t>311 8723732</t>
  </si>
  <si>
    <t>Samuel Alejandro Osorio Diaz</t>
  </si>
  <si>
    <t>R.C</t>
  </si>
  <si>
    <t>solo seguro 60 mil</t>
  </si>
  <si>
    <t>Sandra Mireya Salazar Martínez</t>
  </si>
  <si>
    <t>MESETA</t>
  </si>
  <si>
    <t xml:space="preserve">Leonor Fonseca </t>
  </si>
  <si>
    <t>Sandra Liliana Fonseca</t>
  </si>
  <si>
    <t>311 4515148</t>
  </si>
  <si>
    <t>Anderson andres reyes</t>
  </si>
  <si>
    <t>Luz Mary Mendoza junca</t>
  </si>
  <si>
    <t>Luis Alejandro Sánchez Mendoza</t>
  </si>
  <si>
    <t xml:space="preserve"> Danna Sofia Mendez Pinilla </t>
  </si>
  <si>
    <t>Myriam Méndez Martínez</t>
  </si>
  <si>
    <t>total</t>
  </si>
  <si>
    <t>María Silvia Peñaloza</t>
  </si>
  <si>
    <t>TIPO DE HB</t>
  </si>
  <si>
    <t>FECHA NAC.</t>
  </si>
  <si>
    <t>HB DOBLE 102</t>
  </si>
  <si>
    <t>HB DOBLE 110</t>
  </si>
  <si>
    <t xml:space="preserve">HB DOBLE 112 </t>
  </si>
  <si>
    <t>HB DOBLE 105</t>
  </si>
  <si>
    <t>HB DOBLE 209</t>
  </si>
  <si>
    <t>HB DOBLE 307</t>
  </si>
  <si>
    <t xml:space="preserve">HB DOBLE 211 </t>
  </si>
  <si>
    <t>HB DOBLE 213</t>
  </si>
  <si>
    <t>HB DOBLE 308</t>
  </si>
  <si>
    <t>HB DOBLE 214</t>
  </si>
  <si>
    <t>HB SENCILLA 206</t>
  </si>
  <si>
    <t>HB TRIPLE 403</t>
  </si>
  <si>
    <t xml:space="preserve">HB TRIPLE 208 </t>
  </si>
  <si>
    <t>HB TRIPLE 108</t>
  </si>
  <si>
    <t>HB TRIPLE 404</t>
  </si>
  <si>
    <t xml:space="preserve">Rosalba Tellez Galeano </t>
  </si>
  <si>
    <t>Obed Idarraga Pinzon</t>
  </si>
  <si>
    <t>Mery Ofelia Chaves</t>
  </si>
  <si>
    <t>MAFE</t>
  </si>
  <si>
    <t>Esther Juia Arevalo</t>
  </si>
  <si>
    <t>María Espinosa</t>
  </si>
  <si>
    <t>Carlos Andres Garzón</t>
  </si>
  <si>
    <t>Mary Luz Espinoza</t>
  </si>
  <si>
    <t>LUIS FRANCISCO SILVA RIAÑO</t>
  </si>
  <si>
    <t>Belen Narvaez Garcia</t>
  </si>
  <si>
    <t>Luz Amanda Garcia Riaño</t>
  </si>
  <si>
    <t>Luz Marina Galindo Sarmiento</t>
  </si>
  <si>
    <t>311 493 9820</t>
  </si>
  <si>
    <t>Flor Elba Rodríguez</t>
  </si>
  <si>
    <t>Edgar Duarte</t>
  </si>
  <si>
    <t xml:space="preserve">Estella Rincón </t>
  </si>
  <si>
    <t>Huver Nedy Mafla Herrera</t>
  </si>
  <si>
    <t>FONTIBON</t>
  </si>
  <si>
    <t>Leydi Nabeyi Díaz peña</t>
  </si>
  <si>
    <t>HB DOBLE 318</t>
  </si>
  <si>
    <t>HB DOBLE 317</t>
  </si>
  <si>
    <t>HB TRIPLE 207</t>
  </si>
  <si>
    <t>HB TRIPLE 315</t>
  </si>
  <si>
    <t xml:space="preserve"> Jacobo Aleandro Ortega Camargo </t>
  </si>
  <si>
    <t>Lucely Pinilla Hernandez</t>
  </si>
  <si>
    <t>Santiago Mauricio castaño Zambrano</t>
  </si>
  <si>
    <t>Nestor Francisco Torres</t>
  </si>
  <si>
    <t>seguro, bus, lancha</t>
  </si>
  <si>
    <t>JUAN DIEGO ESCOBAR AVELLANEDA</t>
  </si>
  <si>
    <t>TI</t>
  </si>
  <si>
    <t>TOTAL</t>
  </si>
  <si>
    <t>Esther Julia Arevalo</t>
  </si>
  <si>
    <t>María Espinoza</t>
  </si>
  <si>
    <t>Mario Espinosa</t>
  </si>
  <si>
    <t>Mary Luz Espinosa</t>
  </si>
  <si>
    <t>314 386 3644</t>
  </si>
  <si>
    <t>TRANSPORTE</t>
  </si>
  <si>
    <t>SEGURO</t>
  </si>
  <si>
    <t>EMPRESA</t>
  </si>
  <si>
    <t>PAX</t>
  </si>
  <si>
    <t>COMISIÓN</t>
  </si>
  <si>
    <t>ALOJAMIENTO</t>
  </si>
  <si>
    <t>DESAYUNOS</t>
  </si>
  <si>
    <t>CENAS</t>
  </si>
  <si>
    <t>PUNTA ARENA LANCHA  + ALMUERZO</t>
  </si>
  <si>
    <t>COSTOS Y GASTOS BARRANQUILLA</t>
  </si>
  <si>
    <t>GASOS DE REPRESENTACIÓN 1</t>
  </si>
  <si>
    <t>GASOS DE REPRESENTACIÓN 2</t>
  </si>
  <si>
    <t>INGRESOS</t>
  </si>
  <si>
    <t>UTILIDAD</t>
  </si>
  <si>
    <t>CHIVA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</si>
</sst>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theme="4" tint="0.79998168889431442"/>
      </patternFill>
    </fill>
    <fill>
      <patternFill patternType="solid">
        <fgColor rgb="FF7030A0"/>
        <bgColor theme="4" tint="0.79998168889431442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4" fillId="0" borderId="0" applyFont="0" applyFill="0" applyBorder="0" applyAlignment="0" applyProtection="0"/>
  </cellStyleXfs>
  <cellXfs count="15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/>
    <xf numFmtId="3" fontId="0" fillId="0" borderId="0" xfId="0" applyNumberFormat="1"/>
    <xf numFmtId="0" fontId="0" fillId="0" borderId="3" xfId="0" applyBorder="1"/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3" fontId="0" fillId="0" borderId="3" xfId="0" applyNumberFormat="1" applyBorder="1"/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3" borderId="12" xfId="0" applyFill="1" applyBorder="1"/>
    <xf numFmtId="0" fontId="0" fillId="3" borderId="13" xfId="0" applyFill="1" applyBorder="1"/>
    <xf numFmtId="0" fontId="0" fillId="7" borderId="12" xfId="0" applyFill="1" applyBorder="1"/>
    <xf numFmtId="0" fontId="0" fillId="7" borderId="14" xfId="0" applyFill="1" applyBorder="1"/>
    <xf numFmtId="0" fontId="0" fillId="7" borderId="13" xfId="0" applyFill="1" applyBorder="1"/>
    <xf numFmtId="0" fontId="0" fillId="0" borderId="0" xfId="0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8" borderId="12" xfId="0" applyFill="1" applyBorder="1"/>
    <xf numFmtId="0" fontId="0" fillId="8" borderId="14" xfId="0" applyFill="1" applyBorder="1"/>
    <xf numFmtId="0" fontId="0" fillId="8" borderId="13" xfId="0" applyFill="1" applyBorder="1"/>
    <xf numFmtId="0" fontId="0" fillId="8" borderId="19" xfId="0" applyFill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8" borderId="5" xfId="0" applyFill="1" applyBorder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10" borderId="12" xfId="0" applyFill="1" applyBorder="1"/>
    <xf numFmtId="0" fontId="0" fillId="10" borderId="13" xfId="0" applyFill="1" applyBorder="1"/>
    <xf numFmtId="0" fontId="3" fillId="9" borderId="12" xfId="0" applyFont="1" applyFill="1" applyBorder="1"/>
    <xf numFmtId="0" fontId="3" fillId="9" borderId="14" xfId="0" applyFont="1" applyFill="1" applyBorder="1"/>
    <xf numFmtId="0" fontId="3" fillId="9" borderId="13" xfId="0" applyFont="1" applyFill="1" applyBorder="1"/>
    <xf numFmtId="0" fontId="0" fillId="12" borderId="12" xfId="0" applyFill="1" applyBorder="1"/>
    <xf numFmtId="0" fontId="0" fillId="12" borderId="13" xfId="0" applyFill="1" applyBorder="1"/>
    <xf numFmtId="14" fontId="0" fillId="0" borderId="3" xfId="0" applyNumberFormat="1" applyBorder="1"/>
    <xf numFmtId="0" fontId="0" fillId="3" borderId="19" xfId="0" applyFill="1" applyBorder="1"/>
    <xf numFmtId="0" fontId="0" fillId="3" borderId="24" xfId="0" applyFill="1" applyBorder="1"/>
    <xf numFmtId="14" fontId="0" fillId="0" borderId="4" xfId="0" applyNumberFormat="1" applyBorder="1" applyAlignment="1">
      <alignment vertical="center" wrapText="1"/>
    </xf>
    <xf numFmtId="0" fontId="0" fillId="12" borderId="4" xfId="0" applyFill="1" applyBorder="1"/>
    <xf numFmtId="0" fontId="0" fillId="8" borderId="18" xfId="0" applyFill="1" applyBorder="1"/>
    <xf numFmtId="0" fontId="0" fillId="3" borderId="4" xfId="0" applyFill="1" applyBorder="1" applyAlignment="1">
      <alignment vertical="center"/>
    </xf>
    <xf numFmtId="0" fontId="0" fillId="0" borderId="25" xfId="0" applyBorder="1" applyAlignment="1">
      <alignment horizontal="center"/>
    </xf>
    <xf numFmtId="14" fontId="0" fillId="0" borderId="0" xfId="0" applyNumberFormat="1"/>
    <xf numFmtId="0" fontId="0" fillId="8" borderId="26" xfId="0" applyFill="1" applyBorder="1"/>
    <xf numFmtId="0" fontId="0" fillId="8" borderId="8" xfId="0" applyFill="1" applyBorder="1"/>
    <xf numFmtId="14" fontId="0" fillId="2" borderId="1" xfId="0" applyNumberFormat="1" applyFill="1" applyBorder="1" applyAlignment="1">
      <alignment horizontal="center"/>
    </xf>
    <xf numFmtId="0" fontId="0" fillId="8" borderId="27" xfId="0" applyFill="1" applyBorder="1"/>
    <xf numFmtId="0" fontId="0" fillId="8" borderId="24" xfId="0" applyFill="1" applyBorder="1"/>
    <xf numFmtId="3" fontId="0" fillId="0" borderId="10" xfId="0" applyNumberFormat="1" applyBorder="1" applyAlignment="1">
      <alignment horizontal="center"/>
    </xf>
    <xf numFmtId="14" fontId="0" fillId="0" borderId="7" xfId="0" applyNumberForma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7" borderId="0" xfId="0" applyFill="1"/>
    <xf numFmtId="14" fontId="0" fillId="2" borderId="0" xfId="0" applyNumberFormat="1" applyFill="1" applyAlignment="1">
      <alignment horizontal="center"/>
    </xf>
    <xf numFmtId="0" fontId="0" fillId="8" borderId="0" xfId="0" applyFill="1"/>
    <xf numFmtId="0" fontId="0" fillId="11" borderId="0" xfId="0" applyFill="1"/>
    <xf numFmtId="0" fontId="0" fillId="4" borderId="0" xfId="0" applyFill="1" applyAlignment="1">
      <alignment horizontal="center"/>
    </xf>
    <xf numFmtId="0" fontId="0" fillId="12" borderId="0" xfId="0" applyFill="1"/>
    <xf numFmtId="0" fontId="0" fillId="5" borderId="0" xfId="0" applyFill="1" applyAlignment="1">
      <alignment horizontal="center"/>
    </xf>
    <xf numFmtId="42" fontId="0" fillId="0" borderId="0" xfId="1" applyFont="1" applyBorder="1" applyAlignment="1">
      <alignment horizontal="center"/>
    </xf>
    <xf numFmtId="0" fontId="0" fillId="9" borderId="0" xfId="0" applyFill="1"/>
    <xf numFmtId="0" fontId="0" fillId="2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3" borderId="1" xfId="0" applyFill="1" applyBorder="1"/>
    <xf numFmtId="3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2" borderId="1" xfId="0" applyNumberFormat="1" applyFill="1" applyBorder="1"/>
    <xf numFmtId="0" fontId="0" fillId="9" borderId="1" xfId="0" applyFill="1" applyBorder="1"/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1" xfId="0" applyFill="1" applyBorder="1"/>
    <xf numFmtId="0" fontId="0" fillId="15" borderId="1" xfId="0" applyFill="1" applyBorder="1" applyAlignment="1">
      <alignment horizontal="center"/>
    </xf>
    <xf numFmtId="0" fontId="0" fillId="0" borderId="28" xfId="0" applyBorder="1" applyAlignment="1">
      <alignment horizontal="center"/>
    </xf>
    <xf numFmtId="3" fontId="0" fillId="0" borderId="28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4" borderId="1" xfId="0" applyFill="1" applyBorder="1"/>
    <xf numFmtId="0" fontId="0" fillId="16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1" xfId="0" applyFill="1" applyBorder="1"/>
    <xf numFmtId="0" fontId="0" fillId="15" borderId="1" xfId="0" applyFill="1" applyBorder="1"/>
    <xf numFmtId="0" fontId="0" fillId="18" borderId="3" xfId="0" applyFill="1" applyBorder="1"/>
    <xf numFmtId="0" fontId="0" fillId="9" borderId="3" xfId="0" applyFill="1" applyBorder="1"/>
    <xf numFmtId="0" fontId="0" fillId="14" borderId="3" xfId="0" applyFill="1" applyBorder="1"/>
    <xf numFmtId="0" fontId="0" fillId="4" borderId="3" xfId="0" applyFill="1" applyBorder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0" fillId="3" borderId="14" xfId="0" applyFill="1" applyBorder="1"/>
    <xf numFmtId="0" fontId="0" fillId="5" borderId="10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/>
    </xf>
    <xf numFmtId="42" fontId="0" fillId="0" borderId="0" xfId="1" applyFont="1" applyAlignment="1">
      <alignment horizontal="center"/>
    </xf>
    <xf numFmtId="42" fontId="0" fillId="0" borderId="3" xfId="1" applyFont="1" applyBorder="1"/>
    <xf numFmtId="42" fontId="0" fillId="0" borderId="0" xfId="0" applyNumberFormat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/>
    <xf numFmtId="42" fontId="0" fillId="0" borderId="25" xfId="1" applyFont="1" applyBorder="1"/>
    <xf numFmtId="0" fontId="0" fillId="0" borderId="23" xfId="0" applyBorder="1" applyAlignment="1">
      <alignment wrapText="1"/>
    </xf>
    <xf numFmtId="42" fontId="0" fillId="0" borderId="25" xfId="1" applyFont="1" applyBorder="1" applyAlignment="1"/>
    <xf numFmtId="0" fontId="0" fillId="0" borderId="31" xfId="0" applyBorder="1" applyAlignment="1">
      <alignment wrapText="1"/>
    </xf>
    <xf numFmtId="42" fontId="0" fillId="0" borderId="32" xfId="1" applyFont="1" applyBorder="1"/>
    <xf numFmtId="0" fontId="0" fillId="0" borderId="17" xfId="0" applyBorder="1" applyAlignment="1">
      <alignment wrapText="1"/>
    </xf>
    <xf numFmtId="0" fontId="0" fillId="0" borderId="23" xfId="0" applyFill="1" applyBorder="1" applyAlignment="1">
      <alignment wrapText="1"/>
    </xf>
    <xf numFmtId="42" fontId="0" fillId="0" borderId="25" xfId="1" applyFont="1" applyFill="1" applyBorder="1"/>
    <xf numFmtId="42" fontId="0" fillId="8" borderId="32" xfId="1" applyFont="1" applyFill="1" applyBorder="1"/>
    <xf numFmtId="42" fontId="0" fillId="3" borderId="32" xfId="0" applyNumberFormat="1" applyFill="1" applyBorder="1"/>
    <xf numFmtId="42" fontId="0" fillId="19" borderId="20" xfId="0" applyNumberFormat="1" applyFill="1" applyBorder="1"/>
    <xf numFmtId="42" fontId="0" fillId="0" borderId="0" xfId="0" applyNumberFormat="1" applyFont="1" applyAlignment="1">
      <alignment horizontal="center"/>
    </xf>
  </cellXfs>
  <cellStyles count="2">
    <cellStyle name="Moneda [0]" xfId="1" builtinId="7"/>
    <cellStyle name="Normal" xfId="0" builtinId="0"/>
  </cellStyles>
  <dxfs count="1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E022C-D0BD-4451-AA9B-BBEE8F1E6DDA}" name="Tabla1" displayName="Tabla1" ref="B3:L65" totalsRowCount="1" headerRowDxfId="182">
  <autoFilter ref="B3:L64" xr:uid="{5A3E022C-D0BD-4451-AA9B-BBEE8F1E6DDA}"/>
  <tableColumns count="11">
    <tableColumn id="1" xr3:uid="{3E0CEFE1-3297-456E-AF64-03D663A21D82}" name="N°" dataDxfId="181" totalsRowDxfId="9"/>
    <tableColumn id="2" xr3:uid="{F198B000-6C82-4484-BF6E-D2E23FA446F6}" name="NOMBRE"/>
    <tableColumn id="3" xr3:uid="{5040E1B7-9334-4DA1-9060-CCF98A486A2B}" name="T.D" dataDxfId="180" totalsRowDxfId="8"/>
    <tableColumn id="4" xr3:uid="{1D9075E6-84FC-4ECC-9F85-6311885884D2}" name="N.D" dataDxfId="179" totalsRowDxfId="7"/>
    <tableColumn id="5" xr3:uid="{9533FC32-B23A-4BA1-BFAA-D7FE0A51B12B}" name="MUNICIPIO" dataDxfId="178" totalsRowDxfId="6"/>
    <tableColumn id="6" xr3:uid="{E15462DF-A803-44B1-A029-D2F5EB0045AD}" name="F.N" dataDxfId="177" totalsRowDxfId="5"/>
    <tableColumn id="7" xr3:uid="{A8811725-498E-492A-826C-9486835099C4}" name="TELEFONO" dataDxfId="176" totalsRowDxfId="4"/>
    <tableColumn id="8" xr3:uid="{BFF1E510-EFAB-484F-AD31-324F19A8B520}" name="ABONO" dataDxfId="175" totalsRowDxfId="3"/>
    <tableColumn id="9" xr3:uid="{CF7EDC51-5A08-4308-BB5F-85A49922B988}" name="COMISIONISTA" dataDxfId="174" totalsRowDxfId="2"/>
    <tableColumn id="10" xr3:uid="{C492526D-5DBE-4840-B031-8BC6E1D31C47}" name="VALOR" totalsRowFunction="sum" dataDxfId="173" totalsRowDxfId="1"/>
    <tableColumn id="11" xr3:uid="{CB93695C-858B-46DF-B205-2C4008EA8454}" name="COMSIÓN" totalsRowFunction="sum" dataDxfId="172" totalsRowDxfId="0">
      <calculatedColumnFormula>Tabla1[[#This Row],[VALOR]]-50000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2B43-4CE9-4F65-B122-9F3F407BD32B}">
  <dimension ref="A3:P66"/>
  <sheetViews>
    <sheetView tabSelected="1" topLeftCell="D1" zoomScale="84" zoomScaleNormal="84" workbookViewId="0">
      <selection activeCell="M35" sqref="M35"/>
    </sheetView>
  </sheetViews>
  <sheetFormatPr baseColWidth="10" defaultRowHeight="15" x14ac:dyDescent="0.25"/>
  <cols>
    <col min="2" max="2" width="7.7109375" style="1" bestFit="1" customWidth="1"/>
    <col min="3" max="3" width="36.42578125" bestFit="1" customWidth="1"/>
    <col min="4" max="4" width="11.42578125" style="1"/>
    <col min="5" max="5" width="12.7109375" style="1" bestFit="1" customWidth="1"/>
    <col min="6" max="6" width="15.7109375" style="1" bestFit="1" customWidth="1"/>
    <col min="7" max="7" width="21.5703125" style="1" bestFit="1" customWidth="1"/>
    <col min="8" max="8" width="14.7109375" style="1" bestFit="1" customWidth="1"/>
    <col min="9" max="9" width="12.28515625" style="1" bestFit="1" customWidth="1"/>
    <col min="10" max="10" width="18.85546875" style="1" bestFit="1" customWidth="1"/>
    <col min="11" max="11" width="13" style="1" bestFit="1" customWidth="1"/>
    <col min="12" max="12" width="14.42578125" style="1" bestFit="1" customWidth="1"/>
    <col min="14" max="14" width="34" bestFit="1" customWidth="1"/>
    <col min="15" max="15" width="13" bestFit="1" customWidth="1"/>
    <col min="16" max="16" width="12" bestFit="1" customWidth="1"/>
  </cols>
  <sheetData>
    <row r="3" spans="1:15" s="1" customFormat="1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8</v>
      </c>
      <c r="G3" s="1" t="s">
        <v>6</v>
      </c>
      <c r="H3" s="1" t="s">
        <v>7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5" x14ac:dyDescent="0.25">
      <c r="B4" s="1">
        <v>1</v>
      </c>
      <c r="C4" s="66" t="s">
        <v>47</v>
      </c>
      <c r="D4" s="1" t="s">
        <v>13</v>
      </c>
      <c r="E4" s="2">
        <v>17192569</v>
      </c>
      <c r="F4" s="67" t="s">
        <v>14</v>
      </c>
      <c r="G4" s="68">
        <v>18231</v>
      </c>
      <c r="J4" s="1" t="s">
        <v>15</v>
      </c>
      <c r="K4" s="132">
        <v>790000</v>
      </c>
      <c r="L4" s="134">
        <f>Tabla1[[#This Row],[VALOR]]-50000</f>
        <v>740000</v>
      </c>
      <c r="N4" s="135" t="s">
        <v>138</v>
      </c>
      <c r="O4" s="136"/>
    </row>
    <row r="5" spans="1:15" x14ac:dyDescent="0.25">
      <c r="B5" s="1">
        <v>2</v>
      </c>
      <c r="C5" s="66" t="s">
        <v>48</v>
      </c>
      <c r="D5" s="1" t="s">
        <v>13</v>
      </c>
      <c r="E5" s="2">
        <v>41770474</v>
      </c>
      <c r="F5" s="67" t="s">
        <v>14</v>
      </c>
      <c r="G5" s="68">
        <v>21338</v>
      </c>
      <c r="J5" s="1" t="s">
        <v>15</v>
      </c>
      <c r="K5" s="132">
        <v>790000</v>
      </c>
      <c r="L5" s="134">
        <f>Tabla1[[#This Row],[VALOR]]-50000</f>
        <v>740000</v>
      </c>
      <c r="N5" s="137" t="s">
        <v>129</v>
      </c>
      <c r="O5" s="138">
        <v>17500000</v>
      </c>
    </row>
    <row r="6" spans="1:15" x14ac:dyDescent="0.25">
      <c r="B6" s="1">
        <v>3</v>
      </c>
      <c r="C6" s="66" t="s">
        <v>0</v>
      </c>
      <c r="D6" s="1" t="s">
        <v>13</v>
      </c>
      <c r="E6" s="1">
        <v>3149195</v>
      </c>
      <c r="F6" s="67" t="s">
        <v>14</v>
      </c>
      <c r="J6" s="1" t="s">
        <v>15</v>
      </c>
      <c r="K6" s="132">
        <v>790000</v>
      </c>
      <c r="L6" s="134">
        <f>Tabla1[[#This Row],[VALOR]]-50000</f>
        <v>740000</v>
      </c>
      <c r="N6" s="139" t="s">
        <v>134</v>
      </c>
      <c r="O6" s="138">
        <v>9120000</v>
      </c>
    </row>
    <row r="7" spans="1:15" ht="15" customHeight="1" x14ac:dyDescent="0.25">
      <c r="B7" s="1">
        <v>4</v>
      </c>
      <c r="C7" s="66" t="s">
        <v>1</v>
      </c>
      <c r="D7" s="1" t="s">
        <v>13</v>
      </c>
      <c r="E7" s="1">
        <v>51661821</v>
      </c>
      <c r="F7" s="67" t="s">
        <v>14</v>
      </c>
      <c r="J7" s="1" t="s">
        <v>15</v>
      </c>
      <c r="K7" s="132">
        <v>790000</v>
      </c>
      <c r="L7" s="134">
        <f>Tabla1[[#This Row],[VALOR]]-50000</f>
        <v>740000</v>
      </c>
      <c r="N7" s="139" t="s">
        <v>135</v>
      </c>
      <c r="O7" s="140">
        <v>2490000</v>
      </c>
    </row>
    <row r="8" spans="1:15" x14ac:dyDescent="0.25">
      <c r="B8" s="1">
        <v>5</v>
      </c>
      <c r="C8" s="66" t="s">
        <v>27</v>
      </c>
      <c r="D8" s="1" t="s">
        <v>13</v>
      </c>
      <c r="E8" s="1">
        <v>19239372</v>
      </c>
      <c r="F8" s="67" t="s">
        <v>14</v>
      </c>
      <c r="G8" s="68">
        <v>19600</v>
      </c>
      <c r="H8" s="1" t="s">
        <v>50</v>
      </c>
      <c r="I8" s="2">
        <v>760000</v>
      </c>
      <c r="J8" s="1" t="s">
        <v>15</v>
      </c>
      <c r="K8" s="132">
        <v>760000</v>
      </c>
      <c r="L8" s="134">
        <f>Tabla1[[#This Row],[VALOR]]-50000</f>
        <v>710000</v>
      </c>
      <c r="N8" s="139" t="s">
        <v>136</v>
      </c>
      <c r="O8" s="140">
        <v>1944000</v>
      </c>
    </row>
    <row r="9" spans="1:15" x14ac:dyDescent="0.25">
      <c r="B9" s="1">
        <v>6</v>
      </c>
      <c r="C9" s="66" t="s">
        <v>28</v>
      </c>
      <c r="D9" s="1" t="s">
        <v>13</v>
      </c>
      <c r="E9" s="1">
        <v>41589109</v>
      </c>
      <c r="F9" s="67" t="s">
        <v>14</v>
      </c>
      <c r="G9" s="68">
        <v>19627</v>
      </c>
      <c r="H9" s="1" t="s">
        <v>51</v>
      </c>
      <c r="I9" s="1" t="s">
        <v>49</v>
      </c>
      <c r="J9" s="1" t="s">
        <v>15</v>
      </c>
      <c r="K9" s="132">
        <v>760000</v>
      </c>
      <c r="L9" s="134">
        <f>Tabla1[[#This Row],[VALOR]]-50000</f>
        <v>710000</v>
      </c>
      <c r="N9" s="137" t="s">
        <v>130</v>
      </c>
      <c r="O9" s="138">
        <v>366000</v>
      </c>
    </row>
    <row r="10" spans="1:15" x14ac:dyDescent="0.25">
      <c r="B10" s="1">
        <v>7</v>
      </c>
      <c r="C10" s="69" t="s">
        <v>16</v>
      </c>
      <c r="D10" s="1" t="s">
        <v>13</v>
      </c>
      <c r="E10" s="1">
        <v>20617583</v>
      </c>
      <c r="F10" s="67" t="s">
        <v>14</v>
      </c>
      <c r="H10" s="1" t="s">
        <v>19</v>
      </c>
      <c r="I10" s="2" t="s">
        <v>123</v>
      </c>
      <c r="J10" s="1" t="s">
        <v>15</v>
      </c>
      <c r="K10" s="132">
        <v>760000</v>
      </c>
      <c r="L10" s="134">
        <f>Tabla1[[#This Row],[VALOR]]-50000</f>
        <v>710000</v>
      </c>
      <c r="N10" s="137" t="s">
        <v>137</v>
      </c>
      <c r="O10" s="138">
        <v>1770000</v>
      </c>
    </row>
    <row r="11" spans="1:15" x14ac:dyDescent="0.25">
      <c r="B11" s="1">
        <v>8</v>
      </c>
      <c r="C11" s="69" t="s">
        <v>17</v>
      </c>
      <c r="D11" s="1" t="s">
        <v>13</v>
      </c>
      <c r="E11" s="1">
        <v>20870792</v>
      </c>
      <c r="F11" s="67" t="s">
        <v>14</v>
      </c>
      <c r="H11" s="1" t="s">
        <v>18</v>
      </c>
      <c r="I11" s="2">
        <v>100000</v>
      </c>
      <c r="J11" s="1" t="s">
        <v>15</v>
      </c>
      <c r="K11" s="132">
        <v>760000</v>
      </c>
      <c r="L11" s="134">
        <f>Tabla1[[#This Row],[VALOR]]-50000</f>
        <v>710000</v>
      </c>
      <c r="N11" s="144" t="s">
        <v>143</v>
      </c>
      <c r="O11" s="145">
        <v>850000</v>
      </c>
    </row>
    <row r="12" spans="1:15" x14ac:dyDescent="0.25">
      <c r="B12" s="1">
        <v>9</v>
      </c>
      <c r="C12" s="69" t="s">
        <v>29</v>
      </c>
      <c r="D12" s="1" t="s">
        <v>13</v>
      </c>
      <c r="E12" s="1">
        <v>51555030</v>
      </c>
      <c r="F12" s="67" t="s">
        <v>14</v>
      </c>
      <c r="G12" s="70">
        <v>21748</v>
      </c>
      <c r="H12" s="1">
        <v>3107309155</v>
      </c>
      <c r="I12" s="2" t="s">
        <v>123</v>
      </c>
      <c r="J12" s="1" t="s">
        <v>15</v>
      </c>
      <c r="K12" s="132">
        <v>760000</v>
      </c>
      <c r="L12" s="134">
        <f>Tabla1[[#This Row],[VALOR]]-50000</f>
        <v>710000</v>
      </c>
      <c r="N12" s="139" t="s">
        <v>139</v>
      </c>
      <c r="O12" s="138">
        <v>392400</v>
      </c>
    </row>
    <row r="13" spans="1:15" ht="15.75" thickBot="1" x14ac:dyDescent="0.3">
      <c r="B13" s="1">
        <v>10</v>
      </c>
      <c r="C13" s="69" t="s">
        <v>20</v>
      </c>
      <c r="D13" s="1" t="s">
        <v>13</v>
      </c>
      <c r="E13" s="1">
        <v>20871828</v>
      </c>
      <c r="F13" s="67" t="s">
        <v>14</v>
      </c>
      <c r="G13" s="68">
        <v>24395</v>
      </c>
      <c r="H13" s="1">
        <v>3214753655</v>
      </c>
      <c r="J13" s="1" t="s">
        <v>15</v>
      </c>
      <c r="K13" s="132">
        <v>760000</v>
      </c>
      <c r="L13" s="134">
        <f>Tabla1[[#This Row],[VALOR]]-50000</f>
        <v>710000</v>
      </c>
      <c r="N13" s="141" t="s">
        <v>140</v>
      </c>
      <c r="O13" s="142">
        <v>320000</v>
      </c>
    </row>
    <row r="14" spans="1:15" ht="15.75" thickBot="1" x14ac:dyDescent="0.3">
      <c r="A14">
        <v>1</v>
      </c>
      <c r="B14" s="1">
        <v>11</v>
      </c>
      <c r="C14" s="71" t="s">
        <v>23</v>
      </c>
      <c r="D14" s="1" t="s">
        <v>22</v>
      </c>
      <c r="E14" s="2">
        <v>1068929104</v>
      </c>
      <c r="F14" s="67" t="s">
        <v>14</v>
      </c>
      <c r="G14" s="68" t="s">
        <v>44</v>
      </c>
      <c r="I14" s="2">
        <v>100000</v>
      </c>
      <c r="J14" s="1" t="s">
        <v>21</v>
      </c>
      <c r="K14" s="132">
        <v>760000</v>
      </c>
      <c r="L14" s="134">
        <f>Tabla1[[#This Row],[VALOR]]-50000</f>
        <v>710000</v>
      </c>
      <c r="N14" s="141" t="s">
        <v>123</v>
      </c>
      <c r="O14" s="146">
        <f>SUM(O5:O13)</f>
        <v>34752400</v>
      </c>
    </row>
    <row r="15" spans="1:15" ht="15.75" thickBot="1" x14ac:dyDescent="0.3">
      <c r="A15">
        <v>2</v>
      </c>
      <c r="B15" s="1">
        <v>12</v>
      </c>
      <c r="C15" s="71" t="s">
        <v>24</v>
      </c>
      <c r="D15" s="1" t="s">
        <v>13</v>
      </c>
      <c r="E15" s="2">
        <v>1068928684</v>
      </c>
      <c r="F15" s="67" t="s">
        <v>14</v>
      </c>
      <c r="G15" s="1" t="s">
        <v>25</v>
      </c>
      <c r="I15" s="2">
        <v>100000</v>
      </c>
      <c r="J15" s="1" t="s">
        <v>21</v>
      </c>
      <c r="K15" s="132">
        <v>760000</v>
      </c>
      <c r="L15" s="134">
        <f>Tabla1[[#This Row],[VALOR]]-50000</f>
        <v>710000</v>
      </c>
      <c r="N15" s="141" t="s">
        <v>141</v>
      </c>
      <c r="O15" s="147">
        <f>Tabla1[[#Totals],[COMSIÓN]]</f>
        <v>39500000</v>
      </c>
    </row>
    <row r="16" spans="1:15" x14ac:dyDescent="0.25">
      <c r="A16">
        <v>3</v>
      </c>
      <c r="B16" s="1">
        <v>13</v>
      </c>
      <c r="C16" s="71" t="s">
        <v>26</v>
      </c>
      <c r="D16" s="1" t="s">
        <v>13</v>
      </c>
      <c r="E16" s="2">
        <v>1016073783</v>
      </c>
      <c r="F16" s="67" t="s">
        <v>14</v>
      </c>
      <c r="G16" s="68">
        <v>34745</v>
      </c>
      <c r="I16" s="2">
        <v>100000</v>
      </c>
      <c r="J16" s="1" t="s">
        <v>21</v>
      </c>
      <c r="K16" s="132">
        <v>760000</v>
      </c>
      <c r="L16" s="134">
        <f>Tabla1[[#This Row],[VALOR]]-50000</f>
        <v>710000</v>
      </c>
      <c r="N16" s="143" t="s">
        <v>142</v>
      </c>
      <c r="O16" s="148">
        <f>O15-O14</f>
        <v>4747600</v>
      </c>
    </row>
    <row r="17" spans="1:16" x14ac:dyDescent="0.25">
      <c r="A17">
        <v>4</v>
      </c>
      <c r="B17" s="1">
        <v>14</v>
      </c>
      <c r="C17" s="66" t="s">
        <v>40</v>
      </c>
      <c r="D17" s="1" t="s">
        <v>13</v>
      </c>
      <c r="E17" s="2">
        <v>11450902</v>
      </c>
      <c r="F17" s="67" t="s">
        <v>14</v>
      </c>
      <c r="G17" s="68">
        <v>24904</v>
      </c>
      <c r="I17" s="2">
        <v>250000</v>
      </c>
      <c r="J17" s="1" t="s">
        <v>21</v>
      </c>
      <c r="K17" s="132">
        <v>790000</v>
      </c>
      <c r="L17" s="134">
        <f>Tabla1[[#This Row],[VALOR]]-50000</f>
        <v>740000</v>
      </c>
    </row>
    <row r="18" spans="1:16" x14ac:dyDescent="0.25">
      <c r="A18">
        <v>5</v>
      </c>
      <c r="B18" s="1">
        <v>15</v>
      </c>
      <c r="C18" s="66" t="s">
        <v>41</v>
      </c>
      <c r="D18" s="1" t="s">
        <v>13</v>
      </c>
      <c r="E18" s="2">
        <v>21015872</v>
      </c>
      <c r="F18" s="67" t="s">
        <v>14</v>
      </c>
      <c r="G18" s="68">
        <v>24885</v>
      </c>
      <c r="I18" s="2">
        <v>250000</v>
      </c>
      <c r="J18" s="1" t="s">
        <v>21</v>
      </c>
      <c r="K18" s="132">
        <v>790000</v>
      </c>
      <c r="L18" s="134">
        <f>Tabla1[[#This Row],[VALOR]]-50000</f>
        <v>740000</v>
      </c>
    </row>
    <row r="19" spans="1:16" x14ac:dyDescent="0.25">
      <c r="A19">
        <v>6</v>
      </c>
      <c r="B19" s="1">
        <v>16</v>
      </c>
      <c r="C19" s="72" t="s">
        <v>104</v>
      </c>
      <c r="D19" s="1" t="s">
        <v>13</v>
      </c>
      <c r="E19" s="2">
        <v>41755159</v>
      </c>
      <c r="F19" s="73" t="s">
        <v>110</v>
      </c>
      <c r="G19" s="68">
        <v>20797</v>
      </c>
      <c r="H19" s="1" t="s">
        <v>105</v>
      </c>
      <c r="J19" s="1" t="s">
        <v>21</v>
      </c>
      <c r="K19" s="132">
        <v>760000</v>
      </c>
      <c r="L19" s="134">
        <f>Tabla1[[#This Row],[VALOR]]-50000</f>
        <v>710000</v>
      </c>
    </row>
    <row r="20" spans="1:16" x14ac:dyDescent="0.25">
      <c r="A20">
        <v>7</v>
      </c>
      <c r="B20" s="1">
        <v>17</v>
      </c>
      <c r="C20" s="72" t="s">
        <v>106</v>
      </c>
      <c r="F20" s="73" t="s">
        <v>110</v>
      </c>
      <c r="G20" s="68"/>
      <c r="J20" s="1" t="s">
        <v>21</v>
      </c>
      <c r="K20" s="132">
        <v>760000</v>
      </c>
      <c r="L20" s="134">
        <f>Tabla1[[#This Row],[VALOR]]-50000</f>
        <v>710000</v>
      </c>
      <c r="N20" s="11" t="s">
        <v>10</v>
      </c>
      <c r="O20" s="11" t="s">
        <v>132</v>
      </c>
      <c r="P20" s="11" t="s">
        <v>133</v>
      </c>
    </row>
    <row r="21" spans="1:16" x14ac:dyDescent="0.25">
      <c r="B21" s="1">
        <v>18</v>
      </c>
      <c r="C21" s="71" t="s">
        <v>30</v>
      </c>
      <c r="D21" s="1" t="s">
        <v>13</v>
      </c>
      <c r="E21" s="1">
        <v>79538678</v>
      </c>
      <c r="F21" s="67" t="s">
        <v>14</v>
      </c>
      <c r="G21" s="68">
        <v>25737</v>
      </c>
      <c r="J21" s="1" t="s">
        <v>33</v>
      </c>
      <c r="K21" s="132">
        <v>0</v>
      </c>
      <c r="L21" s="134">
        <v>0</v>
      </c>
      <c r="N21" s="10" t="s">
        <v>15</v>
      </c>
      <c r="O21" s="10">
        <f>COUNTIF(Tabla1[COMISIONISTA],"LAD")</f>
        <v>32</v>
      </c>
      <c r="P21" s="133">
        <f>O21*50000</f>
        <v>1600000</v>
      </c>
    </row>
    <row r="22" spans="1:16" x14ac:dyDescent="0.25">
      <c r="B22" s="1">
        <v>19</v>
      </c>
      <c r="C22" s="71" t="s">
        <v>119</v>
      </c>
      <c r="D22" s="1" t="s">
        <v>13</v>
      </c>
      <c r="E22" s="2">
        <v>3209301</v>
      </c>
      <c r="F22" s="1" t="s">
        <v>14</v>
      </c>
      <c r="G22" s="68">
        <v>22682</v>
      </c>
      <c r="H22" s="1">
        <v>3012345957</v>
      </c>
      <c r="J22" s="1" t="s">
        <v>15</v>
      </c>
      <c r="K22" s="132">
        <v>760000</v>
      </c>
      <c r="L22" s="134">
        <f>Tabla1[[#This Row],[VALOR]]-50000</f>
        <v>710000</v>
      </c>
      <c r="N22" s="10" t="s">
        <v>96</v>
      </c>
      <c r="O22" s="10">
        <f>COUNTIF(Tabla1[COMISIONISTA],"MAFE")</f>
        <v>3</v>
      </c>
      <c r="P22" s="133">
        <f t="shared" ref="P22:P25" si="0">O22*50000</f>
        <v>150000</v>
      </c>
    </row>
    <row r="23" spans="1:16" x14ac:dyDescent="0.25">
      <c r="B23" s="1">
        <v>20</v>
      </c>
      <c r="C23" s="74" t="s">
        <v>109</v>
      </c>
      <c r="D23" s="1" t="s">
        <v>13</v>
      </c>
      <c r="E23" s="2">
        <v>11451789</v>
      </c>
      <c r="F23" s="1" t="s">
        <v>14</v>
      </c>
      <c r="G23" s="68">
        <v>30479</v>
      </c>
      <c r="J23" s="1" t="s">
        <v>15</v>
      </c>
      <c r="K23" s="132">
        <v>760000</v>
      </c>
      <c r="L23" s="134">
        <f>Tabla1[[#This Row],[VALOR]]-50000</f>
        <v>710000</v>
      </c>
      <c r="N23" s="10" t="s">
        <v>21</v>
      </c>
      <c r="O23" s="10">
        <f>COUNTIF(J4:J66,"EDITH")</f>
        <v>20</v>
      </c>
      <c r="P23" s="133">
        <f t="shared" si="0"/>
        <v>1000000</v>
      </c>
    </row>
    <row r="24" spans="1:16" x14ac:dyDescent="0.25">
      <c r="B24" s="1">
        <v>21</v>
      </c>
      <c r="C24" s="71" t="s">
        <v>31</v>
      </c>
      <c r="D24" s="1" t="s">
        <v>13</v>
      </c>
      <c r="E24">
        <v>79656808</v>
      </c>
      <c r="F24" s="73" t="s">
        <v>42</v>
      </c>
      <c r="G24" s="68">
        <v>27034</v>
      </c>
      <c r="J24" s="1" t="s">
        <v>33</v>
      </c>
      <c r="K24" s="132">
        <v>0</v>
      </c>
      <c r="L24" s="134">
        <v>0</v>
      </c>
      <c r="N24" s="10" t="s">
        <v>131</v>
      </c>
      <c r="O24" s="10">
        <f>COUNTIF(J4:J65,"empres")</f>
        <v>4</v>
      </c>
      <c r="P24" s="133">
        <v>0</v>
      </c>
    </row>
    <row r="25" spans="1:16" ht="12.75" customHeight="1" x14ac:dyDescent="0.25">
      <c r="B25" s="1">
        <v>22</v>
      </c>
      <c r="C25" s="71" t="s">
        <v>32</v>
      </c>
      <c r="D25" s="1" t="s">
        <v>13</v>
      </c>
      <c r="E25">
        <v>1075628177</v>
      </c>
      <c r="F25" s="75" t="s">
        <v>43</v>
      </c>
      <c r="G25" s="68">
        <v>34519</v>
      </c>
      <c r="J25" s="1" t="s">
        <v>33</v>
      </c>
      <c r="K25" s="132">
        <v>0</v>
      </c>
      <c r="L25" s="134">
        <v>0</v>
      </c>
      <c r="N25" s="10" t="s">
        <v>123</v>
      </c>
      <c r="O25" s="10">
        <f>SUM(O21:O24)</f>
        <v>59</v>
      </c>
      <c r="P25" s="133">
        <f>SUM(P21:P24)</f>
        <v>2750000</v>
      </c>
    </row>
    <row r="26" spans="1:16" ht="12.75" customHeight="1" x14ac:dyDescent="0.25">
      <c r="B26" s="1">
        <v>23</v>
      </c>
      <c r="C26" s="71" t="s">
        <v>52</v>
      </c>
      <c r="D26" s="1" t="s">
        <v>22</v>
      </c>
      <c r="E26">
        <v>1014877742</v>
      </c>
      <c r="F26" s="1" t="s">
        <v>42</v>
      </c>
      <c r="G26" s="68">
        <v>40522</v>
      </c>
      <c r="J26" s="1" t="s">
        <v>33</v>
      </c>
      <c r="K26" s="132">
        <v>0</v>
      </c>
      <c r="L26" s="134">
        <v>0</v>
      </c>
    </row>
    <row r="27" spans="1:16" x14ac:dyDescent="0.25">
      <c r="A27">
        <v>8</v>
      </c>
      <c r="B27" s="1">
        <v>24</v>
      </c>
      <c r="C27" s="71" t="s">
        <v>36</v>
      </c>
      <c r="D27" s="1" t="s">
        <v>13</v>
      </c>
      <c r="E27" s="2">
        <v>39630377</v>
      </c>
      <c r="F27" s="67" t="s">
        <v>14</v>
      </c>
      <c r="G27" s="68">
        <v>21965</v>
      </c>
      <c r="I27" s="2">
        <v>225000</v>
      </c>
      <c r="J27" s="1" t="s">
        <v>21</v>
      </c>
      <c r="K27" s="132">
        <v>760000</v>
      </c>
      <c r="L27" s="134">
        <f>Tabla1[[#This Row],[VALOR]]-50000</f>
        <v>710000</v>
      </c>
    </row>
    <row r="28" spans="1:16" x14ac:dyDescent="0.25">
      <c r="A28">
        <v>9</v>
      </c>
      <c r="B28" s="1">
        <v>25</v>
      </c>
      <c r="C28" s="71" t="s">
        <v>37</v>
      </c>
      <c r="D28" s="1" t="s">
        <v>22</v>
      </c>
      <c r="E28" s="2">
        <v>1195463011</v>
      </c>
      <c r="F28" s="67" t="s">
        <v>14</v>
      </c>
      <c r="G28" s="68">
        <v>40026</v>
      </c>
      <c r="I28" s="2">
        <v>225000</v>
      </c>
      <c r="J28" s="1" t="s">
        <v>21</v>
      </c>
      <c r="K28" s="132">
        <v>760000</v>
      </c>
      <c r="L28" s="134">
        <f>Tabla1[[#This Row],[VALOR]]-50000</f>
        <v>710000</v>
      </c>
    </row>
    <row r="29" spans="1:16" x14ac:dyDescent="0.25">
      <c r="B29" s="1">
        <v>26</v>
      </c>
      <c r="C29" s="71" t="s">
        <v>64</v>
      </c>
      <c r="D29" s="1" t="s">
        <v>13</v>
      </c>
      <c r="E29" s="1">
        <v>20871345</v>
      </c>
      <c r="F29" s="67" t="s">
        <v>14</v>
      </c>
      <c r="G29" s="68">
        <v>23623</v>
      </c>
      <c r="J29" s="1" t="s">
        <v>15</v>
      </c>
      <c r="K29" s="132">
        <v>760000</v>
      </c>
      <c r="L29" s="134">
        <f>Tabla1[[#This Row],[VALOR]]-50000</f>
        <v>710000</v>
      </c>
    </row>
    <row r="30" spans="1:16" x14ac:dyDescent="0.25">
      <c r="A30">
        <v>12</v>
      </c>
      <c r="B30" s="1">
        <v>27</v>
      </c>
      <c r="C30" s="66" t="s">
        <v>53</v>
      </c>
      <c r="D30" s="1" t="s">
        <v>13</v>
      </c>
      <c r="E30" s="2">
        <v>39561291</v>
      </c>
      <c r="F30" s="67" t="s">
        <v>14</v>
      </c>
      <c r="G30" s="68">
        <v>24141</v>
      </c>
      <c r="I30" s="2">
        <v>500000</v>
      </c>
      <c r="J30" s="1" t="s">
        <v>21</v>
      </c>
      <c r="K30" s="132">
        <v>790000</v>
      </c>
      <c r="L30" s="134">
        <f>Tabla1[[#This Row],[VALOR]]-50000</f>
        <v>740000</v>
      </c>
    </row>
    <row r="31" spans="1:16" x14ac:dyDescent="0.25">
      <c r="A31">
        <v>13</v>
      </c>
      <c r="B31" s="1">
        <v>28</v>
      </c>
      <c r="C31" s="66" t="s">
        <v>54</v>
      </c>
      <c r="D31" s="1" t="s">
        <v>13</v>
      </c>
      <c r="E31" s="2">
        <v>3225785</v>
      </c>
      <c r="F31" s="67" t="s">
        <v>14</v>
      </c>
      <c r="G31" s="68">
        <v>20576</v>
      </c>
      <c r="I31" s="2">
        <v>500000</v>
      </c>
      <c r="J31" s="1" t="s">
        <v>21</v>
      </c>
      <c r="K31" s="132">
        <v>790000</v>
      </c>
      <c r="L31" s="134">
        <f>Tabla1[[#This Row],[VALOR]]-50000</f>
        <v>740000</v>
      </c>
    </row>
    <row r="32" spans="1:16" x14ac:dyDescent="0.25">
      <c r="A32">
        <v>14</v>
      </c>
      <c r="B32" s="1">
        <v>29</v>
      </c>
      <c r="C32" s="69" t="s">
        <v>38</v>
      </c>
      <c r="D32" s="1" t="s">
        <v>13</v>
      </c>
      <c r="E32" s="2">
        <v>51651341</v>
      </c>
      <c r="F32" s="67" t="s">
        <v>14</v>
      </c>
      <c r="G32" s="68">
        <v>22405</v>
      </c>
      <c r="J32" s="1" t="s">
        <v>21</v>
      </c>
      <c r="K32" s="132">
        <v>760000</v>
      </c>
      <c r="L32" s="134">
        <f>Tabla1[[#This Row],[VALOR]]-50000</f>
        <v>710000</v>
      </c>
    </row>
    <row r="33" spans="1:12" x14ac:dyDescent="0.25">
      <c r="A33">
        <v>15</v>
      </c>
      <c r="B33" s="1">
        <v>30</v>
      </c>
      <c r="C33" s="69" t="s">
        <v>39</v>
      </c>
      <c r="D33" s="1" t="s">
        <v>13</v>
      </c>
      <c r="E33" s="2">
        <v>43043664</v>
      </c>
      <c r="F33" s="67" t="s">
        <v>14</v>
      </c>
      <c r="G33" s="68">
        <v>22387</v>
      </c>
      <c r="I33" s="2">
        <v>700000</v>
      </c>
      <c r="J33" s="1" t="s">
        <v>21</v>
      </c>
      <c r="K33" s="132">
        <v>760000</v>
      </c>
      <c r="L33" s="134">
        <f>Tabla1[[#This Row],[VALOR]]-50000</f>
        <v>710000</v>
      </c>
    </row>
    <row r="34" spans="1:12" x14ac:dyDescent="0.25">
      <c r="A34">
        <v>16</v>
      </c>
      <c r="B34" s="1">
        <v>31</v>
      </c>
      <c r="C34" s="66" t="s">
        <v>55</v>
      </c>
      <c r="D34" s="1" t="s">
        <v>13</v>
      </c>
      <c r="E34" s="2">
        <v>11307001</v>
      </c>
      <c r="F34" s="67" t="s">
        <v>14</v>
      </c>
      <c r="G34" s="68">
        <v>22110</v>
      </c>
      <c r="I34" s="2">
        <v>500000</v>
      </c>
      <c r="J34" s="1" t="s">
        <v>21</v>
      </c>
      <c r="K34" s="132">
        <v>760000</v>
      </c>
      <c r="L34" s="134">
        <f>Tabla1[[#This Row],[VALOR]]-50000</f>
        <v>710000</v>
      </c>
    </row>
    <row r="35" spans="1:12" x14ac:dyDescent="0.25">
      <c r="A35">
        <v>17</v>
      </c>
      <c r="B35" s="1">
        <v>32</v>
      </c>
      <c r="C35" s="66" t="s">
        <v>56</v>
      </c>
      <c r="D35" s="1" t="s">
        <v>13</v>
      </c>
      <c r="E35" s="2">
        <v>39769758</v>
      </c>
      <c r="F35" s="67" t="s">
        <v>14</v>
      </c>
      <c r="G35" s="68">
        <v>22608</v>
      </c>
      <c r="I35" s="2">
        <v>500000</v>
      </c>
      <c r="J35" s="1" t="s">
        <v>21</v>
      </c>
      <c r="K35" s="132">
        <v>760000</v>
      </c>
      <c r="L35" s="134">
        <f>Tabla1[[#This Row],[VALOR]]-50000</f>
        <v>710000</v>
      </c>
    </row>
    <row r="36" spans="1:12" x14ac:dyDescent="0.25">
      <c r="A36">
        <v>18</v>
      </c>
      <c r="B36" s="1">
        <v>33</v>
      </c>
      <c r="C36" s="66" t="s">
        <v>101</v>
      </c>
      <c r="D36" s="1" t="s">
        <v>13</v>
      </c>
      <c r="E36" s="9">
        <v>79431839</v>
      </c>
      <c r="F36" s="67" t="s">
        <v>14</v>
      </c>
      <c r="G36" s="68">
        <v>24651</v>
      </c>
      <c r="I36" s="2"/>
      <c r="J36" s="1" t="s">
        <v>21</v>
      </c>
      <c r="K36" s="132">
        <v>760000</v>
      </c>
      <c r="L36" s="134">
        <f>Tabla1[[#This Row],[VALOR]]-50000</f>
        <v>710000</v>
      </c>
    </row>
    <row r="37" spans="1:12" ht="16.5" customHeight="1" x14ac:dyDescent="0.25">
      <c r="A37">
        <v>19</v>
      </c>
      <c r="B37" s="1">
        <v>34</v>
      </c>
      <c r="C37" s="66" t="s">
        <v>75</v>
      </c>
      <c r="D37" s="1" t="s">
        <v>13</v>
      </c>
      <c r="E37" s="2">
        <v>52552743</v>
      </c>
      <c r="F37" s="67" t="s">
        <v>14</v>
      </c>
      <c r="G37" s="68">
        <v>26359</v>
      </c>
      <c r="I37" s="2">
        <v>100000</v>
      </c>
      <c r="J37" s="1" t="s">
        <v>21</v>
      </c>
      <c r="K37" s="132">
        <v>760000</v>
      </c>
      <c r="L37" s="134">
        <f>Tabla1[[#This Row],[VALOR]]-50000</f>
        <v>710000</v>
      </c>
    </row>
    <row r="38" spans="1:12" ht="16.5" customHeight="1" x14ac:dyDescent="0.25">
      <c r="A38">
        <v>20</v>
      </c>
      <c r="B38" s="1">
        <v>35</v>
      </c>
      <c r="C38" s="71" t="s">
        <v>102</v>
      </c>
      <c r="D38" s="1" t="s">
        <v>13</v>
      </c>
      <c r="E38" s="2">
        <v>52581115</v>
      </c>
      <c r="F38" s="67" t="s">
        <v>14</v>
      </c>
      <c r="G38" s="68">
        <v>24553</v>
      </c>
      <c r="I38" s="2">
        <v>400000</v>
      </c>
      <c r="J38" s="1" t="s">
        <v>21</v>
      </c>
      <c r="K38" s="132">
        <v>760000</v>
      </c>
      <c r="L38" s="134">
        <f>Tabla1[[#This Row],[VALOR]]-50000</f>
        <v>710000</v>
      </c>
    </row>
    <row r="39" spans="1:12" ht="16.5" customHeight="1" x14ac:dyDescent="0.25">
      <c r="A39">
        <v>21</v>
      </c>
      <c r="B39" s="1">
        <v>36</v>
      </c>
      <c r="C39" s="71" t="s">
        <v>103</v>
      </c>
      <c r="D39" s="1" t="s">
        <v>13</v>
      </c>
      <c r="E39" s="2">
        <v>20871256</v>
      </c>
      <c r="F39" s="67" t="s">
        <v>14</v>
      </c>
      <c r="G39" s="68">
        <v>22954</v>
      </c>
      <c r="I39" s="2"/>
      <c r="J39" s="1" t="s">
        <v>21</v>
      </c>
      <c r="K39" s="132">
        <v>760000</v>
      </c>
      <c r="L39" s="134">
        <f>Tabla1[[#This Row],[VALOR]]-50000</f>
        <v>710000</v>
      </c>
    </row>
    <row r="40" spans="1:12" ht="16.5" customHeight="1" x14ac:dyDescent="0.25">
      <c r="B40" s="1">
        <v>37</v>
      </c>
      <c r="C40" s="74" t="s">
        <v>116</v>
      </c>
      <c r="D40" s="1" t="s">
        <v>22</v>
      </c>
      <c r="E40" s="2">
        <v>1141129750</v>
      </c>
      <c r="F40" s="67"/>
      <c r="G40" s="68">
        <v>41604</v>
      </c>
      <c r="I40" s="2"/>
      <c r="J40" s="1" t="s">
        <v>21</v>
      </c>
      <c r="K40" s="132">
        <v>760000</v>
      </c>
      <c r="L40" s="134">
        <f>Tabla1[[#This Row],[VALOR]]-50000</f>
        <v>710000</v>
      </c>
    </row>
    <row r="41" spans="1:12" ht="16.5" customHeight="1" x14ac:dyDescent="0.25">
      <c r="A41">
        <v>22</v>
      </c>
      <c r="B41" s="1">
        <v>38</v>
      </c>
      <c r="C41" s="71" t="s">
        <v>118</v>
      </c>
      <c r="D41" s="1" t="s">
        <v>22</v>
      </c>
      <c r="E41">
        <v>1141914915</v>
      </c>
      <c r="F41" s="67" t="s">
        <v>14</v>
      </c>
      <c r="G41" s="68">
        <v>42105</v>
      </c>
      <c r="I41" s="2">
        <v>290000</v>
      </c>
      <c r="K41" s="132">
        <v>290000</v>
      </c>
      <c r="L41" s="134">
        <f>Tabla1[[#This Row],[VALOR]]</f>
        <v>290000</v>
      </c>
    </row>
    <row r="42" spans="1:12" x14ac:dyDescent="0.25">
      <c r="B42" s="1">
        <v>39</v>
      </c>
      <c r="C42" s="66" t="s">
        <v>45</v>
      </c>
      <c r="D42" s="1" t="s">
        <v>13</v>
      </c>
      <c r="E42" s="2">
        <v>21016369</v>
      </c>
      <c r="F42" s="73" t="s">
        <v>42</v>
      </c>
      <c r="G42" s="68">
        <v>25130</v>
      </c>
      <c r="J42" s="1" t="s">
        <v>15</v>
      </c>
      <c r="K42" s="132">
        <v>760000</v>
      </c>
      <c r="L42" s="134">
        <f>Tabla1[[#This Row],[VALOR]]-50000</f>
        <v>710000</v>
      </c>
    </row>
    <row r="43" spans="1:12" x14ac:dyDescent="0.25">
      <c r="B43" s="1">
        <v>40</v>
      </c>
      <c r="C43" s="66" t="s">
        <v>46</v>
      </c>
      <c r="D43" s="1" t="s">
        <v>13</v>
      </c>
      <c r="E43" s="2">
        <v>19370950</v>
      </c>
      <c r="F43" s="73" t="s">
        <v>42</v>
      </c>
      <c r="G43" s="68">
        <v>21758</v>
      </c>
      <c r="I43" s="2">
        <v>100000</v>
      </c>
      <c r="J43" s="1" t="s">
        <v>15</v>
      </c>
      <c r="K43" s="132">
        <v>720000</v>
      </c>
      <c r="L43" s="134">
        <f>Tabla1[[#This Row],[VALOR]]-50000</f>
        <v>670000</v>
      </c>
    </row>
    <row r="44" spans="1:12" x14ac:dyDescent="0.25">
      <c r="B44" s="1">
        <v>41</v>
      </c>
      <c r="C44" s="66" t="s">
        <v>70</v>
      </c>
      <c r="D44" s="1" t="s">
        <v>13</v>
      </c>
      <c r="E44" s="1">
        <v>1019035371</v>
      </c>
      <c r="F44" s="1" t="s">
        <v>14</v>
      </c>
      <c r="G44" s="68">
        <v>32681</v>
      </c>
      <c r="I44" s="1" t="s">
        <v>74</v>
      </c>
      <c r="J44" s="1" t="s">
        <v>15</v>
      </c>
      <c r="K44" s="132">
        <v>720000</v>
      </c>
      <c r="L44" s="134">
        <f>Tabla1[[#This Row],[VALOR]]-50000</f>
        <v>670000</v>
      </c>
    </row>
    <row r="45" spans="1:12" x14ac:dyDescent="0.25">
      <c r="B45" s="1">
        <v>42</v>
      </c>
      <c r="C45" s="66" t="s">
        <v>71</v>
      </c>
      <c r="D45" s="1" t="s">
        <v>22</v>
      </c>
      <c r="E45" s="1">
        <v>1073629313</v>
      </c>
      <c r="F45" s="1" t="s">
        <v>14</v>
      </c>
      <c r="G45" s="68">
        <v>40398</v>
      </c>
      <c r="I45" s="1" t="s">
        <v>74</v>
      </c>
      <c r="J45" s="1" t="s">
        <v>15</v>
      </c>
      <c r="K45" s="132">
        <v>720000</v>
      </c>
      <c r="L45" s="134">
        <f>Tabla1[[#This Row],[VALOR]]-50000</f>
        <v>670000</v>
      </c>
    </row>
    <row r="46" spans="1:12" x14ac:dyDescent="0.25">
      <c r="B46" s="1">
        <v>43</v>
      </c>
      <c r="C46" s="71" t="s">
        <v>57</v>
      </c>
      <c r="D46" s="1" t="s">
        <v>13</v>
      </c>
      <c r="E46" s="2">
        <v>20871385</v>
      </c>
      <c r="F46" s="67" t="s">
        <v>14</v>
      </c>
      <c r="G46" s="68">
        <v>23091</v>
      </c>
      <c r="H46" s="1" t="s">
        <v>58</v>
      </c>
      <c r="J46" s="1" t="s">
        <v>15</v>
      </c>
      <c r="K46" s="132">
        <v>720000</v>
      </c>
      <c r="L46" s="134">
        <f>Tabla1[[#This Row],[VALOR]]-50000</f>
        <v>670000</v>
      </c>
    </row>
    <row r="47" spans="1:12" x14ac:dyDescent="0.25">
      <c r="B47" s="1">
        <v>44</v>
      </c>
      <c r="C47" s="71" t="s">
        <v>59</v>
      </c>
      <c r="D47" s="1" t="s">
        <v>22</v>
      </c>
      <c r="E47" s="2">
        <v>1028491249</v>
      </c>
      <c r="F47" s="67" t="s">
        <v>14</v>
      </c>
      <c r="G47" s="68">
        <v>40070</v>
      </c>
      <c r="H47" s="1" t="s">
        <v>60</v>
      </c>
      <c r="J47" s="1" t="s">
        <v>15</v>
      </c>
      <c r="K47" s="132">
        <v>720000</v>
      </c>
      <c r="L47" s="134">
        <f>Tabla1[[#This Row],[VALOR]]-50000</f>
        <v>670000</v>
      </c>
    </row>
    <row r="48" spans="1:12" x14ac:dyDescent="0.25">
      <c r="B48" s="75"/>
      <c r="C48" s="71" t="s">
        <v>61</v>
      </c>
      <c r="D48" s="1" t="s">
        <v>62</v>
      </c>
      <c r="E48" s="2">
        <v>1016748536</v>
      </c>
      <c r="F48" s="67" t="s">
        <v>14</v>
      </c>
      <c r="G48" s="68">
        <v>43822</v>
      </c>
      <c r="H48" s="1" t="s">
        <v>63</v>
      </c>
      <c r="K48" s="132">
        <v>60000</v>
      </c>
      <c r="L48" s="134">
        <f>Tabla1[[#This Row],[VALOR]]</f>
        <v>60000</v>
      </c>
    </row>
    <row r="49" spans="2:12" x14ac:dyDescent="0.25">
      <c r="B49" s="1">
        <v>45</v>
      </c>
      <c r="C49" s="71" t="s">
        <v>111</v>
      </c>
      <c r="D49" s="1" t="s">
        <v>13</v>
      </c>
      <c r="E49" s="2">
        <v>20872375</v>
      </c>
      <c r="F49" s="67" t="s">
        <v>14</v>
      </c>
      <c r="G49" s="68">
        <v>31318</v>
      </c>
      <c r="H49" s="1">
        <v>3118723732</v>
      </c>
      <c r="J49" s="1" t="s">
        <v>15</v>
      </c>
      <c r="K49" s="132">
        <v>760000</v>
      </c>
      <c r="L49" s="134">
        <f>Tabla1[[#This Row],[VALOR]]-50000</f>
        <v>710000</v>
      </c>
    </row>
    <row r="50" spans="2:12" x14ac:dyDescent="0.25">
      <c r="B50" s="1">
        <v>46</v>
      </c>
      <c r="C50" s="66" t="s">
        <v>67</v>
      </c>
      <c r="D50" s="1" t="s">
        <v>13</v>
      </c>
      <c r="E50" s="1">
        <v>39573071</v>
      </c>
      <c r="F50" s="1" t="s">
        <v>65</v>
      </c>
      <c r="G50" s="68">
        <v>27959</v>
      </c>
      <c r="H50" s="1" t="s">
        <v>68</v>
      </c>
      <c r="I50" s="76">
        <v>790000</v>
      </c>
      <c r="J50" s="1" t="s">
        <v>15</v>
      </c>
      <c r="K50" s="132">
        <v>790000</v>
      </c>
      <c r="L50" s="134">
        <f>Tabla1[[#This Row],[VALOR]]-50000</f>
        <v>740000</v>
      </c>
    </row>
    <row r="51" spans="2:12" x14ac:dyDescent="0.25">
      <c r="B51" s="1">
        <v>47</v>
      </c>
      <c r="C51" s="66" t="s">
        <v>66</v>
      </c>
      <c r="D51" s="1" t="s">
        <v>13</v>
      </c>
      <c r="E51" s="1">
        <v>21014141</v>
      </c>
      <c r="F51" s="1" t="s">
        <v>65</v>
      </c>
      <c r="G51" s="68">
        <v>21318</v>
      </c>
      <c r="H51" s="1" t="s">
        <v>49</v>
      </c>
      <c r="I51" s="76">
        <v>790000</v>
      </c>
      <c r="J51" s="1" t="s">
        <v>15</v>
      </c>
      <c r="K51" s="132">
        <v>790000</v>
      </c>
      <c r="L51" s="134">
        <f>Tabla1[[#This Row],[VALOR]]-50000</f>
        <v>740000</v>
      </c>
    </row>
    <row r="52" spans="2:12" x14ac:dyDescent="0.25">
      <c r="B52" s="1">
        <v>48</v>
      </c>
      <c r="C52" s="71" t="s">
        <v>117</v>
      </c>
      <c r="D52" s="1" t="s">
        <v>13</v>
      </c>
      <c r="E52" s="1">
        <v>52932505</v>
      </c>
      <c r="F52" s="1" t="s">
        <v>34</v>
      </c>
      <c r="G52" s="68">
        <v>29929</v>
      </c>
      <c r="J52" s="1" t="s">
        <v>15</v>
      </c>
      <c r="K52" s="132">
        <v>760000</v>
      </c>
      <c r="L52" s="134">
        <f>Tabla1[[#This Row],[VALOR]]-50000</f>
        <v>710000</v>
      </c>
    </row>
    <row r="53" spans="2:12" x14ac:dyDescent="0.25">
      <c r="B53" s="1">
        <v>49</v>
      </c>
      <c r="C53" s="71" t="s">
        <v>72</v>
      </c>
      <c r="D53" s="1" t="s">
        <v>62</v>
      </c>
      <c r="E53" s="1">
        <v>1233507914</v>
      </c>
      <c r="F53" s="1" t="s">
        <v>34</v>
      </c>
      <c r="G53" s="68">
        <v>42920</v>
      </c>
      <c r="J53" s="1" t="s">
        <v>15</v>
      </c>
      <c r="K53" s="132">
        <v>760000</v>
      </c>
      <c r="L53" s="134">
        <f>Tabla1[[#This Row],[VALOR]]-50000</f>
        <v>710000</v>
      </c>
    </row>
    <row r="54" spans="2:12" x14ac:dyDescent="0.25">
      <c r="B54" s="1">
        <v>50</v>
      </c>
      <c r="C54" s="71" t="s">
        <v>73</v>
      </c>
      <c r="D54" s="1" t="s">
        <v>13</v>
      </c>
      <c r="E54" s="1">
        <v>20357680</v>
      </c>
      <c r="F54" s="1" t="s">
        <v>34</v>
      </c>
      <c r="G54" s="68">
        <v>23562</v>
      </c>
      <c r="H54" s="1">
        <v>3043916811</v>
      </c>
      <c r="J54" s="1" t="s">
        <v>15</v>
      </c>
      <c r="K54" s="132">
        <v>760000</v>
      </c>
      <c r="L54" s="134">
        <f>Tabla1[[#This Row],[VALOR]]-50000</f>
        <v>710000</v>
      </c>
    </row>
    <row r="55" spans="2:12" x14ac:dyDescent="0.25">
      <c r="B55" s="1">
        <v>51</v>
      </c>
      <c r="C55" t="s">
        <v>93</v>
      </c>
      <c r="D55" s="1" t="s">
        <v>13</v>
      </c>
      <c r="E55" s="1">
        <v>41549329</v>
      </c>
      <c r="F55" s="1" t="s">
        <v>42</v>
      </c>
      <c r="G55" s="68">
        <v>18973</v>
      </c>
      <c r="J55" s="1" t="s">
        <v>96</v>
      </c>
      <c r="K55" s="132">
        <v>760000</v>
      </c>
      <c r="L55" s="134">
        <f>Tabla1[[#This Row],[VALOR]]-50000</f>
        <v>710000</v>
      </c>
    </row>
    <row r="56" spans="2:12" x14ac:dyDescent="0.25">
      <c r="B56" s="1">
        <v>52</v>
      </c>
      <c r="C56" t="s">
        <v>94</v>
      </c>
      <c r="D56" s="1" t="s">
        <v>13</v>
      </c>
      <c r="E56" s="1">
        <v>4387541</v>
      </c>
      <c r="F56" s="1" t="s">
        <v>42</v>
      </c>
      <c r="G56" s="68">
        <v>15430</v>
      </c>
      <c r="J56" s="1" t="s">
        <v>96</v>
      </c>
      <c r="K56" s="132">
        <v>760000</v>
      </c>
      <c r="L56" s="134">
        <f>Tabla1[[#This Row],[VALOR]]-50000</f>
        <v>710000</v>
      </c>
    </row>
    <row r="57" spans="2:12" x14ac:dyDescent="0.25">
      <c r="B57" s="1">
        <v>53</v>
      </c>
      <c r="C57" t="s">
        <v>95</v>
      </c>
      <c r="D57" s="1" t="s">
        <v>13</v>
      </c>
      <c r="E57" s="1">
        <v>20611012</v>
      </c>
      <c r="F57" s="1" t="s">
        <v>42</v>
      </c>
      <c r="J57" s="1" t="s">
        <v>96</v>
      </c>
      <c r="K57" s="132">
        <v>760000</v>
      </c>
      <c r="L57" s="134">
        <f>Tabla1[[#This Row],[VALOR]]-50000</f>
        <v>710000</v>
      </c>
    </row>
    <row r="58" spans="2:12" x14ac:dyDescent="0.25">
      <c r="B58" s="1">
        <v>54</v>
      </c>
      <c r="C58" s="77" t="s">
        <v>124</v>
      </c>
      <c r="D58" s="1" t="s">
        <v>13</v>
      </c>
      <c r="E58" s="1">
        <v>20357264</v>
      </c>
      <c r="F58" s="1" t="s">
        <v>34</v>
      </c>
      <c r="G58" s="68">
        <v>19042</v>
      </c>
      <c r="J58" s="1" t="s">
        <v>15</v>
      </c>
      <c r="K58" s="132">
        <v>760000</v>
      </c>
      <c r="L58" s="134">
        <f>Tabla1[[#This Row],[VALOR]]-50000</f>
        <v>710000</v>
      </c>
    </row>
    <row r="59" spans="2:12" x14ac:dyDescent="0.25">
      <c r="B59" s="1">
        <v>55</v>
      </c>
      <c r="C59" s="77" t="s">
        <v>126</v>
      </c>
      <c r="D59" s="1" t="s">
        <v>13</v>
      </c>
      <c r="E59" s="1">
        <v>178668</v>
      </c>
      <c r="F59" s="1" t="s">
        <v>34</v>
      </c>
      <c r="G59" s="68">
        <v>19257</v>
      </c>
      <c r="J59" s="1" t="s">
        <v>15</v>
      </c>
      <c r="K59" s="132">
        <v>760000</v>
      </c>
      <c r="L59" s="134">
        <f>Tabla1[[#This Row],[VALOR]]-50000</f>
        <v>710000</v>
      </c>
    </row>
    <row r="60" spans="2:12" x14ac:dyDescent="0.25">
      <c r="B60" s="1">
        <v>56</v>
      </c>
      <c r="C60" s="77" t="s">
        <v>99</v>
      </c>
      <c r="D60" s="1" t="s">
        <v>13</v>
      </c>
      <c r="E60" s="1">
        <v>72960190</v>
      </c>
      <c r="F60" s="1" t="s">
        <v>34</v>
      </c>
      <c r="G60" s="68">
        <v>31689</v>
      </c>
      <c r="H60" s="1">
        <v>3168001815</v>
      </c>
      <c r="J60" s="1" t="s">
        <v>15</v>
      </c>
      <c r="K60" s="132">
        <v>760000</v>
      </c>
      <c r="L60" s="134">
        <f>Tabla1[[#This Row],[VALOR]]-50000</f>
        <v>710000</v>
      </c>
    </row>
    <row r="61" spans="2:12" x14ac:dyDescent="0.25">
      <c r="B61" s="1">
        <v>57</v>
      </c>
      <c r="C61" s="77" t="s">
        <v>127</v>
      </c>
      <c r="D61" s="1" t="s">
        <v>13</v>
      </c>
      <c r="E61" s="1">
        <v>20357982</v>
      </c>
      <c r="F61" s="1" t="s">
        <v>34</v>
      </c>
      <c r="G61" s="68">
        <v>25807</v>
      </c>
      <c r="H61" s="1">
        <v>3142859836</v>
      </c>
      <c r="J61" s="1" t="s">
        <v>15</v>
      </c>
      <c r="K61" s="132">
        <v>760000</v>
      </c>
      <c r="L61" s="134">
        <f>Tabla1[[#This Row],[VALOR]]-50000</f>
        <v>710000</v>
      </c>
    </row>
    <row r="62" spans="2:12" x14ac:dyDescent="0.25">
      <c r="B62" s="1">
        <v>58</v>
      </c>
      <c r="C62" s="66" t="s">
        <v>107</v>
      </c>
      <c r="D62" s="67" t="s">
        <v>13</v>
      </c>
      <c r="E62" s="67">
        <v>79288961</v>
      </c>
      <c r="F62" s="78" t="s">
        <v>42</v>
      </c>
      <c r="J62" s="1" t="s">
        <v>15</v>
      </c>
      <c r="K62" s="132">
        <v>760000</v>
      </c>
      <c r="L62" s="134">
        <f>Tabla1[[#This Row],[VALOR]]-50000</f>
        <v>710000</v>
      </c>
    </row>
    <row r="63" spans="2:12" x14ac:dyDescent="0.25">
      <c r="B63" s="1">
        <v>59</v>
      </c>
      <c r="C63" s="66" t="s">
        <v>108</v>
      </c>
      <c r="D63" s="67" t="s">
        <v>13</v>
      </c>
      <c r="E63" s="79">
        <v>39737454</v>
      </c>
      <c r="F63" s="1" t="s">
        <v>42</v>
      </c>
      <c r="J63" s="1" t="s">
        <v>15</v>
      </c>
      <c r="K63" s="132">
        <v>760000</v>
      </c>
      <c r="L63" s="134">
        <f>Tabla1[[#This Row],[VALOR]]-50000</f>
        <v>710000</v>
      </c>
    </row>
    <row r="64" spans="2:12" x14ac:dyDescent="0.25">
      <c r="B64" s="1">
        <v>60</v>
      </c>
      <c r="C64" t="s">
        <v>121</v>
      </c>
      <c r="D64" s="1" t="s">
        <v>122</v>
      </c>
      <c r="E64">
        <v>1012388978</v>
      </c>
      <c r="F64" s="1" t="s">
        <v>14</v>
      </c>
      <c r="G64" s="56">
        <v>40308</v>
      </c>
      <c r="H64" s="1">
        <v>3143863644</v>
      </c>
      <c r="J64" s="1" t="s">
        <v>15</v>
      </c>
      <c r="K64" s="132">
        <v>760000</v>
      </c>
      <c r="L64" s="134">
        <f>Tabla1[[#This Row],[VALOR]]-50000</f>
        <v>710000</v>
      </c>
    </row>
    <row r="65" spans="11:12" x14ac:dyDescent="0.25">
      <c r="K65" s="149">
        <f>SUBTOTAL(109,Tabla1[VALOR])</f>
        <v>42250000</v>
      </c>
      <c r="L65" s="149">
        <f>SUBTOTAL(109,Tabla1[COMSIÓN])</f>
        <v>39500000</v>
      </c>
    </row>
    <row r="66" spans="11:12" x14ac:dyDescent="0.25">
      <c r="L66" s="134">
        <f>Tabla1[[#Totals],[COMSIÓN]]+P25</f>
        <v>42250000</v>
      </c>
    </row>
  </sheetData>
  <mergeCells count="1">
    <mergeCell ref="N4:O4"/>
  </mergeCells>
  <conditionalFormatting sqref="E22">
    <cfRule type="duplicateValues" dxfId="171" priority="3"/>
  </conditionalFormatting>
  <conditionalFormatting sqref="E22:E23">
    <cfRule type="duplicateValues" dxfId="170" priority="2"/>
  </conditionalFormatting>
  <conditionalFormatting sqref="E23">
    <cfRule type="duplicateValues" dxfId="169" priority="1"/>
  </conditionalFormatting>
  <conditionalFormatting sqref="E24:E25">
    <cfRule type="duplicateValues" dxfId="168" priority="7"/>
  </conditionalFormatting>
  <conditionalFormatting sqref="E26">
    <cfRule type="duplicateValues" dxfId="167" priority="6"/>
  </conditionalFormatting>
  <conditionalFormatting sqref="E40">
    <cfRule type="duplicateValues" dxfId="166" priority="4"/>
    <cfRule type="duplicateValues" dxfId="165" priority="5"/>
  </conditionalFormatting>
  <conditionalFormatting sqref="E62:E63">
    <cfRule type="duplicateValues" dxfId="164" priority="10"/>
  </conditionalFormatting>
  <conditionalFormatting sqref="E65:E1048576 E1:E21 E37:E39 E27:E35 E42:E61">
    <cfRule type="duplicateValues" dxfId="163" priority="1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7ACE-BF13-4E6E-817E-F34DA86D2403}">
  <dimension ref="B3:K64"/>
  <sheetViews>
    <sheetView topLeftCell="A31" workbookViewId="0">
      <selection activeCell="A41" sqref="A41:XFD41"/>
    </sheetView>
  </sheetViews>
  <sheetFormatPr baseColWidth="10" defaultRowHeight="15" x14ac:dyDescent="0.25"/>
  <cols>
    <col min="2" max="2" width="3.140625" bestFit="1" customWidth="1"/>
    <col min="3" max="3" width="33.7109375" bestFit="1" customWidth="1"/>
    <col min="5" max="5" width="12.7109375" bestFit="1" customWidth="1"/>
    <col min="7" max="7" width="17" bestFit="1" customWidth="1"/>
    <col min="8" max="8" width="14.28515625" bestFit="1" customWidth="1"/>
  </cols>
  <sheetData>
    <row r="3" spans="2:11" x14ac:dyDescent="0.25">
      <c r="B3" s="3" t="s">
        <v>2</v>
      </c>
      <c r="C3" s="4" t="s">
        <v>3</v>
      </c>
      <c r="D3" s="4" t="s">
        <v>4</v>
      </c>
      <c r="E3" s="4" t="s">
        <v>5</v>
      </c>
      <c r="F3" s="4" t="s">
        <v>8</v>
      </c>
      <c r="G3" s="4" t="s">
        <v>7</v>
      </c>
      <c r="H3" s="4" t="s">
        <v>10</v>
      </c>
      <c r="J3" s="107" t="s">
        <v>34</v>
      </c>
      <c r="K3" s="10">
        <f>COUNTIF(F4:F66,"ANAPOIMA")</f>
        <v>7</v>
      </c>
    </row>
    <row r="4" spans="2:11" x14ac:dyDescent="0.25">
      <c r="B4" s="87">
        <v>1</v>
      </c>
      <c r="C4" s="80" t="s">
        <v>47</v>
      </c>
      <c r="D4" s="5" t="s">
        <v>13</v>
      </c>
      <c r="E4" s="81">
        <v>17192569</v>
      </c>
      <c r="F4" s="86" t="s">
        <v>14</v>
      </c>
      <c r="G4" s="5"/>
      <c r="H4" s="5" t="s">
        <v>15</v>
      </c>
      <c r="J4" s="108" t="s">
        <v>65</v>
      </c>
      <c r="K4" s="10">
        <f>COUNTIF(F4:F68,"MESETA")</f>
        <v>2</v>
      </c>
    </row>
    <row r="5" spans="2:11" x14ac:dyDescent="0.25">
      <c r="B5" s="87">
        <v>2</v>
      </c>
      <c r="C5" s="80" t="s">
        <v>48</v>
      </c>
      <c r="D5" s="82" t="s">
        <v>13</v>
      </c>
      <c r="E5" s="83">
        <v>41770474</v>
      </c>
      <c r="F5" s="86" t="s">
        <v>14</v>
      </c>
      <c r="G5" s="82"/>
      <c r="H5" s="82" t="s">
        <v>15</v>
      </c>
      <c r="J5" s="8" t="s">
        <v>14</v>
      </c>
      <c r="K5" s="10">
        <f>COUNTIF(F4:F64,"APULO")</f>
        <v>38</v>
      </c>
    </row>
    <row r="6" spans="2:11" x14ac:dyDescent="0.25">
      <c r="B6" s="87">
        <v>3</v>
      </c>
      <c r="C6" s="80" t="s">
        <v>0</v>
      </c>
      <c r="D6" s="5" t="s">
        <v>13</v>
      </c>
      <c r="E6" s="5">
        <v>3149195</v>
      </c>
      <c r="F6" s="86" t="s">
        <v>14</v>
      </c>
      <c r="G6" s="5"/>
      <c r="H6" s="5" t="s">
        <v>15</v>
      </c>
      <c r="J6" s="109" t="s">
        <v>42</v>
      </c>
      <c r="K6" s="10">
        <f>COUNTIF(F4:F65,"TOCAIMA")</f>
        <v>7</v>
      </c>
    </row>
    <row r="7" spans="2:11" x14ac:dyDescent="0.25">
      <c r="B7" s="87">
        <v>4</v>
      </c>
      <c r="C7" s="80" t="s">
        <v>1</v>
      </c>
      <c r="D7" s="82" t="s">
        <v>13</v>
      </c>
      <c r="E7" s="82">
        <v>51661821</v>
      </c>
      <c r="F7" s="86" t="s">
        <v>14</v>
      </c>
      <c r="G7" s="82"/>
      <c r="H7" s="82" t="s">
        <v>15</v>
      </c>
      <c r="J7" s="110" t="s">
        <v>110</v>
      </c>
      <c r="K7" s="10">
        <f>COUNTIF(F4:F67,"FONTIBON")</f>
        <v>2</v>
      </c>
    </row>
    <row r="8" spans="2:11" x14ac:dyDescent="0.25">
      <c r="B8" s="87">
        <v>5</v>
      </c>
      <c r="C8" s="80" t="s">
        <v>27</v>
      </c>
      <c r="D8" s="5" t="s">
        <v>13</v>
      </c>
      <c r="E8" s="5">
        <v>19239372</v>
      </c>
      <c r="F8" s="86" t="s">
        <v>14</v>
      </c>
      <c r="G8" s="5" t="s">
        <v>50</v>
      </c>
      <c r="H8" s="5" t="s">
        <v>15</v>
      </c>
      <c r="J8" s="10" t="s">
        <v>123</v>
      </c>
      <c r="K8" s="10">
        <f>SUM(K3:K7)</f>
        <v>56</v>
      </c>
    </row>
    <row r="9" spans="2:11" x14ac:dyDescent="0.25">
      <c r="B9" s="87">
        <v>6</v>
      </c>
      <c r="C9" s="80" t="s">
        <v>28</v>
      </c>
      <c r="D9" s="82" t="s">
        <v>13</v>
      </c>
      <c r="E9" s="82">
        <v>41589109</v>
      </c>
      <c r="F9" s="86" t="s">
        <v>14</v>
      </c>
      <c r="G9" s="82" t="s">
        <v>51</v>
      </c>
      <c r="H9" s="82" t="s">
        <v>15</v>
      </c>
    </row>
    <row r="10" spans="2:11" x14ac:dyDescent="0.25">
      <c r="B10" s="87">
        <v>7</v>
      </c>
      <c r="C10" s="80" t="s">
        <v>16</v>
      </c>
      <c r="D10" s="5" t="s">
        <v>13</v>
      </c>
      <c r="E10" s="5">
        <v>20617583</v>
      </c>
      <c r="F10" s="86" t="s">
        <v>14</v>
      </c>
      <c r="G10" s="5" t="s">
        <v>19</v>
      </c>
      <c r="H10" s="5" t="s">
        <v>15</v>
      </c>
    </row>
    <row r="11" spans="2:11" x14ac:dyDescent="0.25">
      <c r="B11" s="87">
        <v>8</v>
      </c>
      <c r="C11" s="80" t="s">
        <v>17</v>
      </c>
      <c r="D11" s="82" t="s">
        <v>13</v>
      </c>
      <c r="E11" s="82">
        <v>20870792</v>
      </c>
      <c r="F11" s="86" t="s">
        <v>14</v>
      </c>
      <c r="G11" s="82" t="s">
        <v>18</v>
      </c>
      <c r="H11" s="82" t="s">
        <v>15</v>
      </c>
    </row>
    <row r="12" spans="2:11" x14ac:dyDescent="0.25">
      <c r="B12" s="87">
        <v>9</v>
      </c>
      <c r="C12" s="80" t="s">
        <v>29</v>
      </c>
      <c r="D12" s="5" t="s">
        <v>13</v>
      </c>
      <c r="E12" s="5">
        <v>51555030</v>
      </c>
      <c r="F12" s="86" t="s">
        <v>14</v>
      </c>
      <c r="G12" s="5">
        <v>3107309155</v>
      </c>
      <c r="H12" s="5" t="s">
        <v>15</v>
      </c>
    </row>
    <row r="13" spans="2:11" x14ac:dyDescent="0.25">
      <c r="B13" s="87">
        <v>10</v>
      </c>
      <c r="C13" s="80" t="s">
        <v>20</v>
      </c>
      <c r="D13" s="82" t="s">
        <v>13</v>
      </c>
      <c r="E13" s="82">
        <v>20871828</v>
      </c>
      <c r="F13" s="86" t="s">
        <v>14</v>
      </c>
      <c r="G13" s="82">
        <v>3214753655</v>
      </c>
      <c r="H13" s="82" t="s">
        <v>15</v>
      </c>
    </row>
    <row r="14" spans="2:11" x14ac:dyDescent="0.25">
      <c r="B14" s="87">
        <v>11</v>
      </c>
      <c r="C14" s="80" t="s">
        <v>23</v>
      </c>
      <c r="D14" s="5" t="s">
        <v>22</v>
      </c>
      <c r="E14" s="81">
        <v>1068929104</v>
      </c>
      <c r="F14" s="86" t="s">
        <v>14</v>
      </c>
      <c r="G14" s="5"/>
      <c r="H14" s="5" t="s">
        <v>21</v>
      </c>
    </row>
    <row r="15" spans="2:11" x14ac:dyDescent="0.25">
      <c r="B15" s="87">
        <v>12</v>
      </c>
      <c r="C15" s="80" t="s">
        <v>24</v>
      </c>
      <c r="D15" s="82" t="s">
        <v>13</v>
      </c>
      <c r="E15" s="83">
        <v>1068928684</v>
      </c>
      <c r="F15" s="86" t="s">
        <v>14</v>
      </c>
      <c r="G15" s="82"/>
      <c r="H15" s="82" t="s">
        <v>21</v>
      </c>
    </row>
    <row r="16" spans="2:11" x14ac:dyDescent="0.25">
      <c r="B16" s="87">
        <v>13</v>
      </c>
      <c r="C16" s="80" t="s">
        <v>26</v>
      </c>
      <c r="D16" s="5" t="s">
        <v>13</v>
      </c>
      <c r="E16" s="81">
        <v>1016073783</v>
      </c>
      <c r="F16" s="86" t="s">
        <v>14</v>
      </c>
      <c r="G16" s="5"/>
      <c r="H16" s="5" t="s">
        <v>21</v>
      </c>
    </row>
    <row r="17" spans="2:8" x14ac:dyDescent="0.25">
      <c r="B17" s="87">
        <v>14</v>
      </c>
      <c r="C17" s="80" t="s">
        <v>40</v>
      </c>
      <c r="D17" s="82" t="s">
        <v>13</v>
      </c>
      <c r="E17" s="83">
        <v>11450902</v>
      </c>
      <c r="F17" s="86" t="s">
        <v>14</v>
      </c>
      <c r="G17" s="82"/>
      <c r="H17" s="82" t="s">
        <v>21</v>
      </c>
    </row>
    <row r="18" spans="2:8" x14ac:dyDescent="0.25">
      <c r="B18" s="87">
        <v>15</v>
      </c>
      <c r="C18" s="80" t="s">
        <v>41</v>
      </c>
      <c r="D18" s="5" t="s">
        <v>13</v>
      </c>
      <c r="E18" s="81">
        <v>21015872</v>
      </c>
      <c r="F18" s="86" t="s">
        <v>14</v>
      </c>
      <c r="G18" s="5"/>
      <c r="H18" s="5" t="s">
        <v>21</v>
      </c>
    </row>
    <row r="19" spans="2:8" x14ac:dyDescent="0.25">
      <c r="B19" s="87">
        <v>16</v>
      </c>
      <c r="C19" s="100" t="s">
        <v>104</v>
      </c>
      <c r="D19" s="97" t="s">
        <v>13</v>
      </c>
      <c r="E19" s="98">
        <v>41755159</v>
      </c>
      <c r="F19" s="89" t="s">
        <v>110</v>
      </c>
      <c r="G19" s="82" t="s">
        <v>105</v>
      </c>
      <c r="H19" s="82" t="s">
        <v>21</v>
      </c>
    </row>
    <row r="20" spans="2:8" x14ac:dyDescent="0.25">
      <c r="B20" s="87">
        <v>17</v>
      </c>
      <c r="C20" s="100" t="s">
        <v>106</v>
      </c>
      <c r="D20" s="1" t="s">
        <v>13</v>
      </c>
      <c r="E20" s="9">
        <v>28239599</v>
      </c>
      <c r="F20" s="89" t="s">
        <v>110</v>
      </c>
      <c r="G20" s="5"/>
      <c r="H20" s="5" t="s">
        <v>21</v>
      </c>
    </row>
    <row r="21" spans="2:8" x14ac:dyDescent="0.25">
      <c r="B21" s="87">
        <v>18</v>
      </c>
      <c r="C21" s="80" t="s">
        <v>30</v>
      </c>
      <c r="D21" s="99" t="s">
        <v>13</v>
      </c>
      <c r="E21" s="99">
        <v>79538678</v>
      </c>
      <c r="F21" s="86"/>
      <c r="G21" s="82"/>
      <c r="H21" s="82" t="s">
        <v>33</v>
      </c>
    </row>
    <row r="22" spans="2:8" x14ac:dyDescent="0.25">
      <c r="B22" s="87">
        <v>19</v>
      </c>
      <c r="C22" s="80" t="s">
        <v>119</v>
      </c>
      <c r="D22" s="5" t="s">
        <v>13</v>
      </c>
      <c r="E22" s="81">
        <v>3209301</v>
      </c>
      <c r="F22" s="93" t="s">
        <v>14</v>
      </c>
      <c r="G22" s="5">
        <v>3012345957</v>
      </c>
      <c r="H22" s="5" t="s">
        <v>15</v>
      </c>
    </row>
    <row r="23" spans="2:8" x14ac:dyDescent="0.25">
      <c r="B23" s="87">
        <v>20</v>
      </c>
      <c r="C23" s="92" t="s">
        <v>109</v>
      </c>
      <c r="D23" s="82" t="s">
        <v>13</v>
      </c>
      <c r="E23" s="83">
        <v>11451789</v>
      </c>
      <c r="F23" s="86" t="s">
        <v>14</v>
      </c>
      <c r="G23" s="82"/>
      <c r="H23" s="82" t="s">
        <v>15</v>
      </c>
    </row>
    <row r="24" spans="2:8" x14ac:dyDescent="0.25">
      <c r="B24" s="87">
        <v>21</v>
      </c>
      <c r="C24" s="95" t="s">
        <v>31</v>
      </c>
      <c r="D24" s="5" t="s">
        <v>13</v>
      </c>
      <c r="E24" s="65">
        <v>79656808</v>
      </c>
      <c r="F24" s="94"/>
      <c r="G24" s="5"/>
      <c r="H24" s="5" t="s">
        <v>33</v>
      </c>
    </row>
    <row r="25" spans="2:8" x14ac:dyDescent="0.25">
      <c r="B25" s="87">
        <v>22</v>
      </c>
      <c r="C25" s="95" t="s">
        <v>32</v>
      </c>
      <c r="D25" s="82" t="s">
        <v>13</v>
      </c>
      <c r="E25" s="64">
        <v>1075628177</v>
      </c>
      <c r="F25" s="90"/>
      <c r="G25" s="82"/>
      <c r="H25" s="82" t="s">
        <v>33</v>
      </c>
    </row>
    <row r="26" spans="2:8" x14ac:dyDescent="0.25">
      <c r="B26" s="87">
        <v>23</v>
      </c>
      <c r="C26" s="95" t="s">
        <v>52</v>
      </c>
      <c r="D26" s="5" t="s">
        <v>22</v>
      </c>
      <c r="E26" s="65">
        <v>1014877742</v>
      </c>
      <c r="F26" s="96"/>
      <c r="G26" s="5"/>
      <c r="H26" s="5" t="s">
        <v>33</v>
      </c>
    </row>
    <row r="27" spans="2:8" x14ac:dyDescent="0.25">
      <c r="B27" s="87">
        <v>24</v>
      </c>
      <c r="C27" s="80" t="s">
        <v>36</v>
      </c>
      <c r="D27" s="82" t="s">
        <v>13</v>
      </c>
      <c r="E27" s="83">
        <v>39630377</v>
      </c>
      <c r="F27" s="86" t="s">
        <v>14</v>
      </c>
      <c r="G27" s="82"/>
      <c r="H27" s="82" t="s">
        <v>21</v>
      </c>
    </row>
    <row r="28" spans="2:8" x14ac:dyDescent="0.25">
      <c r="B28" s="87">
        <v>25</v>
      </c>
      <c r="C28" s="80" t="s">
        <v>37</v>
      </c>
      <c r="D28" s="5" t="s">
        <v>22</v>
      </c>
      <c r="E28" s="81">
        <v>1195463011</v>
      </c>
      <c r="F28" s="86" t="s">
        <v>14</v>
      </c>
      <c r="G28" s="5"/>
      <c r="H28" s="5" t="s">
        <v>21</v>
      </c>
    </row>
    <row r="29" spans="2:8" x14ac:dyDescent="0.25">
      <c r="B29" s="87">
        <v>26</v>
      </c>
      <c r="C29" s="80" t="s">
        <v>64</v>
      </c>
      <c r="D29" s="82" t="s">
        <v>13</v>
      </c>
      <c r="E29" s="82">
        <v>20871345</v>
      </c>
      <c r="F29" s="86" t="s">
        <v>14</v>
      </c>
      <c r="G29" s="82"/>
      <c r="H29" s="82" t="s">
        <v>15</v>
      </c>
    </row>
    <row r="30" spans="2:8" x14ac:dyDescent="0.25">
      <c r="B30" s="87">
        <v>27</v>
      </c>
      <c r="C30" s="80" t="s">
        <v>53</v>
      </c>
      <c r="D30" s="5" t="s">
        <v>13</v>
      </c>
      <c r="E30" s="81">
        <v>39561291</v>
      </c>
      <c r="F30" s="86" t="s">
        <v>14</v>
      </c>
      <c r="G30" s="5"/>
      <c r="H30" s="5" t="s">
        <v>21</v>
      </c>
    </row>
    <row r="31" spans="2:8" x14ac:dyDescent="0.25">
      <c r="B31" s="87">
        <v>28</v>
      </c>
      <c r="C31" s="80" t="s">
        <v>54</v>
      </c>
      <c r="D31" s="82" t="s">
        <v>13</v>
      </c>
      <c r="E31" s="83">
        <v>3225785</v>
      </c>
      <c r="F31" s="86" t="s">
        <v>14</v>
      </c>
      <c r="G31" s="82"/>
      <c r="H31" s="82" t="s">
        <v>21</v>
      </c>
    </row>
    <row r="32" spans="2:8" x14ac:dyDescent="0.25">
      <c r="B32" s="87">
        <v>29</v>
      </c>
      <c r="C32" s="80" t="s">
        <v>38</v>
      </c>
      <c r="D32" s="5" t="s">
        <v>13</v>
      </c>
      <c r="E32" s="81">
        <v>51651341</v>
      </c>
      <c r="F32" s="86" t="s">
        <v>14</v>
      </c>
      <c r="G32" s="5"/>
      <c r="H32" s="5" t="s">
        <v>21</v>
      </c>
    </row>
    <row r="33" spans="2:8" x14ac:dyDescent="0.25">
      <c r="B33" s="87">
        <v>30</v>
      </c>
      <c r="C33" s="80" t="s">
        <v>39</v>
      </c>
      <c r="D33" s="82" t="s">
        <v>13</v>
      </c>
      <c r="E33" s="83">
        <v>43043664</v>
      </c>
      <c r="F33" s="86" t="s">
        <v>14</v>
      </c>
      <c r="G33" s="82"/>
      <c r="H33" s="82" t="s">
        <v>21</v>
      </c>
    </row>
    <row r="34" spans="2:8" x14ac:dyDescent="0.25">
      <c r="B34" s="87">
        <v>31</v>
      </c>
      <c r="C34" s="80" t="s">
        <v>55</v>
      </c>
      <c r="D34" s="5" t="s">
        <v>13</v>
      </c>
      <c r="E34" s="81">
        <v>11307001</v>
      </c>
      <c r="F34" s="86" t="s">
        <v>14</v>
      </c>
      <c r="G34" s="5"/>
      <c r="H34" s="5" t="s">
        <v>21</v>
      </c>
    </row>
    <row r="35" spans="2:8" x14ac:dyDescent="0.25">
      <c r="B35" s="87">
        <v>32</v>
      </c>
      <c r="C35" s="80" t="s">
        <v>56</v>
      </c>
      <c r="D35" s="82" t="s">
        <v>13</v>
      </c>
      <c r="E35" s="83">
        <v>39769758</v>
      </c>
      <c r="F35" s="86" t="s">
        <v>14</v>
      </c>
      <c r="G35" s="82"/>
      <c r="H35" s="82" t="s">
        <v>21</v>
      </c>
    </row>
    <row r="36" spans="2:8" x14ac:dyDescent="0.25">
      <c r="B36" s="87">
        <v>33</v>
      </c>
      <c r="C36" s="80" t="s">
        <v>101</v>
      </c>
      <c r="D36" s="5" t="s">
        <v>13</v>
      </c>
      <c r="E36" s="84">
        <v>79431839</v>
      </c>
      <c r="F36" s="86" t="s">
        <v>14</v>
      </c>
      <c r="G36" s="5"/>
      <c r="H36" s="5" t="s">
        <v>21</v>
      </c>
    </row>
    <row r="37" spans="2:8" x14ac:dyDescent="0.25">
      <c r="B37" s="87">
        <v>34</v>
      </c>
      <c r="C37" s="80" t="s">
        <v>75</v>
      </c>
      <c r="D37" s="82" t="s">
        <v>13</v>
      </c>
      <c r="E37" s="83">
        <v>52552743</v>
      </c>
      <c r="F37" s="86" t="s">
        <v>14</v>
      </c>
      <c r="G37" s="82"/>
      <c r="H37" s="82" t="s">
        <v>21</v>
      </c>
    </row>
    <row r="38" spans="2:8" x14ac:dyDescent="0.25">
      <c r="B38" s="87">
        <v>35</v>
      </c>
      <c r="C38" s="80" t="s">
        <v>102</v>
      </c>
      <c r="D38" s="5" t="s">
        <v>13</v>
      </c>
      <c r="E38" s="81">
        <v>52581115</v>
      </c>
      <c r="F38" s="86" t="s">
        <v>14</v>
      </c>
      <c r="G38" s="5"/>
      <c r="H38" s="5" t="s">
        <v>21</v>
      </c>
    </row>
    <row r="39" spans="2:8" x14ac:dyDescent="0.25">
      <c r="B39" s="87">
        <v>36</v>
      </c>
      <c r="C39" s="80" t="s">
        <v>103</v>
      </c>
      <c r="D39" s="82" t="s">
        <v>13</v>
      </c>
      <c r="E39" s="83">
        <v>20871256</v>
      </c>
      <c r="F39" s="86" t="s">
        <v>14</v>
      </c>
      <c r="G39" s="82"/>
      <c r="H39" s="82" t="s">
        <v>21</v>
      </c>
    </row>
    <row r="40" spans="2:8" x14ac:dyDescent="0.25">
      <c r="B40" s="87">
        <v>37</v>
      </c>
      <c r="C40" s="92" t="s">
        <v>116</v>
      </c>
      <c r="D40" s="5" t="s">
        <v>22</v>
      </c>
      <c r="E40" s="81">
        <v>1141129750</v>
      </c>
      <c r="F40" s="86" t="s">
        <v>14</v>
      </c>
      <c r="G40" s="5"/>
      <c r="H40" s="82" t="s">
        <v>21</v>
      </c>
    </row>
    <row r="41" spans="2:8" x14ac:dyDescent="0.25">
      <c r="B41" s="87">
        <v>38</v>
      </c>
      <c r="C41" s="80" t="s">
        <v>118</v>
      </c>
      <c r="D41" s="82" t="s">
        <v>22</v>
      </c>
      <c r="E41" s="64">
        <v>1141914915</v>
      </c>
      <c r="F41" s="86" t="s">
        <v>14</v>
      </c>
      <c r="G41" s="82" t="s">
        <v>120</v>
      </c>
      <c r="H41" s="82" t="s">
        <v>21</v>
      </c>
    </row>
    <row r="42" spans="2:8" x14ac:dyDescent="0.25">
      <c r="B42" s="87">
        <v>39</v>
      </c>
      <c r="C42" s="95" t="s">
        <v>45</v>
      </c>
      <c r="D42" s="5" t="s">
        <v>13</v>
      </c>
      <c r="E42" s="81">
        <v>21016369</v>
      </c>
      <c r="F42" s="94" t="s">
        <v>42</v>
      </c>
      <c r="G42" s="5"/>
      <c r="H42" s="5" t="s">
        <v>15</v>
      </c>
    </row>
    <row r="43" spans="2:8" x14ac:dyDescent="0.25">
      <c r="B43" s="87">
        <v>40</v>
      </c>
      <c r="C43" s="95" t="s">
        <v>46</v>
      </c>
      <c r="D43" s="82" t="s">
        <v>13</v>
      </c>
      <c r="E43" s="83">
        <v>19370950</v>
      </c>
      <c r="F43" s="94" t="s">
        <v>42</v>
      </c>
      <c r="G43" s="82"/>
      <c r="H43" s="82" t="s">
        <v>15</v>
      </c>
    </row>
    <row r="44" spans="2:8" x14ac:dyDescent="0.25">
      <c r="B44" s="87">
        <v>41</v>
      </c>
      <c r="C44" s="80" t="s">
        <v>70</v>
      </c>
      <c r="D44" s="5" t="s">
        <v>13</v>
      </c>
      <c r="E44" s="5">
        <v>1019035371</v>
      </c>
      <c r="F44" s="93" t="s">
        <v>14</v>
      </c>
      <c r="G44" s="5"/>
      <c r="H44" s="5" t="s">
        <v>15</v>
      </c>
    </row>
    <row r="45" spans="2:8" x14ac:dyDescent="0.25">
      <c r="B45" s="87">
        <v>42</v>
      </c>
      <c r="C45" s="80" t="s">
        <v>71</v>
      </c>
      <c r="D45" s="82" t="s">
        <v>22</v>
      </c>
      <c r="E45" s="82">
        <v>1073629313</v>
      </c>
      <c r="F45" s="86" t="s">
        <v>14</v>
      </c>
      <c r="G45" s="82"/>
      <c r="H45" s="82" t="s">
        <v>15</v>
      </c>
    </row>
    <row r="46" spans="2:8" x14ac:dyDescent="0.25">
      <c r="B46" s="87">
        <v>43</v>
      </c>
      <c r="C46" s="80" t="s">
        <v>57</v>
      </c>
      <c r="D46" s="5" t="s">
        <v>13</v>
      </c>
      <c r="E46" s="81">
        <v>20871385</v>
      </c>
      <c r="F46" s="86" t="s">
        <v>14</v>
      </c>
      <c r="G46" s="5" t="s">
        <v>58</v>
      </c>
      <c r="H46" s="5" t="s">
        <v>15</v>
      </c>
    </row>
    <row r="47" spans="2:8" x14ac:dyDescent="0.25">
      <c r="B47" s="87">
        <v>44</v>
      </c>
      <c r="C47" s="80" t="s">
        <v>59</v>
      </c>
      <c r="D47" s="82" t="s">
        <v>22</v>
      </c>
      <c r="E47" s="83">
        <v>1028491249</v>
      </c>
      <c r="F47" s="86" t="s">
        <v>14</v>
      </c>
      <c r="G47" s="82" t="s">
        <v>60</v>
      </c>
      <c r="H47" s="82" t="s">
        <v>15</v>
      </c>
    </row>
    <row r="48" spans="2:8" x14ac:dyDescent="0.25">
      <c r="B48" s="91"/>
      <c r="C48" s="80" t="s">
        <v>61</v>
      </c>
      <c r="D48" s="5" t="s">
        <v>62</v>
      </c>
      <c r="E48" s="81">
        <v>1016748536</v>
      </c>
      <c r="F48" s="86"/>
      <c r="G48" s="5" t="s">
        <v>63</v>
      </c>
      <c r="H48" s="5" t="s">
        <v>15</v>
      </c>
    </row>
    <row r="49" spans="2:9" x14ac:dyDescent="0.25">
      <c r="B49" s="88">
        <v>45</v>
      </c>
      <c r="C49" s="80" t="s">
        <v>111</v>
      </c>
      <c r="D49" s="82" t="s">
        <v>13</v>
      </c>
      <c r="E49" s="83">
        <v>20872375</v>
      </c>
      <c r="F49" s="86" t="s">
        <v>14</v>
      </c>
      <c r="G49" s="82">
        <v>3118723732</v>
      </c>
      <c r="H49" s="82" t="s">
        <v>15</v>
      </c>
    </row>
    <row r="50" spans="2:9" x14ac:dyDescent="0.25">
      <c r="B50" s="88">
        <v>46</v>
      </c>
      <c r="C50" s="85" t="s">
        <v>67</v>
      </c>
      <c r="D50" s="5" t="s">
        <v>13</v>
      </c>
      <c r="E50" s="5">
        <v>39573071</v>
      </c>
      <c r="F50" s="101" t="s">
        <v>65</v>
      </c>
      <c r="G50" s="5" t="s">
        <v>68</v>
      </c>
      <c r="H50" s="5" t="s">
        <v>15</v>
      </c>
    </row>
    <row r="51" spans="2:9" x14ac:dyDescent="0.25">
      <c r="B51" s="88">
        <v>47</v>
      </c>
      <c r="C51" s="85" t="s">
        <v>66</v>
      </c>
      <c r="D51" s="82" t="s">
        <v>13</v>
      </c>
      <c r="E51" s="82">
        <v>21014141</v>
      </c>
      <c r="F51" s="102" t="s">
        <v>65</v>
      </c>
      <c r="G51" s="82" t="s">
        <v>49</v>
      </c>
      <c r="H51" s="82" t="s">
        <v>15</v>
      </c>
    </row>
    <row r="52" spans="2:9" x14ac:dyDescent="0.25">
      <c r="B52" s="88">
        <v>48</v>
      </c>
      <c r="C52" s="105" t="s">
        <v>117</v>
      </c>
      <c r="D52" s="5" t="s">
        <v>13</v>
      </c>
      <c r="E52" s="5">
        <v>52932505</v>
      </c>
      <c r="F52" s="103" t="s">
        <v>34</v>
      </c>
      <c r="G52" s="5"/>
      <c r="H52" s="5" t="s">
        <v>15</v>
      </c>
    </row>
    <row r="53" spans="2:9" x14ac:dyDescent="0.25">
      <c r="B53" s="88">
        <v>49</v>
      </c>
      <c r="C53" s="105" t="s">
        <v>72</v>
      </c>
      <c r="D53" s="82" t="s">
        <v>62</v>
      </c>
      <c r="E53" s="82">
        <v>1233507914</v>
      </c>
      <c r="F53" s="104" t="s">
        <v>34</v>
      </c>
      <c r="G53" s="82"/>
      <c r="H53" s="82" t="s">
        <v>15</v>
      </c>
    </row>
    <row r="54" spans="2:9" x14ac:dyDescent="0.25">
      <c r="B54" s="88">
        <v>50</v>
      </c>
      <c r="C54" s="105" t="s">
        <v>73</v>
      </c>
      <c r="D54" s="5" t="s">
        <v>13</v>
      </c>
      <c r="E54" s="5">
        <v>20357680</v>
      </c>
      <c r="F54" s="103" t="s">
        <v>34</v>
      </c>
      <c r="G54" s="5">
        <v>3043916811</v>
      </c>
      <c r="H54" s="5" t="s">
        <v>15</v>
      </c>
    </row>
    <row r="55" spans="2:9" x14ac:dyDescent="0.25">
      <c r="B55" s="88">
        <v>51</v>
      </c>
      <c r="C55" s="95" t="s">
        <v>93</v>
      </c>
      <c r="D55" s="82" t="s">
        <v>13</v>
      </c>
      <c r="E55" s="82">
        <v>41549329</v>
      </c>
      <c r="F55" s="94" t="s">
        <v>42</v>
      </c>
      <c r="G55" s="82"/>
      <c r="H55" s="82" t="s">
        <v>96</v>
      </c>
    </row>
    <row r="56" spans="2:9" x14ac:dyDescent="0.25">
      <c r="B56" s="88">
        <v>52</v>
      </c>
      <c r="C56" s="106" t="s">
        <v>94</v>
      </c>
      <c r="D56" s="5" t="s">
        <v>13</v>
      </c>
      <c r="E56" s="5">
        <v>4387541</v>
      </c>
      <c r="F56" s="96" t="s">
        <v>42</v>
      </c>
      <c r="G56" s="5"/>
      <c r="H56" s="5" t="s">
        <v>96</v>
      </c>
    </row>
    <row r="57" spans="2:9" x14ac:dyDescent="0.25">
      <c r="B57" s="88">
        <v>53</v>
      </c>
      <c r="C57" s="95" t="s">
        <v>95</v>
      </c>
      <c r="D57" s="82" t="s">
        <v>13</v>
      </c>
      <c r="E57" s="82">
        <v>20611012</v>
      </c>
      <c r="F57" s="94" t="s">
        <v>42</v>
      </c>
      <c r="G57" s="82"/>
      <c r="H57" s="82" t="s">
        <v>96</v>
      </c>
    </row>
    <row r="58" spans="2:9" x14ac:dyDescent="0.25">
      <c r="B58" s="88">
        <v>54</v>
      </c>
      <c r="C58" s="105" t="s">
        <v>124</v>
      </c>
      <c r="D58" s="5" t="s">
        <v>13</v>
      </c>
      <c r="E58" s="5">
        <v>20357264</v>
      </c>
      <c r="F58" s="103" t="s">
        <v>34</v>
      </c>
      <c r="G58" s="5"/>
      <c r="H58" s="5" t="s">
        <v>15</v>
      </c>
    </row>
    <row r="59" spans="2:9" x14ac:dyDescent="0.25">
      <c r="B59" s="88">
        <v>55</v>
      </c>
      <c r="C59" s="105" t="s">
        <v>125</v>
      </c>
      <c r="D59" s="82" t="s">
        <v>13</v>
      </c>
      <c r="E59" s="82">
        <v>178668</v>
      </c>
      <c r="F59" s="104" t="s">
        <v>34</v>
      </c>
      <c r="G59" s="82"/>
      <c r="H59" s="5" t="s">
        <v>15</v>
      </c>
    </row>
    <row r="60" spans="2:9" x14ac:dyDescent="0.25">
      <c r="B60" s="88">
        <v>56</v>
      </c>
      <c r="C60" s="105" t="s">
        <v>99</v>
      </c>
      <c r="D60" s="5" t="s">
        <v>13</v>
      </c>
      <c r="E60" s="5">
        <v>72960190</v>
      </c>
      <c r="F60" s="103" t="s">
        <v>34</v>
      </c>
      <c r="G60" s="5">
        <v>3168001815</v>
      </c>
      <c r="H60" s="5" t="s">
        <v>15</v>
      </c>
    </row>
    <row r="61" spans="2:9" x14ac:dyDescent="0.25">
      <c r="B61" s="88">
        <v>57</v>
      </c>
      <c r="C61" s="105" t="s">
        <v>100</v>
      </c>
      <c r="D61" s="82" t="s">
        <v>13</v>
      </c>
      <c r="E61" s="82">
        <v>20357982</v>
      </c>
      <c r="F61" s="104" t="s">
        <v>34</v>
      </c>
      <c r="G61" s="82">
        <v>3142859836</v>
      </c>
      <c r="H61" s="5" t="s">
        <v>15</v>
      </c>
    </row>
    <row r="62" spans="2:9" x14ac:dyDescent="0.25">
      <c r="B62" s="88">
        <v>58</v>
      </c>
      <c r="C62" s="95" t="s">
        <v>107</v>
      </c>
      <c r="D62" s="82" t="s">
        <v>13</v>
      </c>
      <c r="E62" s="82">
        <v>79288961</v>
      </c>
      <c r="F62" s="96" t="s">
        <v>42</v>
      </c>
      <c r="G62" s="5"/>
      <c r="H62" s="5" t="s">
        <v>15</v>
      </c>
    </row>
    <row r="63" spans="2:9" x14ac:dyDescent="0.25">
      <c r="B63" s="88">
        <v>59</v>
      </c>
      <c r="C63" s="95" t="s">
        <v>108</v>
      </c>
      <c r="D63" s="82" t="s">
        <v>13</v>
      </c>
      <c r="E63" s="83">
        <v>39737454</v>
      </c>
      <c r="F63" s="94" t="s">
        <v>42</v>
      </c>
      <c r="G63" s="82"/>
      <c r="H63" s="82" t="s">
        <v>15</v>
      </c>
    </row>
    <row r="64" spans="2:9" x14ac:dyDescent="0.25">
      <c r="B64" s="88">
        <v>60</v>
      </c>
      <c r="C64" s="92" t="s">
        <v>121</v>
      </c>
      <c r="D64" s="5" t="s">
        <v>122</v>
      </c>
      <c r="E64" s="65">
        <v>1012388978</v>
      </c>
      <c r="F64" s="93" t="s">
        <v>14</v>
      </c>
      <c r="G64" s="5" t="s">
        <v>128</v>
      </c>
      <c r="H64" s="5" t="s">
        <v>15</v>
      </c>
      <c r="I64" s="5"/>
    </row>
  </sheetData>
  <conditionalFormatting sqref="E22">
    <cfRule type="duplicateValues" dxfId="162" priority="3"/>
  </conditionalFormatting>
  <conditionalFormatting sqref="E22:E23">
    <cfRule type="duplicateValues" dxfId="161" priority="2"/>
  </conditionalFormatting>
  <conditionalFormatting sqref="E23">
    <cfRule type="duplicateValues" dxfId="160" priority="1"/>
  </conditionalFormatting>
  <conditionalFormatting sqref="E24:E25">
    <cfRule type="duplicateValues" dxfId="159" priority="7"/>
  </conditionalFormatting>
  <conditionalFormatting sqref="E26">
    <cfRule type="duplicateValues" dxfId="158" priority="6"/>
  </conditionalFormatting>
  <conditionalFormatting sqref="E37:E39 E3:E19 E27:E35 E42:E61 E21">
    <cfRule type="duplicateValues" dxfId="157" priority="9"/>
  </conditionalFormatting>
  <conditionalFormatting sqref="E40">
    <cfRule type="duplicateValues" dxfId="156" priority="4"/>
    <cfRule type="duplicateValues" dxfId="155" priority="5"/>
  </conditionalFormatting>
  <conditionalFormatting sqref="E62:E63">
    <cfRule type="duplicateValues" dxfId="154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CC57-EF58-4DD4-9C78-E22C5053B7B3}">
  <dimension ref="A2:R65"/>
  <sheetViews>
    <sheetView topLeftCell="A47" workbookViewId="0">
      <selection activeCell="H27" sqref="H27:H29"/>
    </sheetView>
  </sheetViews>
  <sheetFormatPr baseColWidth="10" defaultRowHeight="15" x14ac:dyDescent="0.25"/>
  <cols>
    <col min="2" max="2" width="18.28515625" customWidth="1"/>
    <col min="3" max="3" width="32" bestFit="1" customWidth="1"/>
    <col min="4" max="4" width="3.85546875" bestFit="1" customWidth="1"/>
    <col min="5" max="5" width="12.7109375" bestFit="1" customWidth="1"/>
    <col min="6" max="6" width="11.5703125" bestFit="1" customWidth="1"/>
    <col min="9" max="9" width="33.7109375" bestFit="1" customWidth="1"/>
    <col min="11" max="11" width="12.7109375" bestFit="1" customWidth="1"/>
    <col min="15" max="15" width="33.7109375" bestFit="1" customWidth="1"/>
  </cols>
  <sheetData>
    <row r="2" spans="1:18" ht="15.75" thickBot="1" x14ac:dyDescent="0.3">
      <c r="B2" s="7" t="s">
        <v>76</v>
      </c>
      <c r="C2" s="21" t="s">
        <v>3</v>
      </c>
      <c r="D2" s="6" t="s">
        <v>4</v>
      </c>
      <c r="E2" s="6" t="s">
        <v>5</v>
      </c>
      <c r="F2" s="6" t="s">
        <v>77</v>
      </c>
      <c r="H2" s="7" t="s">
        <v>76</v>
      </c>
      <c r="I2" s="21" t="s">
        <v>3</v>
      </c>
      <c r="J2" s="6" t="s">
        <v>4</v>
      </c>
      <c r="K2" s="6" t="s">
        <v>5</v>
      </c>
      <c r="L2" s="6" t="s">
        <v>77</v>
      </c>
      <c r="N2" s="7" t="s">
        <v>76</v>
      </c>
      <c r="O2" s="21" t="s">
        <v>3</v>
      </c>
      <c r="P2" s="6" t="s">
        <v>4</v>
      </c>
      <c r="Q2" s="6" t="s">
        <v>5</v>
      </c>
      <c r="R2" s="6" t="s">
        <v>77</v>
      </c>
    </row>
    <row r="3" spans="1:18" x14ac:dyDescent="0.25">
      <c r="A3">
        <v>1</v>
      </c>
      <c r="B3" s="118" t="s">
        <v>80</v>
      </c>
      <c r="C3" s="22" t="s">
        <v>47</v>
      </c>
      <c r="D3" s="20" t="s">
        <v>13</v>
      </c>
      <c r="E3" s="12">
        <v>17192569</v>
      </c>
      <c r="F3" s="13">
        <v>18231</v>
      </c>
      <c r="H3" s="114">
        <v>112</v>
      </c>
      <c r="I3" s="22" t="s">
        <v>47</v>
      </c>
      <c r="J3" s="20" t="s">
        <v>13</v>
      </c>
      <c r="K3" s="12">
        <v>17192569</v>
      </c>
      <c r="L3" s="13">
        <v>18231</v>
      </c>
      <c r="N3" s="114" t="s">
        <v>80</v>
      </c>
      <c r="O3" s="22" t="s">
        <v>47</v>
      </c>
      <c r="P3" s="20" t="s">
        <v>13</v>
      </c>
      <c r="Q3" s="12">
        <v>17192569</v>
      </c>
      <c r="R3" s="13">
        <v>18231</v>
      </c>
    </row>
    <row r="4" spans="1:18" ht="15.75" thickBot="1" x14ac:dyDescent="0.3">
      <c r="A4">
        <v>2</v>
      </c>
      <c r="B4" s="118"/>
      <c r="C4" s="23" t="s">
        <v>48</v>
      </c>
      <c r="D4" s="20" t="s">
        <v>13</v>
      </c>
      <c r="E4" s="12">
        <v>41770474</v>
      </c>
      <c r="F4" s="13">
        <v>21338</v>
      </c>
      <c r="H4" s="114"/>
      <c r="I4" s="23" t="s">
        <v>48</v>
      </c>
      <c r="J4" s="20" t="s">
        <v>13</v>
      </c>
      <c r="K4" s="12">
        <v>41770474</v>
      </c>
      <c r="L4" s="13">
        <v>21338</v>
      </c>
      <c r="N4" s="114"/>
      <c r="O4" s="23" t="s">
        <v>48</v>
      </c>
      <c r="P4" s="20" t="s">
        <v>13</v>
      </c>
      <c r="Q4" s="12">
        <v>41770474</v>
      </c>
      <c r="R4" s="13">
        <v>21338</v>
      </c>
    </row>
    <row r="5" spans="1:18" x14ac:dyDescent="0.25">
      <c r="A5">
        <v>3</v>
      </c>
      <c r="B5" s="118" t="s">
        <v>78</v>
      </c>
      <c r="C5" s="22" t="s">
        <v>0</v>
      </c>
      <c r="D5" s="20" t="s">
        <v>13</v>
      </c>
      <c r="E5" s="11">
        <v>3149195</v>
      </c>
      <c r="F5" s="11"/>
      <c r="H5" s="114">
        <v>102</v>
      </c>
      <c r="I5" s="22" t="s">
        <v>0</v>
      </c>
      <c r="J5" s="20" t="s">
        <v>13</v>
      </c>
      <c r="K5" s="11">
        <v>3149195</v>
      </c>
      <c r="L5" s="13">
        <v>18944</v>
      </c>
      <c r="N5" s="114" t="s">
        <v>78</v>
      </c>
      <c r="O5" s="22" t="s">
        <v>0</v>
      </c>
      <c r="P5" s="20" t="s">
        <v>13</v>
      </c>
      <c r="Q5" s="11">
        <v>3149195</v>
      </c>
      <c r="R5" s="13">
        <v>18944</v>
      </c>
    </row>
    <row r="6" spans="1:18" ht="15.75" thickBot="1" x14ac:dyDescent="0.3">
      <c r="A6">
        <v>4</v>
      </c>
      <c r="B6" s="118"/>
      <c r="C6" s="23" t="s">
        <v>1</v>
      </c>
      <c r="D6" s="20" t="s">
        <v>13</v>
      </c>
      <c r="E6" s="11">
        <v>51661821</v>
      </c>
      <c r="F6" s="11"/>
      <c r="H6" s="114"/>
      <c r="I6" s="23" t="s">
        <v>1</v>
      </c>
      <c r="J6" s="20" t="s">
        <v>13</v>
      </c>
      <c r="K6" s="11">
        <v>51661821</v>
      </c>
      <c r="L6" s="13">
        <v>22927</v>
      </c>
      <c r="N6" s="114"/>
      <c r="O6" s="23" t="s">
        <v>1</v>
      </c>
      <c r="P6" s="20" t="s">
        <v>13</v>
      </c>
      <c r="Q6" s="11">
        <v>51661821</v>
      </c>
      <c r="R6" s="13">
        <v>22927</v>
      </c>
    </row>
    <row r="7" spans="1:18" x14ac:dyDescent="0.25">
      <c r="A7">
        <v>5</v>
      </c>
      <c r="B7" s="118" t="s">
        <v>81</v>
      </c>
      <c r="C7" s="22" t="s">
        <v>27</v>
      </c>
      <c r="D7" s="20" t="s">
        <v>13</v>
      </c>
      <c r="E7" s="11">
        <v>19239372</v>
      </c>
      <c r="F7" s="13">
        <v>19600</v>
      </c>
      <c r="H7" s="114">
        <v>105</v>
      </c>
      <c r="I7" s="22" t="s">
        <v>27</v>
      </c>
      <c r="J7" s="20" t="s">
        <v>13</v>
      </c>
      <c r="K7" s="11">
        <v>19239372</v>
      </c>
      <c r="L7" s="13">
        <v>19600</v>
      </c>
      <c r="N7" s="114" t="s">
        <v>81</v>
      </c>
      <c r="O7" s="22" t="s">
        <v>27</v>
      </c>
      <c r="P7" s="20" t="s">
        <v>13</v>
      </c>
      <c r="Q7" s="11">
        <v>19239372</v>
      </c>
      <c r="R7" s="13">
        <v>19600</v>
      </c>
    </row>
    <row r="8" spans="1:18" ht="15.75" thickBot="1" x14ac:dyDescent="0.3">
      <c r="A8">
        <v>6</v>
      </c>
      <c r="B8" s="118"/>
      <c r="C8" s="49" t="s">
        <v>28</v>
      </c>
      <c r="D8" s="20" t="s">
        <v>13</v>
      </c>
      <c r="E8" s="11">
        <v>41589109</v>
      </c>
      <c r="F8" s="13">
        <v>19627</v>
      </c>
      <c r="H8" s="114"/>
      <c r="I8" s="49" t="s">
        <v>28</v>
      </c>
      <c r="J8" s="20" t="s">
        <v>13</v>
      </c>
      <c r="K8" s="11">
        <v>41589109</v>
      </c>
      <c r="L8" s="13">
        <v>19627</v>
      </c>
      <c r="N8" s="114"/>
      <c r="O8" s="49" t="s">
        <v>28</v>
      </c>
      <c r="P8" s="20" t="s">
        <v>13</v>
      </c>
      <c r="Q8" s="11">
        <v>41589109</v>
      </c>
      <c r="R8" s="13">
        <v>19627</v>
      </c>
    </row>
    <row r="9" spans="1:18" x14ac:dyDescent="0.25">
      <c r="A9">
        <v>7</v>
      </c>
      <c r="B9" s="118" t="s">
        <v>82</v>
      </c>
      <c r="C9" s="22" t="s">
        <v>107</v>
      </c>
      <c r="D9" s="20" t="s">
        <v>13</v>
      </c>
      <c r="E9" s="11">
        <v>79288961</v>
      </c>
      <c r="F9" s="13">
        <v>23229</v>
      </c>
      <c r="H9" s="114">
        <v>209</v>
      </c>
      <c r="I9" s="22" t="s">
        <v>107</v>
      </c>
      <c r="J9" s="20" t="s">
        <v>13</v>
      </c>
      <c r="K9" s="11">
        <v>79288961</v>
      </c>
      <c r="L9" s="13">
        <v>23595</v>
      </c>
      <c r="N9" s="114" t="s">
        <v>82</v>
      </c>
      <c r="O9" s="22" t="s">
        <v>107</v>
      </c>
      <c r="P9" s="20" t="s">
        <v>13</v>
      </c>
      <c r="Q9" s="11">
        <v>79288961</v>
      </c>
      <c r="R9" s="13">
        <v>23595</v>
      </c>
    </row>
    <row r="10" spans="1:18" ht="15.75" thickBot="1" x14ac:dyDescent="0.3">
      <c r="A10">
        <v>8</v>
      </c>
      <c r="B10" s="118"/>
      <c r="C10" s="23" t="s">
        <v>108</v>
      </c>
      <c r="D10" s="20" t="s">
        <v>13</v>
      </c>
      <c r="E10" s="12">
        <v>39737454</v>
      </c>
      <c r="F10" s="13"/>
      <c r="H10" s="114"/>
      <c r="I10" s="23" t="s">
        <v>108</v>
      </c>
      <c r="J10" s="20" t="s">
        <v>13</v>
      </c>
      <c r="K10" s="12">
        <v>39737454</v>
      </c>
      <c r="L10" s="13">
        <v>23282</v>
      </c>
      <c r="N10" s="114"/>
      <c r="O10" s="23" t="s">
        <v>108</v>
      </c>
      <c r="P10" s="20" t="s">
        <v>13</v>
      </c>
      <c r="Q10" s="12">
        <v>39737454</v>
      </c>
      <c r="R10" s="13">
        <v>23282</v>
      </c>
    </row>
    <row r="11" spans="1:18" x14ac:dyDescent="0.25">
      <c r="A11">
        <v>9</v>
      </c>
      <c r="B11" s="118" t="s">
        <v>83</v>
      </c>
      <c r="C11" s="50" t="s">
        <v>35</v>
      </c>
      <c r="D11" s="20" t="s">
        <v>13</v>
      </c>
      <c r="E11" s="12">
        <v>20871845</v>
      </c>
      <c r="F11" s="13">
        <v>26892</v>
      </c>
      <c r="H11" s="114">
        <v>307</v>
      </c>
      <c r="I11" s="50" t="s">
        <v>35</v>
      </c>
      <c r="J11" s="20" t="s">
        <v>13</v>
      </c>
      <c r="K11" s="12">
        <v>20871845</v>
      </c>
      <c r="L11" s="13">
        <v>26892</v>
      </c>
      <c r="N11" s="114" t="s">
        <v>83</v>
      </c>
      <c r="O11" s="50" t="s">
        <v>35</v>
      </c>
      <c r="P11" s="20" t="s">
        <v>13</v>
      </c>
      <c r="Q11" s="12">
        <v>20871845</v>
      </c>
      <c r="R11" s="13">
        <v>26892</v>
      </c>
    </row>
    <row r="12" spans="1:18" ht="15.75" thickBot="1" x14ac:dyDescent="0.3">
      <c r="A12">
        <v>10</v>
      </c>
      <c r="B12" s="118"/>
      <c r="C12" s="23" t="s">
        <v>69</v>
      </c>
      <c r="D12" s="20" t="s">
        <v>13</v>
      </c>
      <c r="E12" s="12">
        <v>1073629894</v>
      </c>
      <c r="F12" s="13">
        <v>34883</v>
      </c>
      <c r="H12" s="114"/>
      <c r="I12" s="23" t="s">
        <v>69</v>
      </c>
      <c r="J12" s="20" t="s">
        <v>13</v>
      </c>
      <c r="K12" s="12">
        <v>1073629894</v>
      </c>
      <c r="L12" s="13">
        <v>34883</v>
      </c>
      <c r="N12" s="114"/>
      <c r="O12" s="23" t="s">
        <v>69</v>
      </c>
      <c r="P12" s="20" t="s">
        <v>13</v>
      </c>
      <c r="Q12" s="12">
        <v>1073629894</v>
      </c>
      <c r="R12" s="13">
        <v>34883</v>
      </c>
    </row>
    <row r="13" spans="1:18" x14ac:dyDescent="0.25">
      <c r="A13">
        <v>11</v>
      </c>
      <c r="B13" s="118" t="s">
        <v>79</v>
      </c>
      <c r="C13" s="22" t="s">
        <v>53</v>
      </c>
      <c r="D13" s="20" t="s">
        <v>13</v>
      </c>
      <c r="E13" s="12">
        <v>39561291</v>
      </c>
      <c r="F13" s="13">
        <v>24141</v>
      </c>
      <c r="H13" s="114">
        <v>110</v>
      </c>
      <c r="I13" s="22" t="s">
        <v>53</v>
      </c>
      <c r="J13" s="20" t="s">
        <v>13</v>
      </c>
      <c r="K13" s="12">
        <v>39561291</v>
      </c>
      <c r="L13" s="13">
        <v>24141</v>
      </c>
      <c r="N13" s="114" t="s">
        <v>79</v>
      </c>
      <c r="O13" s="22" t="s">
        <v>53</v>
      </c>
      <c r="P13" s="20" t="s">
        <v>13</v>
      </c>
      <c r="Q13" s="12">
        <v>39561291</v>
      </c>
      <c r="R13" s="13">
        <v>24141</v>
      </c>
    </row>
    <row r="14" spans="1:18" ht="15.75" thickBot="1" x14ac:dyDescent="0.3">
      <c r="A14">
        <v>12</v>
      </c>
      <c r="B14" s="118"/>
      <c r="C14" s="23" t="s">
        <v>54</v>
      </c>
      <c r="D14" s="20" t="s">
        <v>13</v>
      </c>
      <c r="E14" s="12">
        <v>3225785</v>
      </c>
      <c r="F14" s="13">
        <v>20576</v>
      </c>
      <c r="H14" s="114"/>
      <c r="I14" s="23" t="s">
        <v>54</v>
      </c>
      <c r="J14" s="20" t="s">
        <v>13</v>
      </c>
      <c r="K14" s="12">
        <v>3225785</v>
      </c>
      <c r="L14" s="13">
        <v>20576</v>
      </c>
      <c r="N14" s="114"/>
      <c r="O14" s="23" t="s">
        <v>54</v>
      </c>
      <c r="P14" s="20" t="s">
        <v>13</v>
      </c>
      <c r="Q14" s="12">
        <v>3225785</v>
      </c>
      <c r="R14" s="13">
        <v>20576</v>
      </c>
    </row>
    <row r="15" spans="1:18" x14ac:dyDescent="0.25">
      <c r="A15">
        <v>13</v>
      </c>
      <c r="B15" s="118" t="s">
        <v>84</v>
      </c>
      <c r="C15" s="22" t="s">
        <v>55</v>
      </c>
      <c r="D15" s="20" t="s">
        <v>13</v>
      </c>
      <c r="E15" s="12">
        <v>11307001</v>
      </c>
      <c r="F15" s="13">
        <v>22110</v>
      </c>
      <c r="H15" s="114">
        <v>211</v>
      </c>
      <c r="I15" s="22" t="s">
        <v>55</v>
      </c>
      <c r="J15" s="20" t="s">
        <v>13</v>
      </c>
      <c r="K15" s="12">
        <v>11307001</v>
      </c>
      <c r="L15" s="13">
        <v>22110</v>
      </c>
      <c r="N15" s="114" t="s">
        <v>84</v>
      </c>
      <c r="O15" s="22" t="s">
        <v>55</v>
      </c>
      <c r="P15" s="20" t="s">
        <v>13</v>
      </c>
      <c r="Q15" s="12">
        <v>11307001</v>
      </c>
      <c r="R15" s="13">
        <v>22110</v>
      </c>
    </row>
    <row r="16" spans="1:18" ht="15.75" thickBot="1" x14ac:dyDescent="0.3">
      <c r="A16">
        <v>14</v>
      </c>
      <c r="B16" s="118"/>
      <c r="C16" s="23" t="s">
        <v>56</v>
      </c>
      <c r="D16" s="20" t="s">
        <v>13</v>
      </c>
      <c r="E16" s="12">
        <v>39769758</v>
      </c>
      <c r="F16" s="13">
        <v>22608</v>
      </c>
      <c r="H16" s="114"/>
      <c r="I16" s="23" t="s">
        <v>56</v>
      </c>
      <c r="J16" s="20" t="s">
        <v>13</v>
      </c>
      <c r="K16" s="12">
        <v>39769758</v>
      </c>
      <c r="L16" s="13">
        <v>22608</v>
      </c>
      <c r="N16" s="114"/>
      <c r="O16" s="23" t="s">
        <v>56</v>
      </c>
      <c r="P16" s="20" t="s">
        <v>13</v>
      </c>
      <c r="Q16" s="12">
        <v>39769758</v>
      </c>
      <c r="R16" s="13">
        <v>22608</v>
      </c>
    </row>
    <row r="17" spans="1:18" x14ac:dyDescent="0.25">
      <c r="A17">
        <v>15</v>
      </c>
      <c r="B17" s="118" t="s">
        <v>85</v>
      </c>
      <c r="C17" s="22" t="s">
        <v>45</v>
      </c>
      <c r="D17" s="20" t="s">
        <v>13</v>
      </c>
      <c r="E17" s="12">
        <v>21016369</v>
      </c>
      <c r="F17" s="13">
        <v>25130</v>
      </c>
      <c r="H17" s="114">
        <v>213</v>
      </c>
      <c r="I17" s="22" t="s">
        <v>45</v>
      </c>
      <c r="J17" s="20" t="s">
        <v>13</v>
      </c>
      <c r="K17" s="12">
        <v>21016369</v>
      </c>
      <c r="L17" s="13">
        <v>25130</v>
      </c>
      <c r="N17" s="114" t="s">
        <v>85</v>
      </c>
      <c r="O17" s="22" t="s">
        <v>45</v>
      </c>
      <c r="P17" s="20" t="s">
        <v>13</v>
      </c>
      <c r="Q17" s="12">
        <v>21016369</v>
      </c>
      <c r="R17" s="13">
        <v>25130</v>
      </c>
    </row>
    <row r="18" spans="1:18" ht="15.75" thickBot="1" x14ac:dyDescent="0.3">
      <c r="A18">
        <v>16</v>
      </c>
      <c r="B18" s="118"/>
      <c r="C18" s="23" t="s">
        <v>46</v>
      </c>
      <c r="D18" s="20" t="s">
        <v>13</v>
      </c>
      <c r="E18" s="12">
        <v>19370950</v>
      </c>
      <c r="F18" s="13">
        <v>21758</v>
      </c>
      <c r="H18" s="114"/>
      <c r="I18" s="23" t="s">
        <v>46</v>
      </c>
      <c r="J18" s="20" t="s">
        <v>13</v>
      </c>
      <c r="K18" s="12">
        <v>19370950</v>
      </c>
      <c r="L18" s="13">
        <v>21758</v>
      </c>
      <c r="N18" s="114"/>
      <c r="O18" s="23" t="s">
        <v>46</v>
      </c>
      <c r="P18" s="20" t="s">
        <v>13</v>
      </c>
      <c r="Q18" s="12">
        <v>19370950</v>
      </c>
      <c r="R18" s="13">
        <v>21758</v>
      </c>
    </row>
    <row r="19" spans="1:18" x14ac:dyDescent="0.25">
      <c r="A19">
        <v>17</v>
      </c>
      <c r="B19" s="118" t="s">
        <v>86</v>
      </c>
      <c r="C19" s="22" t="s">
        <v>70</v>
      </c>
      <c r="D19" s="20" t="s">
        <v>13</v>
      </c>
      <c r="E19" s="11">
        <v>1019035371</v>
      </c>
      <c r="F19" s="13">
        <v>32681</v>
      </c>
      <c r="H19" s="114">
        <v>308</v>
      </c>
      <c r="I19" s="22" t="s">
        <v>70</v>
      </c>
      <c r="J19" s="20" t="s">
        <v>13</v>
      </c>
      <c r="K19" s="11">
        <v>1019035371</v>
      </c>
      <c r="L19" s="13">
        <v>32681</v>
      </c>
      <c r="N19" s="114" t="s">
        <v>86</v>
      </c>
      <c r="O19" s="22" t="s">
        <v>70</v>
      </c>
      <c r="P19" s="20" t="s">
        <v>13</v>
      </c>
      <c r="Q19" s="11">
        <v>1019035371</v>
      </c>
      <c r="R19" s="13">
        <v>32681</v>
      </c>
    </row>
    <row r="20" spans="1:18" ht="15.75" thickBot="1" x14ac:dyDescent="0.3">
      <c r="A20">
        <v>18</v>
      </c>
      <c r="B20" s="118"/>
      <c r="C20" s="23" t="s">
        <v>71</v>
      </c>
      <c r="D20" s="20" t="s">
        <v>22</v>
      </c>
      <c r="E20" s="11">
        <v>1073629313</v>
      </c>
      <c r="F20" s="13">
        <v>40398</v>
      </c>
      <c r="H20" s="114"/>
      <c r="I20" s="23" t="s">
        <v>71</v>
      </c>
      <c r="J20" s="20" t="s">
        <v>22</v>
      </c>
      <c r="K20" s="11">
        <v>1073629313</v>
      </c>
      <c r="L20" s="13">
        <v>40398</v>
      </c>
      <c r="N20" s="114"/>
      <c r="O20" s="23" t="s">
        <v>71</v>
      </c>
      <c r="P20" s="20" t="s">
        <v>22</v>
      </c>
      <c r="Q20" s="11">
        <v>1073629313</v>
      </c>
      <c r="R20" s="13">
        <v>40398</v>
      </c>
    </row>
    <row r="21" spans="1:18" ht="15.75" thickBot="1" x14ac:dyDescent="0.3">
      <c r="A21">
        <v>19</v>
      </c>
      <c r="B21" s="118" t="s">
        <v>87</v>
      </c>
      <c r="C21" s="22" t="s">
        <v>67</v>
      </c>
      <c r="D21" s="20" t="s">
        <v>13</v>
      </c>
      <c r="E21" s="11">
        <v>39573071</v>
      </c>
      <c r="F21" s="13">
        <v>27959</v>
      </c>
      <c r="H21" s="114">
        <v>214</v>
      </c>
      <c r="I21" s="22" t="s">
        <v>67</v>
      </c>
      <c r="J21" s="20" t="s">
        <v>13</v>
      </c>
      <c r="K21" s="11">
        <v>39573071</v>
      </c>
      <c r="L21" s="13">
        <v>27959</v>
      </c>
      <c r="N21" s="114" t="s">
        <v>87</v>
      </c>
      <c r="O21" s="22" t="s">
        <v>67</v>
      </c>
      <c r="P21" s="20" t="s">
        <v>13</v>
      </c>
      <c r="Q21" s="11">
        <v>39573071</v>
      </c>
      <c r="R21" s="13">
        <v>27959</v>
      </c>
    </row>
    <row r="22" spans="1:18" ht="15.75" thickBot="1" x14ac:dyDescent="0.3">
      <c r="A22">
        <v>20</v>
      </c>
      <c r="B22" s="118"/>
      <c r="C22" s="54" t="s">
        <v>66</v>
      </c>
      <c r="D22" s="40" t="s">
        <v>13</v>
      </c>
      <c r="E22" s="6">
        <v>21014141</v>
      </c>
      <c r="F22" s="28">
        <v>21318</v>
      </c>
      <c r="H22" s="114"/>
      <c r="I22" s="54" t="s">
        <v>66</v>
      </c>
      <c r="J22" s="40" t="s">
        <v>13</v>
      </c>
      <c r="K22" s="6">
        <v>21014141</v>
      </c>
      <c r="L22" s="28">
        <v>21318</v>
      </c>
      <c r="N22" s="114"/>
      <c r="O22" s="54" t="s">
        <v>66</v>
      </c>
      <c r="P22" s="40" t="s">
        <v>13</v>
      </c>
      <c r="Q22" s="6">
        <v>21014141</v>
      </c>
      <c r="R22" s="28">
        <v>21318</v>
      </c>
    </row>
    <row r="23" spans="1:18" x14ac:dyDescent="0.25">
      <c r="A23">
        <v>21</v>
      </c>
      <c r="B23" s="123" t="s">
        <v>112</v>
      </c>
      <c r="C23" s="15" t="s">
        <v>101</v>
      </c>
      <c r="D23" s="11" t="s">
        <v>13</v>
      </c>
      <c r="E23" s="17">
        <v>79431839</v>
      </c>
      <c r="F23" s="13">
        <v>24651</v>
      </c>
      <c r="H23" s="119">
        <v>318</v>
      </c>
      <c r="I23" s="15" t="s">
        <v>101</v>
      </c>
      <c r="J23" s="11" t="s">
        <v>13</v>
      </c>
      <c r="K23" s="17">
        <v>79431839</v>
      </c>
      <c r="L23" s="13">
        <v>24651</v>
      </c>
      <c r="N23" s="119" t="s">
        <v>112</v>
      </c>
      <c r="O23" s="15" t="s">
        <v>101</v>
      </c>
      <c r="P23" s="11" t="s">
        <v>13</v>
      </c>
      <c r="Q23" s="17">
        <v>79431839</v>
      </c>
      <c r="R23" s="13">
        <v>24651</v>
      </c>
    </row>
    <row r="24" spans="1:18" ht="15.75" thickBot="1" x14ac:dyDescent="0.3">
      <c r="A24">
        <v>22</v>
      </c>
      <c r="B24" s="124"/>
      <c r="C24" s="16" t="s">
        <v>75</v>
      </c>
      <c r="D24" s="11" t="s">
        <v>13</v>
      </c>
      <c r="E24" s="12">
        <v>52552743</v>
      </c>
      <c r="F24" s="13">
        <v>26359</v>
      </c>
      <c r="G24">
        <v>11</v>
      </c>
      <c r="H24" s="120"/>
      <c r="I24" s="16" t="s">
        <v>75</v>
      </c>
      <c r="J24" s="11" t="s">
        <v>13</v>
      </c>
      <c r="K24" s="12">
        <v>52552743</v>
      </c>
      <c r="L24" s="13">
        <v>26359</v>
      </c>
      <c r="N24" s="120"/>
      <c r="O24" s="16" t="s">
        <v>75</v>
      </c>
      <c r="P24" s="11" t="s">
        <v>13</v>
      </c>
      <c r="Q24" s="12">
        <v>52552743</v>
      </c>
      <c r="R24" s="13">
        <v>26359</v>
      </c>
    </row>
    <row r="25" spans="1:18" x14ac:dyDescent="0.25">
      <c r="A25">
        <v>23</v>
      </c>
      <c r="B25" s="125" t="s">
        <v>113</v>
      </c>
      <c r="C25" s="8" t="s">
        <v>40</v>
      </c>
      <c r="D25" s="11" t="s">
        <v>13</v>
      </c>
      <c r="E25" s="12">
        <v>11450902</v>
      </c>
      <c r="F25" s="13">
        <v>24904</v>
      </c>
      <c r="H25" s="121">
        <v>317</v>
      </c>
      <c r="I25" s="8" t="s">
        <v>40</v>
      </c>
      <c r="J25" s="11" t="s">
        <v>13</v>
      </c>
      <c r="K25" s="12">
        <v>11450902</v>
      </c>
      <c r="L25" s="13">
        <v>24904</v>
      </c>
      <c r="N25" s="121" t="s">
        <v>113</v>
      </c>
      <c r="O25" s="8" t="s">
        <v>40</v>
      </c>
      <c r="P25" s="11" t="s">
        <v>13</v>
      </c>
      <c r="Q25" s="12">
        <v>11450902</v>
      </c>
      <c r="R25" s="13">
        <v>24904</v>
      </c>
    </row>
    <row r="26" spans="1:18" ht="15.75" thickBot="1" x14ac:dyDescent="0.3">
      <c r="A26">
        <v>24</v>
      </c>
      <c r="B26" s="126"/>
      <c r="C26" s="8" t="s">
        <v>41</v>
      </c>
      <c r="D26" s="11" t="s">
        <v>13</v>
      </c>
      <c r="E26" s="12">
        <v>21015872</v>
      </c>
      <c r="F26" s="13">
        <v>24885</v>
      </c>
      <c r="G26">
        <v>12</v>
      </c>
      <c r="H26" s="122"/>
      <c r="I26" s="8" t="s">
        <v>41</v>
      </c>
      <c r="J26" s="11" t="s">
        <v>13</v>
      </c>
      <c r="K26" s="12">
        <v>21015872</v>
      </c>
      <c r="L26" s="13">
        <v>24885</v>
      </c>
      <c r="N26" s="122"/>
      <c r="O26" s="8" t="s">
        <v>41</v>
      </c>
      <c r="P26" s="11" t="s">
        <v>13</v>
      </c>
      <c r="Q26" s="12">
        <v>21015872</v>
      </c>
      <c r="R26" s="13">
        <v>24885</v>
      </c>
    </row>
    <row r="27" spans="1:18" x14ac:dyDescent="0.25">
      <c r="A27">
        <v>25</v>
      </c>
      <c r="B27" s="118">
        <v>104</v>
      </c>
      <c r="C27" s="24" t="s">
        <v>16</v>
      </c>
      <c r="D27" s="20" t="s">
        <v>13</v>
      </c>
      <c r="E27" s="11">
        <v>20617583</v>
      </c>
      <c r="F27" s="13">
        <v>19455</v>
      </c>
      <c r="H27" s="114">
        <v>207</v>
      </c>
      <c r="N27" s="118">
        <v>104</v>
      </c>
      <c r="O27" s="24" t="s">
        <v>16</v>
      </c>
      <c r="P27" s="20" t="s">
        <v>13</v>
      </c>
      <c r="Q27" s="11">
        <v>20617583</v>
      </c>
      <c r="R27" s="13">
        <v>19455</v>
      </c>
    </row>
    <row r="28" spans="1:18" x14ac:dyDescent="0.25">
      <c r="A28">
        <v>26</v>
      </c>
      <c r="B28" s="118"/>
      <c r="C28" s="25" t="s">
        <v>17</v>
      </c>
      <c r="D28" s="20" t="s">
        <v>13</v>
      </c>
      <c r="E28" s="11">
        <v>20870792</v>
      </c>
      <c r="F28" s="13">
        <v>20788</v>
      </c>
      <c r="G28">
        <v>104</v>
      </c>
      <c r="H28" s="114"/>
      <c r="I28" s="25" t="s">
        <v>17</v>
      </c>
      <c r="J28" s="20" t="s">
        <v>13</v>
      </c>
      <c r="K28" s="11">
        <v>20870792</v>
      </c>
      <c r="L28" s="13">
        <v>20788</v>
      </c>
      <c r="N28" s="118"/>
      <c r="O28" s="25" t="s">
        <v>17</v>
      </c>
      <c r="P28" s="20" t="s">
        <v>13</v>
      </c>
      <c r="Q28" s="11">
        <v>20870792</v>
      </c>
      <c r="R28" s="13">
        <v>20788</v>
      </c>
    </row>
    <row r="29" spans="1:18" ht="15.75" thickBot="1" x14ac:dyDescent="0.3">
      <c r="A29">
        <v>27</v>
      </c>
      <c r="B29" s="118"/>
      <c r="C29" s="26" t="s">
        <v>29</v>
      </c>
      <c r="D29" s="20" t="s">
        <v>13</v>
      </c>
      <c r="E29" s="11">
        <v>51555030</v>
      </c>
      <c r="F29" s="13">
        <v>21748</v>
      </c>
      <c r="H29" s="114"/>
      <c r="I29" s="26" t="s">
        <v>29</v>
      </c>
      <c r="J29" s="20" t="s">
        <v>13</v>
      </c>
      <c r="K29" s="11">
        <v>51555030</v>
      </c>
      <c r="L29" s="13">
        <v>21748</v>
      </c>
      <c r="N29" s="118"/>
      <c r="O29" s="26" t="s">
        <v>29</v>
      </c>
      <c r="P29" s="20" t="s">
        <v>13</v>
      </c>
      <c r="Q29" s="11">
        <v>51555030</v>
      </c>
      <c r="R29" s="13">
        <v>21748</v>
      </c>
    </row>
    <row r="30" spans="1:18" x14ac:dyDescent="0.25">
      <c r="A30">
        <v>28</v>
      </c>
      <c r="B30" s="118">
        <v>205</v>
      </c>
      <c r="C30" s="24" t="s">
        <v>20</v>
      </c>
      <c r="D30" s="20" t="s">
        <v>13</v>
      </c>
      <c r="E30" s="14">
        <v>20871828</v>
      </c>
      <c r="F30" s="13">
        <v>24395</v>
      </c>
      <c r="H30" s="114">
        <v>205</v>
      </c>
      <c r="I30" s="24" t="s">
        <v>20</v>
      </c>
      <c r="J30" s="20" t="s">
        <v>13</v>
      </c>
      <c r="K30" s="14">
        <v>20871828</v>
      </c>
      <c r="L30" s="13">
        <v>24395</v>
      </c>
      <c r="N30" s="114">
        <v>205</v>
      </c>
      <c r="O30" s="24" t="s">
        <v>20</v>
      </c>
      <c r="P30" s="20" t="s">
        <v>13</v>
      </c>
      <c r="Q30" s="14">
        <v>20871828</v>
      </c>
      <c r="R30" s="13">
        <v>24395</v>
      </c>
    </row>
    <row r="31" spans="1:18" x14ac:dyDescent="0.25">
      <c r="A31">
        <v>29</v>
      </c>
      <c r="B31" s="118"/>
      <c r="C31" s="25" t="s">
        <v>38</v>
      </c>
      <c r="D31" s="20" t="s">
        <v>13</v>
      </c>
      <c r="E31" s="12">
        <v>51651341</v>
      </c>
      <c r="F31" s="13">
        <v>22405</v>
      </c>
      <c r="H31" s="114"/>
      <c r="I31" s="25" t="s">
        <v>38</v>
      </c>
      <c r="J31" s="20" t="s">
        <v>13</v>
      </c>
      <c r="K31" s="12">
        <v>51651341</v>
      </c>
      <c r="L31" s="13">
        <v>22405</v>
      </c>
      <c r="N31" s="114"/>
      <c r="O31" s="25" t="s">
        <v>38</v>
      </c>
      <c r="P31" s="20" t="s">
        <v>13</v>
      </c>
      <c r="Q31" s="12">
        <v>51651341</v>
      </c>
      <c r="R31" s="13">
        <v>22405</v>
      </c>
    </row>
    <row r="32" spans="1:18" ht="15.75" thickBot="1" x14ac:dyDescent="0.3">
      <c r="A32">
        <v>30</v>
      </c>
      <c r="B32" s="118"/>
      <c r="C32" s="26" t="s">
        <v>39</v>
      </c>
      <c r="D32" s="20" t="s">
        <v>13</v>
      </c>
      <c r="E32" s="12">
        <v>43043664</v>
      </c>
      <c r="F32" s="13">
        <v>22387</v>
      </c>
      <c r="G32">
        <v>2</v>
      </c>
      <c r="H32" s="114"/>
      <c r="I32" s="26" t="s">
        <v>39</v>
      </c>
      <c r="J32" s="20" t="s">
        <v>13</v>
      </c>
      <c r="K32" s="12">
        <v>43043664</v>
      </c>
      <c r="L32" s="13">
        <v>22387</v>
      </c>
      <c r="N32" s="114"/>
      <c r="O32" s="26" t="s">
        <v>39</v>
      </c>
      <c r="P32" s="20" t="s">
        <v>13</v>
      </c>
      <c r="Q32" s="12">
        <v>43043664</v>
      </c>
      <c r="R32" s="13">
        <v>22387</v>
      </c>
    </row>
    <row r="33" spans="1:18" x14ac:dyDescent="0.25">
      <c r="A33">
        <v>31</v>
      </c>
      <c r="B33" s="118">
        <v>310</v>
      </c>
      <c r="C33" s="32" t="s">
        <v>23</v>
      </c>
      <c r="D33" s="20" t="s">
        <v>22</v>
      </c>
      <c r="E33" s="12">
        <v>1068929104</v>
      </c>
      <c r="F33" s="13" t="s">
        <v>44</v>
      </c>
      <c r="H33" s="114">
        <v>310</v>
      </c>
      <c r="I33" s="32" t="s">
        <v>23</v>
      </c>
      <c r="J33" s="20" t="s">
        <v>22</v>
      </c>
      <c r="K33" s="12">
        <v>1068929104</v>
      </c>
      <c r="L33" s="13" t="s">
        <v>44</v>
      </c>
      <c r="N33" s="114">
        <v>310</v>
      </c>
      <c r="O33" s="32" t="s">
        <v>23</v>
      </c>
      <c r="P33" s="20" t="s">
        <v>22</v>
      </c>
      <c r="Q33" s="12">
        <v>1068929104</v>
      </c>
      <c r="R33" s="13" t="s">
        <v>44</v>
      </c>
    </row>
    <row r="34" spans="1:18" x14ac:dyDescent="0.25">
      <c r="A34">
        <v>32</v>
      </c>
      <c r="B34" s="118"/>
      <c r="C34" s="33" t="s">
        <v>24</v>
      </c>
      <c r="D34" s="20" t="s">
        <v>13</v>
      </c>
      <c r="E34" s="12">
        <v>1068928684</v>
      </c>
      <c r="F34" s="11" t="s">
        <v>25</v>
      </c>
      <c r="H34" s="114"/>
      <c r="I34" s="33" t="s">
        <v>24</v>
      </c>
      <c r="J34" s="20" t="s">
        <v>13</v>
      </c>
      <c r="K34" s="12">
        <v>1068928684</v>
      </c>
      <c r="L34" s="11" t="s">
        <v>25</v>
      </c>
      <c r="N34" s="114"/>
      <c r="O34" s="33" t="s">
        <v>24</v>
      </c>
      <c r="P34" s="20" t="s">
        <v>13</v>
      </c>
      <c r="Q34" s="12">
        <v>1068928684</v>
      </c>
      <c r="R34" s="11" t="s">
        <v>25</v>
      </c>
    </row>
    <row r="35" spans="1:18" ht="15.75" thickBot="1" x14ac:dyDescent="0.3">
      <c r="A35">
        <v>33</v>
      </c>
      <c r="B35" s="118"/>
      <c r="C35" s="35" t="s">
        <v>26</v>
      </c>
      <c r="D35" s="20" t="s">
        <v>13</v>
      </c>
      <c r="E35" s="12">
        <v>1016073783</v>
      </c>
      <c r="F35" s="13">
        <v>34745</v>
      </c>
      <c r="H35" s="114"/>
      <c r="I35" s="35" t="s">
        <v>26</v>
      </c>
      <c r="J35" s="20" t="s">
        <v>13</v>
      </c>
      <c r="K35" s="12">
        <v>1016073783</v>
      </c>
      <c r="L35" s="13">
        <v>34745</v>
      </c>
      <c r="N35" s="114"/>
      <c r="O35" s="35" t="s">
        <v>26</v>
      </c>
      <c r="P35" s="20" t="s">
        <v>13</v>
      </c>
      <c r="Q35" s="12">
        <v>1016073783</v>
      </c>
      <c r="R35" s="13">
        <v>34745</v>
      </c>
    </row>
    <row r="36" spans="1:18" ht="15.75" thickBot="1" x14ac:dyDescent="0.3">
      <c r="A36">
        <v>34</v>
      </c>
      <c r="B36" s="118" t="s">
        <v>115</v>
      </c>
      <c r="C36" s="32" t="s">
        <v>30</v>
      </c>
      <c r="D36" s="20" t="s">
        <v>13</v>
      </c>
      <c r="E36" s="11">
        <v>79538678</v>
      </c>
      <c r="F36" s="13">
        <v>25737</v>
      </c>
      <c r="H36" s="114">
        <v>315</v>
      </c>
      <c r="I36" s="32" t="s">
        <v>30</v>
      </c>
      <c r="J36" s="20" t="s">
        <v>13</v>
      </c>
      <c r="K36" s="11">
        <v>79538678</v>
      </c>
      <c r="L36" s="13">
        <v>25737</v>
      </c>
      <c r="M36">
        <v>309</v>
      </c>
      <c r="N36" s="114" t="s">
        <v>115</v>
      </c>
      <c r="O36" s="32" t="s">
        <v>30</v>
      </c>
      <c r="P36" s="20" t="s">
        <v>13</v>
      </c>
      <c r="Q36" s="11">
        <v>79538678</v>
      </c>
      <c r="R36" s="13">
        <v>25737</v>
      </c>
    </row>
    <row r="37" spans="1:18" ht="15.75" thickBot="1" x14ac:dyDescent="0.3">
      <c r="A37">
        <v>35</v>
      </c>
      <c r="B37" s="118"/>
      <c r="C37" s="57" t="s">
        <v>119</v>
      </c>
      <c r="D37" s="20" t="s">
        <v>13</v>
      </c>
      <c r="E37" s="12">
        <v>3209301</v>
      </c>
      <c r="F37" s="13">
        <v>22682</v>
      </c>
      <c r="H37" s="114"/>
      <c r="I37" s="57" t="s">
        <v>119</v>
      </c>
      <c r="J37" s="20" t="s">
        <v>13</v>
      </c>
      <c r="K37" s="12">
        <v>3209301</v>
      </c>
      <c r="L37" s="13">
        <v>22682</v>
      </c>
      <c r="N37" s="114"/>
      <c r="O37" s="57" t="s">
        <v>119</v>
      </c>
      <c r="P37" s="20" t="s">
        <v>13</v>
      </c>
      <c r="Q37" s="12">
        <v>3209301</v>
      </c>
      <c r="R37" s="13">
        <v>22682</v>
      </c>
    </row>
    <row r="38" spans="1:18" ht="15.75" thickBot="1" x14ac:dyDescent="0.3">
      <c r="A38">
        <v>36</v>
      </c>
      <c r="B38" s="118"/>
      <c r="C38" s="52" t="s">
        <v>109</v>
      </c>
      <c r="D38" s="20" t="s">
        <v>13</v>
      </c>
      <c r="E38" s="12">
        <v>11451789</v>
      </c>
      <c r="F38" s="48">
        <v>30479</v>
      </c>
      <c r="H38" s="114"/>
      <c r="I38" s="52" t="s">
        <v>109</v>
      </c>
      <c r="J38" s="20" t="s">
        <v>13</v>
      </c>
      <c r="K38" s="12">
        <v>11451789</v>
      </c>
      <c r="L38" s="48">
        <v>30479</v>
      </c>
      <c r="N38" s="114"/>
      <c r="O38" s="52" t="s">
        <v>109</v>
      </c>
      <c r="P38" s="20" t="s">
        <v>13</v>
      </c>
      <c r="Q38" s="12">
        <v>11451789</v>
      </c>
      <c r="R38" s="48">
        <v>30479</v>
      </c>
    </row>
    <row r="39" spans="1:18" x14ac:dyDescent="0.25">
      <c r="A39">
        <v>37</v>
      </c>
      <c r="B39" s="118" t="s">
        <v>89</v>
      </c>
      <c r="C39" s="32" t="s">
        <v>31</v>
      </c>
      <c r="D39" s="36" t="s">
        <v>13</v>
      </c>
      <c r="E39" s="11">
        <v>79656808</v>
      </c>
      <c r="F39" s="48">
        <v>27034</v>
      </c>
      <c r="H39" s="114">
        <v>403</v>
      </c>
      <c r="I39" s="32" t="s">
        <v>31</v>
      </c>
      <c r="J39" s="36" t="s">
        <v>13</v>
      </c>
      <c r="K39" s="11">
        <v>79656808</v>
      </c>
      <c r="L39" s="48">
        <v>27034</v>
      </c>
      <c r="N39" s="114" t="s">
        <v>89</v>
      </c>
      <c r="O39" s="32" t="s">
        <v>31</v>
      </c>
      <c r="P39" s="36" t="s">
        <v>13</v>
      </c>
      <c r="Q39" s="11">
        <v>79656808</v>
      </c>
      <c r="R39" s="48">
        <v>27034</v>
      </c>
    </row>
    <row r="40" spans="1:18" x14ac:dyDescent="0.25">
      <c r="A40">
        <v>38</v>
      </c>
      <c r="B40" s="118"/>
      <c r="C40" s="33" t="s">
        <v>32</v>
      </c>
      <c r="D40" s="20" t="s">
        <v>13</v>
      </c>
      <c r="E40" s="10">
        <v>1075628177</v>
      </c>
      <c r="F40" s="48">
        <v>34519</v>
      </c>
      <c r="H40" s="114"/>
      <c r="I40" s="33" t="s">
        <v>32</v>
      </c>
      <c r="J40" s="20" t="s">
        <v>13</v>
      </c>
      <c r="K40" s="10">
        <v>1075628177</v>
      </c>
      <c r="L40" s="48">
        <v>34519</v>
      </c>
      <c r="N40" s="114"/>
      <c r="O40" s="33" t="s">
        <v>32</v>
      </c>
      <c r="P40" s="20" t="s">
        <v>13</v>
      </c>
      <c r="Q40" s="10">
        <v>1075628177</v>
      </c>
      <c r="R40" s="48">
        <v>34519</v>
      </c>
    </row>
    <row r="41" spans="1:18" ht="15.75" thickBot="1" x14ac:dyDescent="0.3">
      <c r="A41">
        <v>39</v>
      </c>
      <c r="B41" s="118"/>
      <c r="C41" s="34" t="s">
        <v>52</v>
      </c>
      <c r="D41" s="20" t="s">
        <v>22</v>
      </c>
      <c r="E41" s="10">
        <v>1014877742</v>
      </c>
      <c r="F41" s="48">
        <v>40522</v>
      </c>
      <c r="H41" s="114"/>
      <c r="I41" s="34" t="s">
        <v>52</v>
      </c>
      <c r="J41" s="20" t="s">
        <v>22</v>
      </c>
      <c r="K41" s="10">
        <v>1014877742</v>
      </c>
      <c r="L41" s="48">
        <v>40522</v>
      </c>
      <c r="N41" s="114"/>
      <c r="O41" s="34" t="s">
        <v>52</v>
      </c>
      <c r="P41" s="20" t="s">
        <v>22</v>
      </c>
      <c r="Q41" s="10">
        <v>1014877742</v>
      </c>
      <c r="R41" s="48">
        <v>40522</v>
      </c>
    </row>
    <row r="42" spans="1:18" x14ac:dyDescent="0.25">
      <c r="A42">
        <v>40</v>
      </c>
      <c r="B42" s="118" t="s">
        <v>90</v>
      </c>
      <c r="C42" s="32" t="s">
        <v>36</v>
      </c>
      <c r="D42" s="20" t="s">
        <v>13</v>
      </c>
      <c r="E42" s="12">
        <v>39630377</v>
      </c>
      <c r="F42" s="13">
        <v>21965</v>
      </c>
      <c r="H42" s="118">
        <v>103</v>
      </c>
      <c r="I42" s="24" t="s">
        <v>16</v>
      </c>
      <c r="J42" s="20" t="s">
        <v>13</v>
      </c>
      <c r="K42" s="11">
        <v>20617583</v>
      </c>
      <c r="L42" s="13">
        <v>19455</v>
      </c>
      <c r="N42" s="118" t="s">
        <v>90</v>
      </c>
      <c r="O42" s="32" t="s">
        <v>36</v>
      </c>
      <c r="P42" s="20" t="s">
        <v>13</v>
      </c>
      <c r="Q42" s="12">
        <v>39630377</v>
      </c>
      <c r="R42" s="13">
        <v>21965</v>
      </c>
    </row>
    <row r="43" spans="1:18" ht="15.75" thickBot="1" x14ac:dyDescent="0.3">
      <c r="A43">
        <v>41</v>
      </c>
      <c r="B43" s="118"/>
      <c r="C43" s="33" t="s">
        <v>37</v>
      </c>
      <c r="D43" s="20" t="s">
        <v>22</v>
      </c>
      <c r="E43" s="12">
        <v>1195463011</v>
      </c>
      <c r="F43" s="13">
        <v>40026</v>
      </c>
      <c r="G43">
        <v>208</v>
      </c>
      <c r="H43" s="118"/>
      <c r="I43" t="s">
        <v>121</v>
      </c>
      <c r="J43" s="1" t="s">
        <v>122</v>
      </c>
      <c r="K43">
        <v>1012388978</v>
      </c>
      <c r="L43" s="56">
        <v>40308</v>
      </c>
      <c r="N43" s="118"/>
      <c r="O43" s="33" t="s">
        <v>37</v>
      </c>
      <c r="P43" s="20" t="s">
        <v>22</v>
      </c>
      <c r="Q43" s="12">
        <v>1195463011</v>
      </c>
      <c r="R43" s="13">
        <v>40026</v>
      </c>
    </row>
    <row r="44" spans="1:18" ht="15.75" thickBot="1" x14ac:dyDescent="0.3">
      <c r="A44">
        <v>42</v>
      </c>
      <c r="B44" s="118"/>
      <c r="C44" s="53" t="s">
        <v>64</v>
      </c>
      <c r="D44" s="11" t="s">
        <v>13</v>
      </c>
      <c r="E44" s="11">
        <v>20871345</v>
      </c>
      <c r="F44" s="13">
        <v>23623</v>
      </c>
      <c r="H44" s="118"/>
      <c r="I44" s="34" t="s">
        <v>64</v>
      </c>
      <c r="J44" s="20" t="s">
        <v>13</v>
      </c>
      <c r="K44" s="11">
        <v>20871345</v>
      </c>
      <c r="L44" s="13">
        <v>23623</v>
      </c>
      <c r="N44" s="118"/>
      <c r="O44" s="34" t="s">
        <v>64</v>
      </c>
      <c r="P44" s="20" t="s">
        <v>13</v>
      </c>
      <c r="Q44" s="11">
        <v>20871345</v>
      </c>
      <c r="R44" s="13">
        <v>23623</v>
      </c>
    </row>
    <row r="45" spans="1:18" x14ac:dyDescent="0.25">
      <c r="A45">
        <v>43</v>
      </c>
      <c r="B45" s="118" t="s">
        <v>91</v>
      </c>
      <c r="C45" s="32" t="s">
        <v>57</v>
      </c>
      <c r="D45" s="20" t="s">
        <v>13</v>
      </c>
      <c r="E45" s="12">
        <v>20871385</v>
      </c>
      <c r="F45" s="13">
        <v>23091</v>
      </c>
      <c r="H45" s="114">
        <v>108</v>
      </c>
      <c r="I45" s="32" t="s">
        <v>57</v>
      </c>
      <c r="J45" s="20" t="s">
        <v>13</v>
      </c>
      <c r="K45" s="12">
        <v>20871385</v>
      </c>
      <c r="L45" s="13">
        <v>23091</v>
      </c>
      <c r="N45" s="114" t="s">
        <v>91</v>
      </c>
      <c r="O45" s="32" t="s">
        <v>57</v>
      </c>
      <c r="P45" s="20" t="s">
        <v>13</v>
      </c>
      <c r="Q45" s="12">
        <v>20871385</v>
      </c>
      <c r="R45" s="13">
        <v>23091</v>
      </c>
    </row>
    <row r="46" spans="1:18" x14ac:dyDescent="0.25">
      <c r="A46">
        <v>44</v>
      </c>
      <c r="B46" s="118"/>
      <c r="C46" s="33" t="s">
        <v>59</v>
      </c>
      <c r="D46" s="37" t="s">
        <v>22</v>
      </c>
      <c r="E46" s="30">
        <v>1028491249</v>
      </c>
      <c r="F46" s="19">
        <v>40070</v>
      </c>
      <c r="H46" s="114"/>
      <c r="I46" s="33" t="s">
        <v>59</v>
      </c>
      <c r="J46" s="37" t="s">
        <v>22</v>
      </c>
      <c r="K46" s="30">
        <v>1028491249</v>
      </c>
      <c r="L46" s="19">
        <v>40070</v>
      </c>
      <c r="N46" s="114"/>
      <c r="O46" s="33" t="s">
        <v>59</v>
      </c>
      <c r="P46" s="37" t="s">
        <v>22</v>
      </c>
      <c r="Q46" s="30">
        <v>1028491249</v>
      </c>
      <c r="R46" s="19">
        <v>40070</v>
      </c>
    </row>
    <row r="47" spans="1:18" ht="15.75" thickBot="1" x14ac:dyDescent="0.3">
      <c r="A47">
        <v>45</v>
      </c>
      <c r="B47" s="118"/>
      <c r="C47" s="38" t="s">
        <v>111</v>
      </c>
      <c r="D47" s="20" t="s">
        <v>13</v>
      </c>
      <c r="E47" s="12">
        <v>20872375</v>
      </c>
      <c r="F47" s="13">
        <v>31318</v>
      </c>
      <c r="H47" s="114"/>
      <c r="I47" s="60" t="s">
        <v>111</v>
      </c>
      <c r="J47" s="37" t="s">
        <v>13</v>
      </c>
      <c r="K47" s="30">
        <v>20872375</v>
      </c>
      <c r="L47" s="13">
        <v>31318</v>
      </c>
      <c r="N47" s="114"/>
      <c r="O47" s="60" t="s">
        <v>111</v>
      </c>
      <c r="P47" s="37" t="s">
        <v>13</v>
      </c>
      <c r="Q47" s="30">
        <v>20872375</v>
      </c>
      <c r="R47" s="13">
        <v>31318</v>
      </c>
    </row>
    <row r="48" spans="1:18" x14ac:dyDescent="0.25">
      <c r="A48">
        <v>46</v>
      </c>
      <c r="B48" s="118" t="s">
        <v>92</v>
      </c>
      <c r="C48" s="58" t="s">
        <v>117</v>
      </c>
      <c r="D48" s="5" t="s">
        <v>13</v>
      </c>
      <c r="E48" s="5">
        <v>52932505</v>
      </c>
      <c r="F48" s="59">
        <v>29929</v>
      </c>
      <c r="H48" s="114">
        <v>404</v>
      </c>
      <c r="I48" s="32" t="s">
        <v>117</v>
      </c>
      <c r="J48" s="20" t="s">
        <v>13</v>
      </c>
      <c r="K48" s="11">
        <v>52932505</v>
      </c>
      <c r="L48" s="13">
        <v>29929</v>
      </c>
      <c r="N48" s="114" t="s">
        <v>92</v>
      </c>
      <c r="O48" s="32" t="s">
        <v>117</v>
      </c>
      <c r="P48" s="20" t="s">
        <v>13</v>
      </c>
      <c r="Q48" s="11">
        <v>52932505</v>
      </c>
      <c r="R48" s="13">
        <v>29929</v>
      </c>
    </row>
    <row r="49" spans="1:18" x14ac:dyDescent="0.25">
      <c r="A49">
        <v>47</v>
      </c>
      <c r="B49" s="118"/>
      <c r="C49" s="33" t="s">
        <v>72</v>
      </c>
      <c r="D49" s="36" t="s">
        <v>62</v>
      </c>
      <c r="E49" s="29">
        <v>1233507914</v>
      </c>
      <c r="F49" s="31">
        <v>42920</v>
      </c>
      <c r="H49" s="114"/>
      <c r="I49" s="61" t="s">
        <v>72</v>
      </c>
      <c r="J49" s="36" t="s">
        <v>62</v>
      </c>
      <c r="K49" s="29">
        <v>1233507914</v>
      </c>
      <c r="L49" s="31">
        <v>42920</v>
      </c>
      <c r="N49" s="114"/>
      <c r="O49" s="61" t="s">
        <v>72</v>
      </c>
      <c r="P49" s="36" t="s">
        <v>62</v>
      </c>
      <c r="Q49" s="29">
        <v>1233507914</v>
      </c>
      <c r="R49" s="31">
        <v>42920</v>
      </c>
    </row>
    <row r="50" spans="1:18" ht="15.75" thickBot="1" x14ac:dyDescent="0.3">
      <c r="A50">
        <v>48</v>
      </c>
      <c r="B50" s="118"/>
      <c r="C50" s="34" t="s">
        <v>73</v>
      </c>
      <c r="D50" s="20" t="s">
        <v>13</v>
      </c>
      <c r="E50" s="11">
        <v>20357680</v>
      </c>
      <c r="F50" s="13">
        <v>23562</v>
      </c>
      <c r="H50" s="114"/>
      <c r="I50" s="34" t="s">
        <v>73</v>
      </c>
      <c r="J50" s="20" t="s">
        <v>13</v>
      </c>
      <c r="K50" s="11">
        <v>20357680</v>
      </c>
      <c r="L50" s="13">
        <v>23562</v>
      </c>
      <c r="N50" s="114"/>
      <c r="O50" s="34" t="s">
        <v>73</v>
      </c>
      <c r="P50" s="20" t="s">
        <v>13</v>
      </c>
      <c r="Q50" s="11">
        <v>20357680</v>
      </c>
      <c r="R50" s="13">
        <v>23562</v>
      </c>
    </row>
    <row r="51" spans="1:18" s="27" customFormat="1" ht="15.75" thickBot="1" x14ac:dyDescent="0.3">
      <c r="A51">
        <v>49</v>
      </c>
      <c r="B51" s="39" t="s">
        <v>88</v>
      </c>
      <c r="H51" s="114">
        <v>109</v>
      </c>
      <c r="I51" s="41" t="s">
        <v>104</v>
      </c>
      <c r="J51" s="20" t="s">
        <v>13</v>
      </c>
      <c r="K51" s="62">
        <v>41755159</v>
      </c>
      <c r="L51" s="13">
        <v>20797</v>
      </c>
      <c r="N51" s="114">
        <v>109</v>
      </c>
      <c r="O51" s="41" t="s">
        <v>104</v>
      </c>
      <c r="P51" s="20" t="s">
        <v>13</v>
      </c>
      <c r="Q51" s="62">
        <v>41755159</v>
      </c>
      <c r="R51" s="13">
        <v>20797</v>
      </c>
    </row>
    <row r="52" spans="1:18" ht="15.75" thickBot="1" x14ac:dyDescent="0.3">
      <c r="A52">
        <v>50</v>
      </c>
      <c r="B52" s="118">
        <v>109</v>
      </c>
      <c r="C52" s="41" t="s">
        <v>104</v>
      </c>
      <c r="D52" s="20" t="s">
        <v>13</v>
      </c>
      <c r="E52" s="12">
        <v>41755159</v>
      </c>
      <c r="F52" s="13">
        <v>20797</v>
      </c>
      <c r="H52" s="114"/>
      <c r="I52" s="42" t="s">
        <v>106</v>
      </c>
      <c r="J52" s="20" t="s">
        <v>13</v>
      </c>
      <c r="K52" s="9">
        <v>28239599</v>
      </c>
      <c r="L52" s="63">
        <v>21410</v>
      </c>
      <c r="N52" s="114"/>
      <c r="O52" s="42" t="s">
        <v>106</v>
      </c>
      <c r="P52" s="20" t="s">
        <v>13</v>
      </c>
      <c r="Q52" s="9">
        <v>28239599</v>
      </c>
      <c r="R52" s="63">
        <v>21410</v>
      </c>
    </row>
    <row r="53" spans="1:18" ht="15.75" thickBot="1" x14ac:dyDescent="0.3">
      <c r="A53">
        <v>51</v>
      </c>
      <c r="B53" s="118"/>
      <c r="C53" s="42" t="s">
        <v>106</v>
      </c>
      <c r="D53" s="20" t="s">
        <v>13</v>
      </c>
      <c r="E53" s="9">
        <v>28239599</v>
      </c>
      <c r="F53" s="51">
        <v>21410</v>
      </c>
      <c r="H53" s="114">
        <v>314</v>
      </c>
      <c r="I53" s="43" t="s">
        <v>97</v>
      </c>
      <c r="J53" s="20" t="s">
        <v>13</v>
      </c>
      <c r="K53" s="12">
        <v>20357264</v>
      </c>
      <c r="L53" s="31">
        <v>19042</v>
      </c>
      <c r="N53" s="114">
        <v>314</v>
      </c>
      <c r="O53" s="43" t="s">
        <v>97</v>
      </c>
      <c r="P53" s="20" t="s">
        <v>13</v>
      </c>
      <c r="Q53" s="12">
        <v>20357264</v>
      </c>
      <c r="R53" s="31">
        <v>19042</v>
      </c>
    </row>
    <row r="54" spans="1:18" x14ac:dyDescent="0.25">
      <c r="A54">
        <v>52</v>
      </c>
      <c r="B54" s="118">
        <v>314</v>
      </c>
      <c r="C54" s="43" t="s">
        <v>97</v>
      </c>
      <c r="D54" s="20" t="s">
        <v>13</v>
      </c>
      <c r="E54" s="12">
        <v>20357264</v>
      </c>
      <c r="F54" s="13">
        <v>19042</v>
      </c>
      <c r="H54" s="114"/>
      <c r="I54" s="44" t="s">
        <v>126</v>
      </c>
      <c r="J54" s="20" t="s">
        <v>13</v>
      </c>
      <c r="K54" s="12">
        <v>178668</v>
      </c>
      <c r="L54" s="13">
        <v>19257</v>
      </c>
      <c r="N54" s="114"/>
      <c r="O54" s="44" t="s">
        <v>98</v>
      </c>
      <c r="P54" s="20" t="s">
        <v>13</v>
      </c>
      <c r="Q54" s="12">
        <v>178668</v>
      </c>
      <c r="R54" s="13">
        <v>19257</v>
      </c>
    </row>
    <row r="55" spans="1:18" x14ac:dyDescent="0.25">
      <c r="A55">
        <v>53</v>
      </c>
      <c r="B55" s="118"/>
      <c r="C55" s="44" t="s">
        <v>98</v>
      </c>
      <c r="D55" s="20" t="s">
        <v>13</v>
      </c>
      <c r="E55" s="12">
        <v>178668</v>
      </c>
      <c r="F55" s="13">
        <v>19257</v>
      </c>
      <c r="H55" s="114"/>
      <c r="I55" s="44" t="s">
        <v>99</v>
      </c>
      <c r="J55" s="20" t="s">
        <v>13</v>
      </c>
      <c r="K55" s="12">
        <v>72960190</v>
      </c>
      <c r="L55" s="13">
        <v>31689</v>
      </c>
      <c r="N55" s="114"/>
      <c r="O55" s="44" t="s">
        <v>99</v>
      </c>
      <c r="P55" s="20" t="s">
        <v>13</v>
      </c>
      <c r="Q55" s="12">
        <v>72960190</v>
      </c>
      <c r="R55" s="13">
        <v>31689</v>
      </c>
    </row>
    <row r="56" spans="1:18" ht="15.75" thickBot="1" x14ac:dyDescent="0.3">
      <c r="A56">
        <v>54</v>
      </c>
      <c r="B56" s="118"/>
      <c r="C56" s="44" t="s">
        <v>99</v>
      </c>
      <c r="D56" s="20" t="s">
        <v>13</v>
      </c>
      <c r="E56" s="12">
        <v>72960190</v>
      </c>
      <c r="F56" s="13">
        <v>31689</v>
      </c>
      <c r="H56" s="114"/>
      <c r="I56" s="45" t="s">
        <v>100</v>
      </c>
      <c r="J56" s="20" t="s">
        <v>13</v>
      </c>
      <c r="K56" s="12">
        <v>20357982</v>
      </c>
      <c r="L56" s="13">
        <v>25807</v>
      </c>
      <c r="N56" s="114"/>
      <c r="O56" s="45" t="s">
        <v>100</v>
      </c>
      <c r="P56" s="20" t="s">
        <v>13</v>
      </c>
      <c r="Q56" s="12">
        <v>20357982</v>
      </c>
      <c r="R56" s="13">
        <v>25807</v>
      </c>
    </row>
    <row r="57" spans="1:18" ht="15.75" thickBot="1" x14ac:dyDescent="0.3">
      <c r="A57">
        <v>55</v>
      </c>
      <c r="B57" s="118"/>
      <c r="C57" s="45" t="s">
        <v>100</v>
      </c>
      <c r="D57" s="20" t="s">
        <v>13</v>
      </c>
      <c r="E57" s="12">
        <v>20357982</v>
      </c>
      <c r="F57" s="13">
        <v>25807</v>
      </c>
      <c r="H57" s="115">
        <v>313</v>
      </c>
      <c r="I57" s="46" t="s">
        <v>93</v>
      </c>
      <c r="J57" s="20" t="s">
        <v>13</v>
      </c>
      <c r="K57" s="11">
        <v>41549329</v>
      </c>
      <c r="L57" s="13">
        <v>18973</v>
      </c>
      <c r="N57" s="115">
        <v>313</v>
      </c>
      <c r="O57" s="46" t="s">
        <v>93</v>
      </c>
      <c r="P57" s="20" t="s">
        <v>13</v>
      </c>
      <c r="Q57" s="11">
        <v>41549329</v>
      </c>
      <c r="R57" s="13">
        <v>18973</v>
      </c>
    </row>
    <row r="58" spans="1:18" x14ac:dyDescent="0.25">
      <c r="A58">
        <v>56</v>
      </c>
      <c r="B58" s="128">
        <v>313</v>
      </c>
      <c r="C58" s="46" t="s">
        <v>93</v>
      </c>
      <c r="D58" s="20" t="s">
        <v>13</v>
      </c>
      <c r="E58" s="11">
        <v>41549329</v>
      </c>
      <c r="F58" s="13">
        <v>18973</v>
      </c>
      <c r="H58" s="116"/>
      <c r="I58" s="33" t="s">
        <v>94</v>
      </c>
      <c r="J58" s="20" t="s">
        <v>13</v>
      </c>
      <c r="K58" s="11">
        <v>4387541</v>
      </c>
      <c r="L58" s="13">
        <v>15430</v>
      </c>
      <c r="N58" s="116"/>
      <c r="O58" s="33" t="s">
        <v>94</v>
      </c>
      <c r="P58" s="20" t="s">
        <v>13</v>
      </c>
      <c r="Q58" s="11">
        <v>4387541</v>
      </c>
      <c r="R58" s="13">
        <v>15430</v>
      </c>
    </row>
    <row r="59" spans="1:18" ht="15.75" thickBot="1" x14ac:dyDescent="0.3">
      <c r="A59">
        <v>57</v>
      </c>
      <c r="B59" s="129"/>
      <c r="C59" s="33" t="s">
        <v>94</v>
      </c>
      <c r="D59" s="20" t="s">
        <v>13</v>
      </c>
      <c r="E59" s="11">
        <v>4387541</v>
      </c>
      <c r="F59" s="13">
        <v>15430</v>
      </c>
      <c r="H59" s="117"/>
      <c r="I59" s="47" t="s">
        <v>95</v>
      </c>
      <c r="J59" s="37" t="s">
        <v>13</v>
      </c>
      <c r="K59" s="18">
        <v>20611012</v>
      </c>
      <c r="L59" s="19">
        <v>17510</v>
      </c>
      <c r="N59" s="117"/>
      <c r="O59" s="47" t="s">
        <v>95</v>
      </c>
      <c r="P59" s="37" t="s">
        <v>13</v>
      </c>
      <c r="Q59" s="18">
        <v>20611012</v>
      </c>
      <c r="R59" s="19">
        <v>17510</v>
      </c>
    </row>
    <row r="60" spans="1:18" ht="15.75" thickBot="1" x14ac:dyDescent="0.3">
      <c r="A60">
        <v>58</v>
      </c>
      <c r="B60" s="130"/>
      <c r="C60" s="47" t="s">
        <v>95</v>
      </c>
      <c r="D60" s="37" t="s">
        <v>13</v>
      </c>
      <c r="E60" s="18">
        <v>20611012</v>
      </c>
      <c r="F60" s="19">
        <v>17510</v>
      </c>
      <c r="H60" s="118">
        <v>210</v>
      </c>
      <c r="I60" s="46" t="s">
        <v>102</v>
      </c>
      <c r="J60" s="20" t="s">
        <v>13</v>
      </c>
      <c r="K60" s="12">
        <v>52581115</v>
      </c>
      <c r="L60" s="13">
        <v>24553</v>
      </c>
      <c r="N60" s="114" t="s">
        <v>114</v>
      </c>
      <c r="O60" s="46" t="s">
        <v>102</v>
      </c>
      <c r="P60" s="20" t="s">
        <v>13</v>
      </c>
      <c r="Q60" s="12">
        <v>52581115</v>
      </c>
      <c r="R60" s="13">
        <v>24553</v>
      </c>
    </row>
    <row r="61" spans="1:18" x14ac:dyDescent="0.25">
      <c r="A61">
        <v>59</v>
      </c>
      <c r="B61" s="127" t="s">
        <v>114</v>
      </c>
      <c r="C61" s="46" t="s">
        <v>102</v>
      </c>
      <c r="D61" s="20" t="s">
        <v>13</v>
      </c>
      <c r="E61" s="12">
        <v>52581115</v>
      </c>
      <c r="F61" s="13">
        <v>24553</v>
      </c>
      <c r="G61">
        <v>207</v>
      </c>
      <c r="H61" s="118"/>
      <c r="I61" s="33" t="s">
        <v>103</v>
      </c>
      <c r="J61" s="20" t="s">
        <v>13</v>
      </c>
      <c r="K61" s="12">
        <v>20871256</v>
      </c>
      <c r="L61" s="13">
        <v>22954</v>
      </c>
      <c r="N61" s="114"/>
      <c r="O61" s="33" t="s">
        <v>103</v>
      </c>
      <c r="P61" s="20" t="s">
        <v>13</v>
      </c>
      <c r="Q61" s="12">
        <v>20871256</v>
      </c>
      <c r="R61" s="13">
        <v>22954</v>
      </c>
    </row>
    <row r="62" spans="1:18" ht="15.75" thickBot="1" x14ac:dyDescent="0.3">
      <c r="A62">
        <v>60</v>
      </c>
      <c r="B62" s="127"/>
      <c r="C62" s="33" t="s">
        <v>103</v>
      </c>
      <c r="D62" s="20" t="s">
        <v>13</v>
      </c>
      <c r="E62" s="12">
        <v>20871256</v>
      </c>
      <c r="F62" s="13">
        <v>22954</v>
      </c>
      <c r="H62" s="118"/>
      <c r="I62" s="47" t="s">
        <v>116</v>
      </c>
      <c r="J62" s="20" t="s">
        <v>22</v>
      </c>
      <c r="K62" s="12">
        <v>1141129750</v>
      </c>
      <c r="L62" s="13">
        <v>41604</v>
      </c>
      <c r="N62" s="114"/>
      <c r="O62" s="47" t="s">
        <v>116</v>
      </c>
      <c r="P62" s="20" t="s">
        <v>22</v>
      </c>
      <c r="Q62" s="12">
        <v>1141129750</v>
      </c>
      <c r="R62" s="13">
        <v>41604</v>
      </c>
    </row>
    <row r="63" spans="1:18" ht="15.75" thickBot="1" x14ac:dyDescent="0.3">
      <c r="A63">
        <v>61</v>
      </c>
      <c r="B63" s="127"/>
      <c r="C63" s="47" t="s">
        <v>116</v>
      </c>
      <c r="D63" s="20" t="s">
        <v>22</v>
      </c>
      <c r="E63" s="12">
        <v>1141129750</v>
      </c>
      <c r="F63" s="13">
        <v>41604</v>
      </c>
      <c r="I63" t="s">
        <v>118</v>
      </c>
      <c r="J63" s="55" t="s">
        <v>22</v>
      </c>
      <c r="K63">
        <v>1141914915</v>
      </c>
      <c r="L63" s="56">
        <v>42105</v>
      </c>
      <c r="O63" t="s">
        <v>118</v>
      </c>
      <c r="P63" s="55" t="s">
        <v>22</v>
      </c>
      <c r="Q63">
        <v>1141914915</v>
      </c>
      <c r="R63" s="56">
        <v>42105</v>
      </c>
    </row>
    <row r="64" spans="1:18" x14ac:dyDescent="0.25">
      <c r="A64">
        <v>62</v>
      </c>
      <c r="C64" t="s">
        <v>118</v>
      </c>
      <c r="D64" s="55" t="s">
        <v>22</v>
      </c>
      <c r="E64">
        <v>1141914915</v>
      </c>
      <c r="F64" s="56">
        <v>42105</v>
      </c>
      <c r="H64" s="131">
        <v>309</v>
      </c>
      <c r="I64" s="32" t="s">
        <v>36</v>
      </c>
      <c r="J64" s="20" t="s">
        <v>13</v>
      </c>
      <c r="K64" s="12">
        <v>39630377</v>
      </c>
      <c r="L64" s="13">
        <v>21965</v>
      </c>
    </row>
    <row r="65" spans="8:12" x14ac:dyDescent="0.25">
      <c r="H65" s="131"/>
      <c r="I65" s="33" t="s">
        <v>37</v>
      </c>
      <c r="J65" s="20" t="s">
        <v>22</v>
      </c>
      <c r="K65" s="12">
        <v>1195463011</v>
      </c>
      <c r="L65" s="13">
        <v>40026</v>
      </c>
    </row>
  </sheetData>
  <mergeCells count="73">
    <mergeCell ref="N51:N52"/>
    <mergeCell ref="N53:N56"/>
    <mergeCell ref="N57:N59"/>
    <mergeCell ref="N60:N62"/>
    <mergeCell ref="N36:N38"/>
    <mergeCell ref="N39:N41"/>
    <mergeCell ref="N42:N44"/>
    <mergeCell ref="N45:N47"/>
    <mergeCell ref="N48:N50"/>
    <mergeCell ref="H64:H65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9"/>
    <mergeCell ref="N30:N32"/>
    <mergeCell ref="N33:N35"/>
    <mergeCell ref="B33:B35"/>
    <mergeCell ref="B36:B38"/>
    <mergeCell ref="B39:B41"/>
    <mergeCell ref="B42:B44"/>
    <mergeCell ref="B30:B32"/>
    <mergeCell ref="B61:B63"/>
    <mergeCell ref="B45:B47"/>
    <mergeCell ref="B48:B50"/>
    <mergeCell ref="B52:B53"/>
    <mergeCell ref="B54:B57"/>
    <mergeCell ref="B58:B60"/>
    <mergeCell ref="B15:B16"/>
    <mergeCell ref="B17:B18"/>
    <mergeCell ref="B19:B20"/>
    <mergeCell ref="B21:B22"/>
    <mergeCell ref="B27:B29"/>
    <mergeCell ref="B23:B24"/>
    <mergeCell ref="B25:B26"/>
    <mergeCell ref="B13:B14"/>
    <mergeCell ref="B3:B4"/>
    <mergeCell ref="B5:B6"/>
    <mergeCell ref="B7:B8"/>
    <mergeCell ref="B9:B10"/>
    <mergeCell ref="B11:B12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9"/>
    <mergeCell ref="H30:H32"/>
    <mergeCell ref="H33:H35"/>
    <mergeCell ref="H51:H52"/>
    <mergeCell ref="H53:H56"/>
    <mergeCell ref="H57:H59"/>
    <mergeCell ref="H60:H62"/>
    <mergeCell ref="H36:H38"/>
    <mergeCell ref="H39:H41"/>
    <mergeCell ref="H42:H44"/>
    <mergeCell ref="H45:H47"/>
    <mergeCell ref="H48:H50"/>
  </mergeCells>
  <conditionalFormatting sqref="E3:E4">
    <cfRule type="duplicateValues" dxfId="153" priority="106"/>
  </conditionalFormatting>
  <conditionalFormatting sqref="E5:E8">
    <cfRule type="duplicateValues" dxfId="152" priority="105"/>
  </conditionalFormatting>
  <conditionalFormatting sqref="E9:E10">
    <cfRule type="duplicateValues" dxfId="151" priority="80"/>
  </conditionalFormatting>
  <conditionalFormatting sqref="E11:E14">
    <cfRule type="duplicateValues" dxfId="150" priority="104"/>
  </conditionalFormatting>
  <conditionalFormatting sqref="E15:E16">
    <cfRule type="duplicateValues" dxfId="149" priority="103"/>
  </conditionalFormatting>
  <conditionalFormatting sqref="E17:E18">
    <cfRule type="duplicateValues" dxfId="148" priority="102"/>
  </conditionalFormatting>
  <conditionalFormatting sqref="E19:E20">
    <cfRule type="duplicateValues" dxfId="147" priority="101"/>
  </conditionalFormatting>
  <conditionalFormatting sqref="E21">
    <cfRule type="duplicateValues" dxfId="146" priority="100"/>
  </conditionalFormatting>
  <conditionalFormatting sqref="E22">
    <cfRule type="duplicateValues" dxfId="145" priority="85"/>
  </conditionalFormatting>
  <conditionalFormatting sqref="E24">
    <cfRule type="duplicateValues" dxfId="144" priority="79"/>
  </conditionalFormatting>
  <conditionalFormatting sqref="E25:E26">
    <cfRule type="duplicateValues" dxfId="143" priority="78"/>
  </conditionalFormatting>
  <conditionalFormatting sqref="E27:E30">
    <cfRule type="duplicateValues" dxfId="142" priority="99"/>
  </conditionalFormatting>
  <conditionalFormatting sqref="E31:E32">
    <cfRule type="duplicateValues" dxfId="141" priority="98"/>
  </conditionalFormatting>
  <conditionalFormatting sqref="E33:E35">
    <cfRule type="duplicateValues" dxfId="140" priority="95"/>
  </conditionalFormatting>
  <conditionalFormatting sqref="E36">
    <cfRule type="duplicateValues" dxfId="139" priority="76"/>
  </conditionalFormatting>
  <conditionalFormatting sqref="E37">
    <cfRule type="duplicateValues" dxfId="138" priority="71"/>
  </conditionalFormatting>
  <conditionalFormatting sqref="E37:E38">
    <cfRule type="duplicateValues" dxfId="137" priority="70"/>
  </conditionalFormatting>
  <conditionalFormatting sqref="E38">
    <cfRule type="duplicateValues" dxfId="136" priority="69"/>
  </conditionalFormatting>
  <conditionalFormatting sqref="E39:E40">
    <cfRule type="duplicateValues" dxfId="135" priority="93"/>
  </conditionalFormatting>
  <conditionalFormatting sqref="E41">
    <cfRule type="duplicateValues" dxfId="134" priority="91"/>
  </conditionalFormatting>
  <conditionalFormatting sqref="E42:E43">
    <cfRule type="duplicateValues" dxfId="133" priority="92"/>
  </conditionalFormatting>
  <conditionalFormatting sqref="E44">
    <cfRule type="duplicateValues" dxfId="132" priority="73"/>
  </conditionalFormatting>
  <conditionalFormatting sqref="E45:E46">
    <cfRule type="duplicateValues" dxfId="131" priority="90"/>
  </conditionalFormatting>
  <conditionalFormatting sqref="E47">
    <cfRule type="duplicateValues" dxfId="130" priority="77"/>
  </conditionalFormatting>
  <conditionalFormatting sqref="E48">
    <cfRule type="duplicateValues" dxfId="129" priority="68"/>
  </conditionalFormatting>
  <conditionalFormatting sqref="E49:E50">
    <cfRule type="duplicateValues" dxfId="128" priority="88"/>
  </conditionalFormatting>
  <conditionalFormatting sqref="E52">
    <cfRule type="duplicateValues" dxfId="127" priority="86"/>
  </conditionalFormatting>
  <conditionalFormatting sqref="E54:E57">
    <cfRule type="duplicateValues" dxfId="126" priority="82"/>
  </conditionalFormatting>
  <conditionalFormatting sqref="E58:E60">
    <cfRule type="duplicateValues" dxfId="125" priority="83"/>
  </conditionalFormatting>
  <conditionalFormatting sqref="E61:E63">
    <cfRule type="duplicateValues" dxfId="124" priority="75"/>
  </conditionalFormatting>
  <conditionalFormatting sqref="E65:E1048576 E54:E63 E45:E47 E52 E1:E36 E39:E43 E49:E50">
    <cfRule type="duplicateValues" dxfId="123" priority="74"/>
  </conditionalFormatting>
  <conditionalFormatting sqref="H1:H64 H66:H1048576">
    <cfRule type="duplicateValues" dxfId="122" priority="34"/>
    <cfRule type="duplicateValues" dxfId="121" priority="36"/>
  </conditionalFormatting>
  <conditionalFormatting sqref="K1:K63 K66:K1048576">
    <cfRule type="duplicateValues" dxfId="120" priority="35"/>
  </conditionalFormatting>
  <conditionalFormatting sqref="K3:K4">
    <cfRule type="duplicateValues" dxfId="119" priority="66"/>
  </conditionalFormatting>
  <conditionalFormatting sqref="K5:K8">
    <cfRule type="duplicateValues" dxfId="118" priority="65"/>
  </conditionalFormatting>
  <conditionalFormatting sqref="K9:K10">
    <cfRule type="duplicateValues" dxfId="117" priority="48"/>
  </conditionalFormatting>
  <conditionalFormatting sqref="K11:K14">
    <cfRule type="duplicateValues" dxfId="116" priority="64"/>
  </conditionalFormatting>
  <conditionalFormatting sqref="K15:K16">
    <cfRule type="duplicateValues" dxfId="115" priority="63"/>
  </conditionalFormatting>
  <conditionalFormatting sqref="K17:K18">
    <cfRule type="duplicateValues" dxfId="114" priority="62"/>
  </conditionalFormatting>
  <conditionalFormatting sqref="K19:K20">
    <cfRule type="duplicateValues" dxfId="113" priority="61"/>
  </conditionalFormatting>
  <conditionalFormatting sqref="K21">
    <cfRule type="duplicateValues" dxfId="112" priority="60"/>
  </conditionalFormatting>
  <conditionalFormatting sqref="K22">
    <cfRule type="duplicateValues" dxfId="111" priority="40"/>
    <cfRule type="duplicateValues" dxfId="110" priority="41"/>
  </conditionalFormatting>
  <conditionalFormatting sqref="K24">
    <cfRule type="duplicateValues" dxfId="109" priority="47"/>
  </conditionalFormatting>
  <conditionalFormatting sqref="K25:K26">
    <cfRule type="duplicateValues" dxfId="108" priority="46"/>
  </conditionalFormatting>
  <conditionalFormatting sqref="K28:K30 K42">
    <cfRule type="duplicateValues" dxfId="107" priority="59"/>
  </conditionalFormatting>
  <conditionalFormatting sqref="K31:K32">
    <cfRule type="duplicateValues" dxfId="106" priority="58"/>
  </conditionalFormatting>
  <conditionalFormatting sqref="K33:K35">
    <cfRule type="duplicateValues" dxfId="105" priority="57"/>
  </conditionalFormatting>
  <conditionalFormatting sqref="K36:K37">
    <cfRule type="duplicateValues" dxfId="104" priority="67"/>
  </conditionalFormatting>
  <conditionalFormatting sqref="K38">
    <cfRule type="duplicateValues" dxfId="103" priority="42"/>
  </conditionalFormatting>
  <conditionalFormatting sqref="K39:K40">
    <cfRule type="duplicateValues" dxfId="102" priority="56"/>
  </conditionalFormatting>
  <conditionalFormatting sqref="K41">
    <cfRule type="duplicateValues" dxfId="101" priority="54"/>
  </conditionalFormatting>
  <conditionalFormatting sqref="K44">
    <cfRule type="duplicateValues" dxfId="100" priority="55"/>
  </conditionalFormatting>
  <conditionalFormatting sqref="K45:K46">
    <cfRule type="duplicateValues" dxfId="99" priority="53"/>
  </conditionalFormatting>
  <conditionalFormatting sqref="K47">
    <cfRule type="duplicateValues" dxfId="98" priority="45"/>
  </conditionalFormatting>
  <conditionalFormatting sqref="K48">
    <cfRule type="duplicateValues" dxfId="97" priority="39"/>
  </conditionalFormatting>
  <conditionalFormatting sqref="K49:K50">
    <cfRule type="duplicateValues" dxfId="96" priority="52"/>
  </conditionalFormatting>
  <conditionalFormatting sqref="K51">
    <cfRule type="duplicateValues" dxfId="95" priority="51"/>
  </conditionalFormatting>
  <conditionalFormatting sqref="K53:K56">
    <cfRule type="duplicateValues" dxfId="94" priority="49"/>
  </conditionalFormatting>
  <conditionalFormatting sqref="K53:K61 K2:K21 K23:K26 K28:K42 K44:K47 K49:K51">
    <cfRule type="duplicateValues" dxfId="93" priority="43"/>
  </conditionalFormatting>
  <conditionalFormatting sqref="K57:K59">
    <cfRule type="duplicateValues" dxfId="92" priority="50"/>
  </conditionalFormatting>
  <conditionalFormatting sqref="K60:K61">
    <cfRule type="duplicateValues" dxfId="91" priority="44"/>
  </conditionalFormatting>
  <conditionalFormatting sqref="K62">
    <cfRule type="duplicateValues" dxfId="90" priority="37"/>
    <cfRule type="duplicateValues" dxfId="89" priority="38"/>
  </conditionalFormatting>
  <conditionalFormatting sqref="K64:K65">
    <cfRule type="duplicateValues" dxfId="88" priority="32"/>
    <cfRule type="duplicateValues" dxfId="87" priority="33"/>
  </conditionalFormatting>
  <conditionalFormatting sqref="Q3:Q4">
    <cfRule type="duplicateValues" dxfId="86" priority="30"/>
  </conditionalFormatting>
  <conditionalFormatting sqref="Q5:Q8">
    <cfRule type="duplicateValues" dxfId="85" priority="29"/>
  </conditionalFormatting>
  <conditionalFormatting sqref="Q9:Q10">
    <cfRule type="duplicateValues" dxfId="84" priority="12"/>
  </conditionalFormatting>
  <conditionalFormatting sqref="Q11:Q14">
    <cfRule type="duplicateValues" dxfId="83" priority="28"/>
  </conditionalFormatting>
  <conditionalFormatting sqref="Q15:Q16">
    <cfRule type="duplicateValues" dxfId="82" priority="27"/>
  </conditionalFormatting>
  <conditionalFormatting sqref="Q17:Q18">
    <cfRule type="duplicateValues" dxfId="81" priority="26"/>
  </conditionalFormatting>
  <conditionalFormatting sqref="Q19:Q20">
    <cfRule type="duplicateValues" dxfId="80" priority="25"/>
  </conditionalFormatting>
  <conditionalFormatting sqref="Q21">
    <cfRule type="duplicateValues" dxfId="79" priority="24"/>
  </conditionalFormatting>
  <conditionalFormatting sqref="Q22">
    <cfRule type="duplicateValues" dxfId="78" priority="4"/>
    <cfRule type="duplicateValues" dxfId="77" priority="5"/>
  </conditionalFormatting>
  <conditionalFormatting sqref="Q24">
    <cfRule type="duplicateValues" dxfId="76" priority="11"/>
  </conditionalFormatting>
  <conditionalFormatting sqref="Q25:Q26">
    <cfRule type="duplicateValues" dxfId="75" priority="10"/>
  </conditionalFormatting>
  <conditionalFormatting sqref="Q27:Q30">
    <cfRule type="duplicateValues" dxfId="74" priority="23"/>
  </conditionalFormatting>
  <conditionalFormatting sqref="Q31:Q32">
    <cfRule type="duplicateValues" dxfId="73" priority="22"/>
  </conditionalFormatting>
  <conditionalFormatting sqref="Q33:Q35">
    <cfRule type="duplicateValues" dxfId="72" priority="21"/>
  </conditionalFormatting>
  <conditionalFormatting sqref="Q36:Q37">
    <cfRule type="duplicateValues" dxfId="71" priority="31"/>
  </conditionalFormatting>
  <conditionalFormatting sqref="Q38">
    <cfRule type="duplicateValues" dxfId="70" priority="6"/>
  </conditionalFormatting>
  <conditionalFormatting sqref="Q39:Q40">
    <cfRule type="duplicateValues" dxfId="69" priority="20"/>
  </conditionalFormatting>
  <conditionalFormatting sqref="Q41">
    <cfRule type="duplicateValues" dxfId="68" priority="18"/>
  </conditionalFormatting>
  <conditionalFormatting sqref="Q42:Q44">
    <cfRule type="duplicateValues" dxfId="67" priority="19"/>
  </conditionalFormatting>
  <conditionalFormatting sqref="Q45:Q46">
    <cfRule type="duplicateValues" dxfId="66" priority="17"/>
  </conditionalFormatting>
  <conditionalFormatting sqref="Q47">
    <cfRule type="duplicateValues" dxfId="65" priority="9"/>
  </conditionalFormatting>
  <conditionalFormatting sqref="Q48">
    <cfRule type="duplicateValues" dxfId="64" priority="3"/>
  </conditionalFormatting>
  <conditionalFormatting sqref="Q49:Q50">
    <cfRule type="duplicateValues" dxfId="63" priority="16"/>
  </conditionalFormatting>
  <conditionalFormatting sqref="Q51">
    <cfRule type="duplicateValues" dxfId="62" priority="15"/>
  </conditionalFormatting>
  <conditionalFormatting sqref="Q53:Q56">
    <cfRule type="duplicateValues" dxfId="61" priority="13"/>
  </conditionalFormatting>
  <conditionalFormatting sqref="Q53:Q61 Q2:Q21 Q23:Q47 Q49:Q51">
    <cfRule type="duplicateValues" dxfId="60" priority="7"/>
  </conditionalFormatting>
  <conditionalFormatting sqref="Q57:Q59">
    <cfRule type="duplicateValues" dxfId="59" priority="14"/>
  </conditionalFormatting>
  <conditionalFormatting sqref="Q60:Q61">
    <cfRule type="duplicateValues" dxfId="58" priority="8"/>
  </conditionalFormatting>
  <conditionalFormatting sqref="Q62">
    <cfRule type="duplicateValues" dxfId="57" priority="1"/>
    <cfRule type="duplicateValues" dxfId="5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42BA-794E-4DFD-9D3B-A72CB3D117F0}">
  <dimension ref="B4:G63"/>
  <sheetViews>
    <sheetView topLeftCell="A47" workbookViewId="0">
      <selection activeCell="C4" sqref="C4:G63"/>
    </sheetView>
  </sheetViews>
  <sheetFormatPr baseColWidth="10" defaultRowHeight="15" x14ac:dyDescent="0.25"/>
  <cols>
    <col min="4" max="4" width="33.7109375" bestFit="1" customWidth="1"/>
    <col min="6" max="6" width="12.7109375" bestFit="1" customWidth="1"/>
  </cols>
  <sheetData>
    <row r="4" spans="2:7" ht="15.75" thickBot="1" x14ac:dyDescent="0.3">
      <c r="C4" s="7" t="s">
        <v>76</v>
      </c>
      <c r="D4" s="21" t="s">
        <v>3</v>
      </c>
      <c r="E4" s="6" t="s">
        <v>4</v>
      </c>
      <c r="F4" s="6" t="s">
        <v>5</v>
      </c>
      <c r="G4" s="6" t="s">
        <v>77</v>
      </c>
    </row>
    <row r="5" spans="2:7" x14ac:dyDescent="0.25">
      <c r="B5">
        <v>1</v>
      </c>
      <c r="C5" s="118">
        <v>112</v>
      </c>
      <c r="D5" s="22" t="s">
        <v>47</v>
      </c>
      <c r="E5" s="20" t="s">
        <v>13</v>
      </c>
      <c r="F5" s="12">
        <v>17192569</v>
      </c>
      <c r="G5" s="13">
        <v>18231</v>
      </c>
    </row>
    <row r="6" spans="2:7" ht="15.75" thickBot="1" x14ac:dyDescent="0.3">
      <c r="B6">
        <v>2</v>
      </c>
      <c r="C6" s="118"/>
      <c r="D6" s="23" t="s">
        <v>48</v>
      </c>
      <c r="E6" s="20" t="s">
        <v>13</v>
      </c>
      <c r="F6" s="12">
        <v>41770474</v>
      </c>
      <c r="G6" s="13">
        <v>21338</v>
      </c>
    </row>
    <row r="7" spans="2:7" x14ac:dyDescent="0.25">
      <c r="B7">
        <v>3</v>
      </c>
      <c r="C7" s="118">
        <v>102</v>
      </c>
      <c r="D7" s="22" t="s">
        <v>0</v>
      </c>
      <c r="E7" s="20" t="s">
        <v>13</v>
      </c>
      <c r="F7" s="11">
        <v>3149195</v>
      </c>
      <c r="G7" s="13">
        <v>18944</v>
      </c>
    </row>
    <row r="8" spans="2:7" ht="15.75" thickBot="1" x14ac:dyDescent="0.3">
      <c r="B8">
        <v>4</v>
      </c>
      <c r="C8" s="118"/>
      <c r="D8" s="23" t="s">
        <v>1</v>
      </c>
      <c r="E8" s="20" t="s">
        <v>13</v>
      </c>
      <c r="F8" s="11">
        <v>51661821</v>
      </c>
      <c r="G8" s="13">
        <v>22927</v>
      </c>
    </row>
    <row r="9" spans="2:7" x14ac:dyDescent="0.25">
      <c r="B9">
        <v>5</v>
      </c>
      <c r="C9" s="118">
        <v>105</v>
      </c>
      <c r="D9" s="22" t="s">
        <v>27</v>
      </c>
      <c r="E9" s="20" t="s">
        <v>13</v>
      </c>
      <c r="F9" s="11">
        <v>19239372</v>
      </c>
      <c r="G9" s="13">
        <v>19600</v>
      </c>
    </row>
    <row r="10" spans="2:7" ht="15.75" thickBot="1" x14ac:dyDescent="0.3">
      <c r="B10">
        <v>6</v>
      </c>
      <c r="C10" s="118"/>
      <c r="D10" s="49" t="s">
        <v>28</v>
      </c>
      <c r="E10" s="20" t="s">
        <v>13</v>
      </c>
      <c r="F10" s="11">
        <v>41589109</v>
      </c>
      <c r="G10" s="13">
        <v>19627</v>
      </c>
    </row>
    <row r="11" spans="2:7" x14ac:dyDescent="0.25">
      <c r="B11">
        <v>7</v>
      </c>
      <c r="C11" s="118">
        <v>209</v>
      </c>
      <c r="D11" s="22" t="s">
        <v>107</v>
      </c>
      <c r="E11" s="20" t="s">
        <v>13</v>
      </c>
      <c r="F11" s="11">
        <v>79288961</v>
      </c>
      <c r="G11" s="13">
        <v>23595</v>
      </c>
    </row>
    <row r="12" spans="2:7" ht="15.75" thickBot="1" x14ac:dyDescent="0.3">
      <c r="B12">
        <v>8</v>
      </c>
      <c r="C12" s="118"/>
      <c r="D12" s="23" t="s">
        <v>108</v>
      </c>
      <c r="E12" s="20" t="s">
        <v>13</v>
      </c>
      <c r="F12" s="12">
        <v>39737454</v>
      </c>
      <c r="G12" s="13">
        <v>23282</v>
      </c>
    </row>
    <row r="13" spans="2:7" x14ac:dyDescent="0.25">
      <c r="B13">
        <v>9</v>
      </c>
      <c r="C13" s="118">
        <v>307</v>
      </c>
      <c r="D13" s="22" t="s">
        <v>36</v>
      </c>
      <c r="E13" s="20" t="s">
        <v>13</v>
      </c>
      <c r="F13" s="12">
        <v>39630377</v>
      </c>
      <c r="G13" s="13">
        <v>21965</v>
      </c>
    </row>
    <row r="14" spans="2:7" ht="15.75" thickBot="1" x14ac:dyDescent="0.3">
      <c r="B14">
        <v>10</v>
      </c>
      <c r="C14" s="118"/>
      <c r="D14" s="113" t="s">
        <v>37</v>
      </c>
      <c r="E14" s="20" t="s">
        <v>22</v>
      </c>
      <c r="F14" s="12">
        <v>1195463011</v>
      </c>
      <c r="G14" s="13">
        <v>40026</v>
      </c>
    </row>
    <row r="15" spans="2:7" x14ac:dyDescent="0.25">
      <c r="B15">
        <v>11</v>
      </c>
      <c r="C15" s="118">
        <v>110</v>
      </c>
      <c r="D15" s="22" t="s">
        <v>53</v>
      </c>
      <c r="E15" s="20" t="s">
        <v>13</v>
      </c>
      <c r="F15" s="12">
        <v>39561291</v>
      </c>
      <c r="G15" s="13">
        <v>24141</v>
      </c>
    </row>
    <row r="16" spans="2:7" ht="15.75" thickBot="1" x14ac:dyDescent="0.3">
      <c r="B16">
        <v>12</v>
      </c>
      <c r="C16" s="118"/>
      <c r="D16" s="23" t="s">
        <v>54</v>
      </c>
      <c r="E16" s="20" t="s">
        <v>13</v>
      </c>
      <c r="F16" s="12">
        <v>3225785</v>
      </c>
      <c r="G16" s="13">
        <v>20576</v>
      </c>
    </row>
    <row r="17" spans="2:7" x14ac:dyDescent="0.25">
      <c r="B17">
        <v>13</v>
      </c>
      <c r="C17" s="118">
        <v>211</v>
      </c>
      <c r="D17" s="22" t="s">
        <v>55</v>
      </c>
      <c r="E17" s="20" t="s">
        <v>13</v>
      </c>
      <c r="F17" s="12">
        <v>11307001</v>
      </c>
      <c r="G17" s="13">
        <v>22110</v>
      </c>
    </row>
    <row r="18" spans="2:7" ht="15.75" thickBot="1" x14ac:dyDescent="0.3">
      <c r="B18">
        <v>14</v>
      </c>
      <c r="C18" s="118"/>
      <c r="D18" s="23" t="s">
        <v>56</v>
      </c>
      <c r="E18" s="20" t="s">
        <v>13</v>
      </c>
      <c r="F18" s="12">
        <v>39769758</v>
      </c>
      <c r="G18" s="13">
        <v>22608</v>
      </c>
    </row>
    <row r="19" spans="2:7" x14ac:dyDescent="0.25">
      <c r="B19">
        <v>15</v>
      </c>
      <c r="C19" s="118">
        <v>213</v>
      </c>
      <c r="D19" s="22" t="s">
        <v>45</v>
      </c>
      <c r="E19" s="20" t="s">
        <v>13</v>
      </c>
      <c r="F19" s="12">
        <v>21016369</v>
      </c>
      <c r="G19" s="13">
        <v>25130</v>
      </c>
    </row>
    <row r="20" spans="2:7" ht="15.75" thickBot="1" x14ac:dyDescent="0.3">
      <c r="B20">
        <v>16</v>
      </c>
      <c r="C20" s="118"/>
      <c r="D20" s="23" t="s">
        <v>46</v>
      </c>
      <c r="E20" s="20" t="s">
        <v>13</v>
      </c>
      <c r="F20" s="12">
        <v>19370950</v>
      </c>
      <c r="G20" s="13">
        <v>21758</v>
      </c>
    </row>
    <row r="21" spans="2:7" x14ac:dyDescent="0.25">
      <c r="B21">
        <v>17</v>
      </c>
      <c r="C21" s="118">
        <v>308</v>
      </c>
      <c r="D21" s="22" t="s">
        <v>70</v>
      </c>
      <c r="E21" s="20" t="s">
        <v>13</v>
      </c>
      <c r="F21" s="11">
        <v>1019035371</v>
      </c>
      <c r="G21" s="13">
        <v>32681</v>
      </c>
    </row>
    <row r="22" spans="2:7" ht="15.75" thickBot="1" x14ac:dyDescent="0.3">
      <c r="B22">
        <v>18</v>
      </c>
      <c r="C22" s="118"/>
      <c r="D22" s="23" t="s">
        <v>71</v>
      </c>
      <c r="E22" s="20" t="s">
        <v>22</v>
      </c>
      <c r="F22" s="11">
        <v>1073629313</v>
      </c>
      <c r="G22" s="13">
        <v>40398</v>
      </c>
    </row>
    <row r="23" spans="2:7" ht="15.75" thickBot="1" x14ac:dyDescent="0.3">
      <c r="B23">
        <v>19</v>
      </c>
      <c r="C23" s="118">
        <v>214</v>
      </c>
      <c r="D23" s="22" t="s">
        <v>67</v>
      </c>
      <c r="E23" s="20" t="s">
        <v>13</v>
      </c>
      <c r="F23" s="11">
        <v>39573071</v>
      </c>
      <c r="G23" s="13">
        <v>27959</v>
      </c>
    </row>
    <row r="24" spans="2:7" ht="15.75" thickBot="1" x14ac:dyDescent="0.3">
      <c r="B24">
        <v>20</v>
      </c>
      <c r="C24" s="118"/>
      <c r="D24" s="54" t="s">
        <v>66</v>
      </c>
      <c r="E24" s="40" t="s">
        <v>13</v>
      </c>
      <c r="F24" s="6">
        <v>21014141</v>
      </c>
      <c r="G24" s="28">
        <v>21318</v>
      </c>
    </row>
    <row r="25" spans="2:7" x14ac:dyDescent="0.25">
      <c r="B25">
        <v>21</v>
      </c>
      <c r="C25" s="123">
        <v>318</v>
      </c>
      <c r="D25" s="15" t="s">
        <v>101</v>
      </c>
      <c r="E25" s="11" t="s">
        <v>13</v>
      </c>
      <c r="F25" s="17">
        <v>79431839</v>
      </c>
      <c r="G25" s="13">
        <v>24651</v>
      </c>
    </row>
    <row r="26" spans="2:7" ht="15.75" thickBot="1" x14ac:dyDescent="0.3">
      <c r="B26">
        <v>22</v>
      </c>
      <c r="C26" s="124"/>
      <c r="D26" s="16" t="s">
        <v>75</v>
      </c>
      <c r="E26" s="11" t="s">
        <v>13</v>
      </c>
      <c r="F26" s="12">
        <v>52552743</v>
      </c>
      <c r="G26" s="13">
        <v>26359</v>
      </c>
    </row>
    <row r="27" spans="2:7" x14ac:dyDescent="0.25">
      <c r="B27">
        <v>23</v>
      </c>
      <c r="C27" s="125">
        <v>317</v>
      </c>
      <c r="D27" s="8" t="s">
        <v>40</v>
      </c>
      <c r="E27" s="11" t="s">
        <v>13</v>
      </c>
      <c r="F27" s="12">
        <v>11450902</v>
      </c>
      <c r="G27" s="13">
        <v>24904</v>
      </c>
    </row>
    <row r="28" spans="2:7" x14ac:dyDescent="0.25">
      <c r="B28">
        <v>24</v>
      </c>
      <c r="C28" s="126"/>
      <c r="D28" s="8" t="s">
        <v>41</v>
      </c>
      <c r="E28" s="11" t="s">
        <v>13</v>
      </c>
      <c r="F28" s="12">
        <v>21015872</v>
      </c>
      <c r="G28" s="13">
        <v>24885</v>
      </c>
    </row>
    <row r="29" spans="2:7" x14ac:dyDescent="0.25">
      <c r="B29">
        <v>25</v>
      </c>
      <c r="C29" s="118">
        <v>207</v>
      </c>
      <c r="D29" s="25" t="s">
        <v>17</v>
      </c>
      <c r="E29" s="20" t="s">
        <v>13</v>
      </c>
      <c r="F29" s="11">
        <v>20870792</v>
      </c>
      <c r="G29" s="13">
        <v>20788</v>
      </c>
    </row>
    <row r="30" spans="2:7" ht="15.75" thickBot="1" x14ac:dyDescent="0.3">
      <c r="B30">
        <v>26</v>
      </c>
      <c r="C30" s="118"/>
      <c r="D30" s="26" t="s">
        <v>29</v>
      </c>
      <c r="E30" s="20" t="s">
        <v>13</v>
      </c>
      <c r="F30" s="11">
        <v>51555030</v>
      </c>
      <c r="G30" s="13">
        <v>21748</v>
      </c>
    </row>
    <row r="31" spans="2:7" x14ac:dyDescent="0.25">
      <c r="B31">
        <v>27</v>
      </c>
      <c r="C31" s="118">
        <v>205</v>
      </c>
      <c r="D31" s="24" t="s">
        <v>20</v>
      </c>
      <c r="E31" s="20" t="s">
        <v>13</v>
      </c>
      <c r="F31" s="14">
        <v>20871828</v>
      </c>
      <c r="G31" s="13">
        <v>24395</v>
      </c>
    </row>
    <row r="32" spans="2:7" x14ac:dyDescent="0.25">
      <c r="B32">
        <v>28</v>
      </c>
      <c r="C32" s="118"/>
      <c r="D32" s="25" t="s">
        <v>38</v>
      </c>
      <c r="E32" s="20" t="s">
        <v>13</v>
      </c>
      <c r="F32" s="12">
        <v>51651341</v>
      </c>
      <c r="G32" s="13">
        <v>22405</v>
      </c>
    </row>
    <row r="33" spans="2:7" ht="15.75" thickBot="1" x14ac:dyDescent="0.3">
      <c r="B33">
        <v>29</v>
      </c>
      <c r="C33" s="118"/>
      <c r="D33" s="26" t="s">
        <v>39</v>
      </c>
      <c r="E33" s="20" t="s">
        <v>13</v>
      </c>
      <c r="F33" s="12">
        <v>43043664</v>
      </c>
      <c r="G33" s="13">
        <v>22387</v>
      </c>
    </row>
    <row r="34" spans="2:7" x14ac:dyDescent="0.25">
      <c r="B34">
        <v>30</v>
      </c>
      <c r="C34" s="118">
        <v>310</v>
      </c>
      <c r="D34" s="32" t="s">
        <v>23</v>
      </c>
      <c r="E34" s="20" t="s">
        <v>22</v>
      </c>
      <c r="F34" s="12">
        <v>1068929104</v>
      </c>
      <c r="G34" s="13" t="s">
        <v>44</v>
      </c>
    </row>
    <row r="35" spans="2:7" x14ac:dyDescent="0.25">
      <c r="B35">
        <v>31</v>
      </c>
      <c r="C35" s="118"/>
      <c r="D35" s="33" t="s">
        <v>24</v>
      </c>
      <c r="E35" s="20" t="s">
        <v>13</v>
      </c>
      <c r="F35" s="12">
        <v>1068928684</v>
      </c>
      <c r="G35" s="11" t="s">
        <v>25</v>
      </c>
    </row>
    <row r="36" spans="2:7" ht="15.75" thickBot="1" x14ac:dyDescent="0.3">
      <c r="B36">
        <v>32</v>
      </c>
      <c r="C36" s="118"/>
      <c r="D36" s="35" t="s">
        <v>26</v>
      </c>
      <c r="E36" s="20" t="s">
        <v>13</v>
      </c>
      <c r="F36" s="12">
        <v>1016073783</v>
      </c>
      <c r="G36" s="13">
        <v>34745</v>
      </c>
    </row>
    <row r="37" spans="2:7" ht="15.75" thickBot="1" x14ac:dyDescent="0.3">
      <c r="B37">
        <v>33</v>
      </c>
      <c r="C37" s="118">
        <v>315</v>
      </c>
      <c r="D37" s="32" t="s">
        <v>30</v>
      </c>
      <c r="E37" s="20" t="s">
        <v>13</v>
      </c>
      <c r="F37" s="11">
        <v>79538678</v>
      </c>
      <c r="G37" s="13">
        <v>25737</v>
      </c>
    </row>
    <row r="38" spans="2:7" ht="15.75" thickBot="1" x14ac:dyDescent="0.3">
      <c r="B38">
        <v>34</v>
      </c>
      <c r="C38" s="118"/>
      <c r="D38" s="57" t="s">
        <v>119</v>
      </c>
      <c r="E38" s="20" t="s">
        <v>13</v>
      </c>
      <c r="F38" s="12">
        <v>3209301</v>
      </c>
      <c r="G38" s="13">
        <v>22682</v>
      </c>
    </row>
    <row r="39" spans="2:7" ht="15.75" thickBot="1" x14ac:dyDescent="0.3">
      <c r="B39">
        <v>35</v>
      </c>
      <c r="C39" s="118"/>
      <c r="D39" s="52" t="s">
        <v>109</v>
      </c>
      <c r="E39" s="20" t="s">
        <v>13</v>
      </c>
      <c r="F39" s="12">
        <v>11451789</v>
      </c>
      <c r="G39" s="48">
        <v>30479</v>
      </c>
    </row>
    <row r="40" spans="2:7" x14ac:dyDescent="0.25">
      <c r="B40">
        <v>36</v>
      </c>
      <c r="C40" s="118">
        <v>403</v>
      </c>
      <c r="D40" s="32" t="s">
        <v>31</v>
      </c>
      <c r="E40" s="36" t="s">
        <v>13</v>
      </c>
      <c r="F40" s="11">
        <v>79656808</v>
      </c>
      <c r="G40" s="48">
        <v>27034</v>
      </c>
    </row>
    <row r="41" spans="2:7" x14ac:dyDescent="0.25">
      <c r="B41">
        <v>37</v>
      </c>
      <c r="C41" s="118"/>
      <c r="D41" s="33" t="s">
        <v>32</v>
      </c>
      <c r="E41" s="20" t="s">
        <v>13</v>
      </c>
      <c r="F41" s="10">
        <v>1075628177</v>
      </c>
      <c r="G41" s="48">
        <v>34519</v>
      </c>
    </row>
    <row r="42" spans="2:7" ht="15.75" thickBot="1" x14ac:dyDescent="0.3">
      <c r="B42">
        <v>38</v>
      </c>
      <c r="C42" s="118"/>
      <c r="D42" s="34" t="s">
        <v>52</v>
      </c>
      <c r="E42" s="20" t="s">
        <v>22</v>
      </c>
      <c r="F42" s="10">
        <v>1014877742</v>
      </c>
      <c r="G42" s="48">
        <v>40522</v>
      </c>
    </row>
    <row r="43" spans="2:7" x14ac:dyDescent="0.25">
      <c r="B43">
        <v>39</v>
      </c>
      <c r="C43" s="118">
        <v>103</v>
      </c>
      <c r="D43" s="32" t="s">
        <v>16</v>
      </c>
      <c r="E43" s="20" t="s">
        <v>13</v>
      </c>
      <c r="F43" s="11">
        <v>20617583</v>
      </c>
      <c r="G43" s="13">
        <v>19455</v>
      </c>
    </row>
    <row r="44" spans="2:7" x14ac:dyDescent="0.25">
      <c r="B44">
        <v>40</v>
      </c>
      <c r="C44" s="118"/>
      <c r="D44" s="71" t="s">
        <v>121</v>
      </c>
      <c r="E44" s="1" t="s">
        <v>122</v>
      </c>
      <c r="F44">
        <v>1012388978</v>
      </c>
      <c r="G44" s="56">
        <v>40308</v>
      </c>
    </row>
    <row r="45" spans="2:7" ht="15.75" thickBot="1" x14ac:dyDescent="0.3">
      <c r="B45">
        <v>41</v>
      </c>
      <c r="C45" s="118"/>
      <c r="D45" s="34" t="s">
        <v>64</v>
      </c>
      <c r="E45" s="20" t="s">
        <v>13</v>
      </c>
      <c r="F45" s="11">
        <v>20871345</v>
      </c>
      <c r="G45" s="13">
        <v>23623</v>
      </c>
    </row>
    <row r="46" spans="2:7" x14ac:dyDescent="0.25">
      <c r="B46">
        <v>42</v>
      </c>
      <c r="C46" s="118">
        <v>108</v>
      </c>
      <c r="D46" s="32" t="s">
        <v>57</v>
      </c>
      <c r="E46" s="20" t="s">
        <v>13</v>
      </c>
      <c r="F46" s="12">
        <v>20871385</v>
      </c>
      <c r="G46" s="13">
        <v>23091</v>
      </c>
    </row>
    <row r="47" spans="2:7" x14ac:dyDescent="0.25">
      <c r="B47">
        <v>43</v>
      </c>
      <c r="C47" s="118"/>
      <c r="D47" s="33" t="s">
        <v>59</v>
      </c>
      <c r="E47" s="37" t="s">
        <v>22</v>
      </c>
      <c r="F47" s="30">
        <v>1028491249</v>
      </c>
      <c r="G47" s="19">
        <v>40070</v>
      </c>
    </row>
    <row r="48" spans="2:7" ht="15.75" thickBot="1" x14ac:dyDescent="0.3">
      <c r="B48">
        <v>44</v>
      </c>
      <c r="C48" s="118"/>
      <c r="D48" s="60" t="s">
        <v>111</v>
      </c>
      <c r="E48" s="37" t="s">
        <v>13</v>
      </c>
      <c r="F48" s="30">
        <v>20872375</v>
      </c>
      <c r="G48" s="13">
        <v>31318</v>
      </c>
    </row>
    <row r="49" spans="2:7" x14ac:dyDescent="0.25">
      <c r="B49">
        <v>45</v>
      </c>
      <c r="C49" s="118">
        <v>404</v>
      </c>
      <c r="D49" s="32" t="s">
        <v>117</v>
      </c>
      <c r="E49" s="20" t="s">
        <v>13</v>
      </c>
      <c r="F49" s="11">
        <v>52932505</v>
      </c>
      <c r="G49" s="13">
        <v>29929</v>
      </c>
    </row>
    <row r="50" spans="2:7" x14ac:dyDescent="0.25">
      <c r="B50">
        <v>46</v>
      </c>
      <c r="C50" s="118"/>
      <c r="D50" s="61" t="s">
        <v>72</v>
      </c>
      <c r="E50" s="36" t="s">
        <v>62</v>
      </c>
      <c r="F50" s="29">
        <v>1233507914</v>
      </c>
      <c r="G50" s="31">
        <v>42920</v>
      </c>
    </row>
    <row r="51" spans="2:7" ht="15.75" thickBot="1" x14ac:dyDescent="0.3">
      <c r="B51">
        <v>47</v>
      </c>
      <c r="C51" s="118"/>
      <c r="D51" s="34" t="s">
        <v>73</v>
      </c>
      <c r="E51" s="20" t="s">
        <v>13</v>
      </c>
      <c r="F51" s="11">
        <v>20357680</v>
      </c>
      <c r="G51" s="13">
        <v>23562</v>
      </c>
    </row>
    <row r="52" spans="2:7" x14ac:dyDescent="0.25">
      <c r="B52">
        <v>48</v>
      </c>
      <c r="C52" s="118">
        <v>109</v>
      </c>
      <c r="D52" s="41" t="s">
        <v>104</v>
      </c>
      <c r="E52" s="20" t="s">
        <v>13</v>
      </c>
      <c r="F52" s="62">
        <v>41755159</v>
      </c>
      <c r="G52" s="13">
        <v>20797</v>
      </c>
    </row>
    <row r="53" spans="2:7" ht="15.75" thickBot="1" x14ac:dyDescent="0.3">
      <c r="B53">
        <v>49</v>
      </c>
      <c r="C53" s="118"/>
      <c r="D53" s="42" t="s">
        <v>106</v>
      </c>
      <c r="E53" s="20" t="s">
        <v>13</v>
      </c>
      <c r="F53" s="9">
        <v>28239599</v>
      </c>
      <c r="G53" s="63">
        <v>21410</v>
      </c>
    </row>
    <row r="54" spans="2:7" x14ac:dyDescent="0.25">
      <c r="B54">
        <v>50</v>
      </c>
      <c r="C54" s="118">
        <v>314</v>
      </c>
      <c r="D54" s="43" t="s">
        <v>97</v>
      </c>
      <c r="E54" s="20" t="s">
        <v>13</v>
      </c>
      <c r="F54" s="12">
        <v>20357264</v>
      </c>
      <c r="G54" s="31">
        <v>19042</v>
      </c>
    </row>
    <row r="55" spans="2:7" x14ac:dyDescent="0.25">
      <c r="B55">
        <v>51</v>
      </c>
      <c r="C55" s="118"/>
      <c r="D55" s="44" t="s">
        <v>126</v>
      </c>
      <c r="E55" s="20" t="s">
        <v>13</v>
      </c>
      <c r="F55" s="12">
        <v>178668</v>
      </c>
      <c r="G55" s="13">
        <v>19257</v>
      </c>
    </row>
    <row r="56" spans="2:7" x14ac:dyDescent="0.25">
      <c r="B56">
        <v>52</v>
      </c>
      <c r="C56" s="118"/>
      <c r="D56" s="44" t="s">
        <v>99</v>
      </c>
      <c r="E56" s="20" t="s">
        <v>13</v>
      </c>
      <c r="F56" s="12">
        <v>72960190</v>
      </c>
      <c r="G56" s="13">
        <v>31689</v>
      </c>
    </row>
    <row r="57" spans="2:7" ht="15.75" thickBot="1" x14ac:dyDescent="0.3">
      <c r="B57">
        <v>53</v>
      </c>
      <c r="C57" s="118"/>
      <c r="D57" s="45" t="s">
        <v>100</v>
      </c>
      <c r="E57" s="20" t="s">
        <v>13</v>
      </c>
      <c r="F57" s="12">
        <v>20357982</v>
      </c>
      <c r="G57" s="13">
        <v>25807</v>
      </c>
    </row>
    <row r="58" spans="2:7" x14ac:dyDescent="0.25">
      <c r="B58">
        <v>54</v>
      </c>
      <c r="C58" s="128">
        <v>313</v>
      </c>
      <c r="D58" s="46" t="s">
        <v>93</v>
      </c>
      <c r="E58" s="20" t="s">
        <v>13</v>
      </c>
      <c r="F58" s="11">
        <v>41549329</v>
      </c>
      <c r="G58" s="13">
        <v>18973</v>
      </c>
    </row>
    <row r="59" spans="2:7" x14ac:dyDescent="0.25">
      <c r="B59">
        <v>55</v>
      </c>
      <c r="C59" s="129"/>
      <c r="D59" s="33" t="s">
        <v>94</v>
      </c>
      <c r="E59" s="20" t="s">
        <v>13</v>
      </c>
      <c r="F59" s="11">
        <v>4387541</v>
      </c>
      <c r="G59" s="13">
        <v>15430</v>
      </c>
    </row>
    <row r="60" spans="2:7" ht="15.75" thickBot="1" x14ac:dyDescent="0.3">
      <c r="B60">
        <v>56</v>
      </c>
      <c r="C60" s="130"/>
      <c r="D60" s="47" t="s">
        <v>95</v>
      </c>
      <c r="E60" s="37" t="s">
        <v>13</v>
      </c>
      <c r="F60" s="18">
        <v>20611012</v>
      </c>
      <c r="G60" s="19">
        <v>17510</v>
      </c>
    </row>
    <row r="61" spans="2:7" x14ac:dyDescent="0.25">
      <c r="B61">
        <v>57</v>
      </c>
      <c r="C61" s="118">
        <v>210</v>
      </c>
      <c r="D61" s="46" t="s">
        <v>102</v>
      </c>
      <c r="E61" s="20" t="s">
        <v>13</v>
      </c>
      <c r="F61" s="12">
        <v>52581115</v>
      </c>
      <c r="G61" s="13">
        <v>24553</v>
      </c>
    </row>
    <row r="62" spans="2:7" x14ac:dyDescent="0.25">
      <c r="B62">
        <v>58</v>
      </c>
      <c r="C62" s="118"/>
      <c r="D62" s="33" t="s">
        <v>103</v>
      </c>
      <c r="E62" s="20" t="s">
        <v>13</v>
      </c>
      <c r="F62" s="12">
        <v>20871256</v>
      </c>
      <c r="G62" s="13">
        <v>22954</v>
      </c>
    </row>
    <row r="63" spans="2:7" ht="15.75" thickBot="1" x14ac:dyDescent="0.3">
      <c r="B63">
        <v>59</v>
      </c>
      <c r="C63" s="118"/>
      <c r="D63" s="47" t="s">
        <v>116</v>
      </c>
      <c r="E63" s="20" t="s">
        <v>22</v>
      </c>
      <c r="F63" s="12">
        <v>1141129750</v>
      </c>
      <c r="G63" s="13">
        <v>41604</v>
      </c>
    </row>
  </sheetData>
  <mergeCells count="24">
    <mergeCell ref="C61:C63"/>
    <mergeCell ref="C29:C30"/>
    <mergeCell ref="C31:C33"/>
    <mergeCell ref="C34:C36"/>
    <mergeCell ref="C37:C39"/>
    <mergeCell ref="C40:C42"/>
    <mergeCell ref="C43:C45"/>
    <mergeCell ref="C46:C48"/>
    <mergeCell ref="C49:C51"/>
    <mergeCell ref="C52:C53"/>
    <mergeCell ref="C54:C57"/>
    <mergeCell ref="C58:C60"/>
    <mergeCell ref="C27:C2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</mergeCells>
  <conditionalFormatting sqref="C1:C1048576">
    <cfRule type="duplicateValues" dxfId="55" priority="1"/>
  </conditionalFormatting>
  <conditionalFormatting sqref="C4:C63">
    <cfRule type="duplicateValues" dxfId="54" priority="126"/>
    <cfRule type="duplicateValues" dxfId="53" priority="127"/>
  </conditionalFormatting>
  <conditionalFormatting sqref="F4:F12 F15:F63">
    <cfRule type="duplicateValues" dxfId="52" priority="125"/>
  </conditionalFormatting>
  <conditionalFormatting sqref="F5:F6">
    <cfRule type="duplicateValues" dxfId="51" priority="38"/>
  </conditionalFormatting>
  <conditionalFormatting sqref="F7:F10">
    <cfRule type="duplicateValues" dxfId="50" priority="37"/>
  </conditionalFormatting>
  <conditionalFormatting sqref="F11:F12">
    <cfRule type="duplicateValues" dxfId="49" priority="20"/>
  </conditionalFormatting>
  <conditionalFormatting sqref="F13:F14">
    <cfRule type="duplicateValues" dxfId="48" priority="2"/>
    <cfRule type="duplicateValues" dxfId="47" priority="3"/>
  </conditionalFormatting>
  <conditionalFormatting sqref="F15:F16">
    <cfRule type="duplicateValues" dxfId="46" priority="36"/>
  </conditionalFormatting>
  <conditionalFormatting sqref="F17:F18">
    <cfRule type="duplicateValues" dxfId="45" priority="35"/>
  </conditionalFormatting>
  <conditionalFormatting sqref="F19:F20">
    <cfRule type="duplicateValues" dxfId="44" priority="34"/>
  </conditionalFormatting>
  <conditionalFormatting sqref="F21:F22">
    <cfRule type="duplicateValues" dxfId="43" priority="33"/>
  </conditionalFormatting>
  <conditionalFormatting sqref="F23">
    <cfRule type="duplicateValues" dxfId="42" priority="32"/>
  </conditionalFormatting>
  <conditionalFormatting sqref="F24">
    <cfRule type="duplicateValues" dxfId="41" priority="12"/>
    <cfRule type="duplicateValues" dxfId="40" priority="13"/>
  </conditionalFormatting>
  <conditionalFormatting sqref="F26">
    <cfRule type="duplicateValues" dxfId="39" priority="19"/>
  </conditionalFormatting>
  <conditionalFormatting sqref="F27:F28">
    <cfRule type="duplicateValues" dxfId="38" priority="18"/>
  </conditionalFormatting>
  <conditionalFormatting sqref="F29:F31 F43">
    <cfRule type="duplicateValues" dxfId="37" priority="31"/>
  </conditionalFormatting>
  <conditionalFormatting sqref="F32:F33">
    <cfRule type="duplicateValues" dxfId="36" priority="30"/>
  </conditionalFormatting>
  <conditionalFormatting sqref="F34:F36">
    <cfRule type="duplicateValues" dxfId="35" priority="29"/>
  </conditionalFormatting>
  <conditionalFormatting sqref="F37:F38">
    <cfRule type="duplicateValues" dxfId="34" priority="39"/>
  </conditionalFormatting>
  <conditionalFormatting sqref="F39">
    <cfRule type="duplicateValues" dxfId="33" priority="14"/>
  </conditionalFormatting>
  <conditionalFormatting sqref="F40:F41">
    <cfRule type="duplicateValues" dxfId="32" priority="28"/>
  </conditionalFormatting>
  <conditionalFormatting sqref="F42">
    <cfRule type="duplicateValues" dxfId="31" priority="26"/>
  </conditionalFormatting>
  <conditionalFormatting sqref="F45">
    <cfRule type="duplicateValues" dxfId="30" priority="27"/>
  </conditionalFormatting>
  <conditionalFormatting sqref="F46:F47">
    <cfRule type="duplicateValues" dxfId="29" priority="25"/>
  </conditionalFormatting>
  <conditionalFormatting sqref="F48">
    <cfRule type="duplicateValues" dxfId="28" priority="17"/>
  </conditionalFormatting>
  <conditionalFormatting sqref="F49">
    <cfRule type="duplicateValues" dxfId="27" priority="11"/>
  </conditionalFormatting>
  <conditionalFormatting sqref="F50:F51">
    <cfRule type="duplicateValues" dxfId="26" priority="24"/>
  </conditionalFormatting>
  <conditionalFormatting sqref="F52">
    <cfRule type="duplicateValues" dxfId="25" priority="23"/>
  </conditionalFormatting>
  <conditionalFormatting sqref="F54:F57">
    <cfRule type="duplicateValues" dxfId="24" priority="21"/>
  </conditionalFormatting>
  <conditionalFormatting sqref="F54:F62 F4:F12 F25:F43 F45:F48 F50:F52 F15:F23">
    <cfRule type="duplicateValues" dxfId="23" priority="15"/>
  </conditionalFormatting>
  <conditionalFormatting sqref="F58:F60">
    <cfRule type="duplicateValues" dxfId="22" priority="22"/>
  </conditionalFormatting>
  <conditionalFormatting sqref="F61:F62">
    <cfRule type="duplicateValues" dxfId="21" priority="16"/>
  </conditionalFormatting>
  <conditionalFormatting sqref="F63">
    <cfRule type="duplicateValues" dxfId="20" priority="9"/>
    <cfRule type="duplicateValues" dxfId="19" priority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8E06-2530-475C-A169-BC74DE40BCAB}">
  <dimension ref="B2:E63"/>
  <sheetViews>
    <sheetView topLeftCell="A44" workbookViewId="0">
      <selection activeCell="B2" sqref="B2:E63"/>
    </sheetView>
  </sheetViews>
  <sheetFormatPr baseColWidth="10" defaultRowHeight="15" x14ac:dyDescent="0.25"/>
  <cols>
    <col min="2" max="2" width="3.140625" bestFit="1" customWidth="1"/>
    <col min="3" max="3" width="33.7109375" bestFit="1" customWidth="1"/>
    <col min="5" max="5" width="12.7109375" bestFit="1" customWidth="1"/>
  </cols>
  <sheetData>
    <row r="2" spans="2:5" s="111" customFormat="1" x14ac:dyDescent="0.25">
      <c r="B2" s="112" t="s">
        <v>2</v>
      </c>
      <c r="C2" s="112" t="s">
        <v>3</v>
      </c>
      <c r="D2" s="112" t="s">
        <v>4</v>
      </c>
      <c r="E2" s="112" t="s">
        <v>5</v>
      </c>
    </row>
    <row r="3" spans="2:5" x14ac:dyDescent="0.25">
      <c r="B3" s="11">
        <v>1</v>
      </c>
      <c r="C3" s="10" t="s">
        <v>47</v>
      </c>
      <c r="D3" s="11" t="s">
        <v>13</v>
      </c>
      <c r="E3" s="12">
        <v>17192569</v>
      </c>
    </row>
    <row r="4" spans="2:5" x14ac:dyDescent="0.25">
      <c r="B4" s="11">
        <v>2</v>
      </c>
      <c r="C4" s="10" t="s">
        <v>48</v>
      </c>
      <c r="D4" s="11" t="s">
        <v>13</v>
      </c>
      <c r="E4" s="12">
        <v>41770474</v>
      </c>
    </row>
    <row r="5" spans="2:5" x14ac:dyDescent="0.25">
      <c r="B5" s="11">
        <v>3</v>
      </c>
      <c r="C5" s="10" t="s">
        <v>0</v>
      </c>
      <c r="D5" s="11" t="s">
        <v>13</v>
      </c>
      <c r="E5" s="11">
        <v>3149195</v>
      </c>
    </row>
    <row r="6" spans="2:5" x14ac:dyDescent="0.25">
      <c r="B6" s="11">
        <v>4</v>
      </c>
      <c r="C6" s="10" t="s">
        <v>1</v>
      </c>
      <c r="D6" s="11" t="s">
        <v>13</v>
      </c>
      <c r="E6" s="11">
        <v>51661821</v>
      </c>
    </row>
    <row r="7" spans="2:5" x14ac:dyDescent="0.25">
      <c r="B7" s="11">
        <v>5</v>
      </c>
      <c r="C7" s="10" t="s">
        <v>27</v>
      </c>
      <c r="D7" s="11" t="s">
        <v>13</v>
      </c>
      <c r="E7" s="11">
        <v>19239372</v>
      </c>
    </row>
    <row r="8" spans="2:5" x14ac:dyDescent="0.25">
      <c r="B8" s="11">
        <v>6</v>
      </c>
      <c r="C8" s="10" t="s">
        <v>28</v>
      </c>
      <c r="D8" s="11" t="s">
        <v>13</v>
      </c>
      <c r="E8" s="11">
        <v>41589109</v>
      </c>
    </row>
    <row r="9" spans="2:5" x14ac:dyDescent="0.25">
      <c r="B9" s="11">
        <v>7</v>
      </c>
      <c r="C9" s="10" t="s">
        <v>16</v>
      </c>
      <c r="D9" s="11" t="s">
        <v>13</v>
      </c>
      <c r="E9" s="11">
        <v>20617583</v>
      </c>
    </row>
    <row r="10" spans="2:5" x14ac:dyDescent="0.25">
      <c r="B10" s="11">
        <v>8</v>
      </c>
      <c r="C10" s="10" t="s">
        <v>17</v>
      </c>
      <c r="D10" s="11" t="s">
        <v>13</v>
      </c>
      <c r="E10" s="11">
        <v>20870792</v>
      </c>
    </row>
    <row r="11" spans="2:5" x14ac:dyDescent="0.25">
      <c r="B11" s="11">
        <v>9</v>
      </c>
      <c r="C11" s="10" t="s">
        <v>29</v>
      </c>
      <c r="D11" s="11" t="s">
        <v>13</v>
      </c>
      <c r="E11" s="11">
        <v>51555030</v>
      </c>
    </row>
    <row r="12" spans="2:5" x14ac:dyDescent="0.25">
      <c r="B12" s="11">
        <v>10</v>
      </c>
      <c r="C12" s="10" t="s">
        <v>20</v>
      </c>
      <c r="D12" s="11" t="s">
        <v>13</v>
      </c>
      <c r="E12" s="11">
        <v>20871828</v>
      </c>
    </row>
    <row r="13" spans="2:5" x14ac:dyDescent="0.25">
      <c r="B13" s="11">
        <v>11</v>
      </c>
      <c r="C13" s="10" t="s">
        <v>23</v>
      </c>
      <c r="D13" s="11" t="s">
        <v>22</v>
      </c>
      <c r="E13" s="12">
        <v>1068929104</v>
      </c>
    </row>
    <row r="14" spans="2:5" x14ac:dyDescent="0.25">
      <c r="B14" s="11">
        <v>12</v>
      </c>
      <c r="C14" s="10" t="s">
        <v>24</v>
      </c>
      <c r="D14" s="11" t="s">
        <v>13</v>
      </c>
      <c r="E14" s="12">
        <v>1068928684</v>
      </c>
    </row>
    <row r="15" spans="2:5" x14ac:dyDescent="0.25">
      <c r="B15" s="11">
        <v>13</v>
      </c>
      <c r="C15" s="10" t="s">
        <v>26</v>
      </c>
      <c r="D15" s="11" t="s">
        <v>13</v>
      </c>
      <c r="E15" s="12">
        <v>1016073783</v>
      </c>
    </row>
    <row r="16" spans="2:5" x14ac:dyDescent="0.25">
      <c r="B16" s="11">
        <v>14</v>
      </c>
      <c r="C16" s="10" t="s">
        <v>40</v>
      </c>
      <c r="D16" s="11" t="s">
        <v>13</v>
      </c>
      <c r="E16" s="12">
        <v>11450902</v>
      </c>
    </row>
    <row r="17" spans="2:5" x14ac:dyDescent="0.25">
      <c r="B17" s="11">
        <v>15</v>
      </c>
      <c r="C17" s="10" t="s">
        <v>41</v>
      </c>
      <c r="D17" s="11" t="s">
        <v>13</v>
      </c>
      <c r="E17" s="12">
        <v>21015872</v>
      </c>
    </row>
    <row r="18" spans="2:5" x14ac:dyDescent="0.25">
      <c r="B18" s="11">
        <v>16</v>
      </c>
      <c r="C18" s="10" t="s">
        <v>104</v>
      </c>
      <c r="D18" s="11" t="s">
        <v>13</v>
      </c>
      <c r="E18" s="12">
        <v>41755159</v>
      </c>
    </row>
    <row r="19" spans="2:5" x14ac:dyDescent="0.25">
      <c r="B19" s="11">
        <v>17</v>
      </c>
      <c r="C19" s="10" t="s">
        <v>106</v>
      </c>
      <c r="D19" s="11" t="s">
        <v>13</v>
      </c>
      <c r="E19" s="17">
        <v>28239599</v>
      </c>
    </row>
    <row r="20" spans="2:5" x14ac:dyDescent="0.25">
      <c r="B20" s="11">
        <v>18</v>
      </c>
      <c r="C20" s="10" t="s">
        <v>30</v>
      </c>
      <c r="D20" s="11" t="s">
        <v>13</v>
      </c>
      <c r="E20" s="11">
        <v>79538678</v>
      </c>
    </row>
    <row r="21" spans="2:5" x14ac:dyDescent="0.25">
      <c r="B21" s="11">
        <v>19</v>
      </c>
      <c r="C21" s="10" t="s">
        <v>119</v>
      </c>
      <c r="D21" s="11" t="s">
        <v>13</v>
      </c>
      <c r="E21" s="12">
        <v>3209301</v>
      </c>
    </row>
    <row r="22" spans="2:5" x14ac:dyDescent="0.25">
      <c r="B22" s="11">
        <v>20</v>
      </c>
      <c r="C22" s="10" t="s">
        <v>109</v>
      </c>
      <c r="D22" s="11" t="s">
        <v>13</v>
      </c>
      <c r="E22" s="12">
        <v>11451789</v>
      </c>
    </row>
    <row r="23" spans="2:5" x14ac:dyDescent="0.25">
      <c r="B23" s="11">
        <v>21</v>
      </c>
      <c r="C23" s="10" t="s">
        <v>31</v>
      </c>
      <c r="D23" s="11" t="s">
        <v>13</v>
      </c>
      <c r="E23" s="10">
        <v>79656808</v>
      </c>
    </row>
    <row r="24" spans="2:5" x14ac:dyDescent="0.25">
      <c r="B24" s="11">
        <v>22</v>
      </c>
      <c r="C24" s="10" t="s">
        <v>32</v>
      </c>
      <c r="D24" s="11" t="s">
        <v>13</v>
      </c>
      <c r="E24" s="10">
        <v>1075628177</v>
      </c>
    </row>
    <row r="25" spans="2:5" x14ac:dyDescent="0.25">
      <c r="B25" s="11">
        <v>23</v>
      </c>
      <c r="C25" s="10" t="s">
        <v>52</v>
      </c>
      <c r="D25" s="11" t="s">
        <v>22</v>
      </c>
      <c r="E25" s="10">
        <v>1014877742</v>
      </c>
    </row>
    <row r="26" spans="2:5" x14ac:dyDescent="0.25">
      <c r="B26" s="11">
        <v>24</v>
      </c>
      <c r="C26" s="10" t="s">
        <v>36</v>
      </c>
      <c r="D26" s="11" t="s">
        <v>13</v>
      </c>
      <c r="E26" s="12">
        <v>39630377</v>
      </c>
    </row>
    <row r="27" spans="2:5" x14ac:dyDescent="0.25">
      <c r="B27" s="11">
        <v>25</v>
      </c>
      <c r="C27" s="10" t="s">
        <v>37</v>
      </c>
      <c r="D27" s="11" t="s">
        <v>22</v>
      </c>
      <c r="E27" s="12">
        <v>1195463011</v>
      </c>
    </row>
    <row r="28" spans="2:5" x14ac:dyDescent="0.25">
      <c r="B28" s="11">
        <v>26</v>
      </c>
      <c r="C28" s="10" t="s">
        <v>64</v>
      </c>
      <c r="D28" s="11" t="s">
        <v>13</v>
      </c>
      <c r="E28" s="11">
        <v>20871345</v>
      </c>
    </row>
    <row r="29" spans="2:5" x14ac:dyDescent="0.25">
      <c r="B29" s="11">
        <v>27</v>
      </c>
      <c r="C29" s="10" t="s">
        <v>53</v>
      </c>
      <c r="D29" s="11" t="s">
        <v>13</v>
      </c>
      <c r="E29" s="12">
        <v>39561291</v>
      </c>
    </row>
    <row r="30" spans="2:5" x14ac:dyDescent="0.25">
      <c r="B30" s="11">
        <v>28</v>
      </c>
      <c r="C30" s="10" t="s">
        <v>54</v>
      </c>
      <c r="D30" s="11" t="s">
        <v>13</v>
      </c>
      <c r="E30" s="12">
        <v>3225785</v>
      </c>
    </row>
    <row r="31" spans="2:5" x14ac:dyDescent="0.25">
      <c r="B31" s="11">
        <v>29</v>
      </c>
      <c r="C31" s="10" t="s">
        <v>38</v>
      </c>
      <c r="D31" s="11" t="s">
        <v>13</v>
      </c>
      <c r="E31" s="12">
        <v>51651341</v>
      </c>
    </row>
    <row r="32" spans="2:5" x14ac:dyDescent="0.25">
      <c r="B32" s="11">
        <v>30</v>
      </c>
      <c r="C32" s="10" t="s">
        <v>39</v>
      </c>
      <c r="D32" s="11" t="s">
        <v>13</v>
      </c>
      <c r="E32" s="12">
        <v>43043664</v>
      </c>
    </row>
    <row r="33" spans="2:5" x14ac:dyDescent="0.25">
      <c r="B33" s="11">
        <v>31</v>
      </c>
      <c r="C33" s="10" t="s">
        <v>55</v>
      </c>
      <c r="D33" s="11" t="s">
        <v>13</v>
      </c>
      <c r="E33" s="12">
        <v>11307001</v>
      </c>
    </row>
    <row r="34" spans="2:5" x14ac:dyDescent="0.25">
      <c r="B34" s="11">
        <v>32</v>
      </c>
      <c r="C34" s="10" t="s">
        <v>56</v>
      </c>
      <c r="D34" s="11" t="s">
        <v>13</v>
      </c>
      <c r="E34" s="12">
        <v>39769758</v>
      </c>
    </row>
    <row r="35" spans="2:5" x14ac:dyDescent="0.25">
      <c r="B35" s="11">
        <v>33</v>
      </c>
      <c r="C35" s="10" t="s">
        <v>101</v>
      </c>
      <c r="D35" s="11" t="s">
        <v>13</v>
      </c>
      <c r="E35" s="17">
        <v>79431839</v>
      </c>
    </row>
    <row r="36" spans="2:5" x14ac:dyDescent="0.25">
      <c r="B36" s="11">
        <v>34</v>
      </c>
      <c r="C36" s="10" t="s">
        <v>75</v>
      </c>
      <c r="D36" s="11" t="s">
        <v>13</v>
      </c>
      <c r="E36" s="12">
        <v>52552743</v>
      </c>
    </row>
    <row r="37" spans="2:5" x14ac:dyDescent="0.25">
      <c r="B37" s="11">
        <v>35</v>
      </c>
      <c r="C37" s="10" t="s">
        <v>102</v>
      </c>
      <c r="D37" s="11" t="s">
        <v>13</v>
      </c>
      <c r="E37" s="12">
        <v>52581115</v>
      </c>
    </row>
    <row r="38" spans="2:5" x14ac:dyDescent="0.25">
      <c r="B38" s="11">
        <v>36</v>
      </c>
      <c r="C38" s="10" t="s">
        <v>103</v>
      </c>
      <c r="D38" s="11" t="s">
        <v>13</v>
      </c>
      <c r="E38" s="12">
        <v>20871256</v>
      </c>
    </row>
    <row r="39" spans="2:5" x14ac:dyDescent="0.25">
      <c r="B39" s="11">
        <v>37</v>
      </c>
      <c r="C39" s="10" t="s">
        <v>116</v>
      </c>
      <c r="D39" s="11" t="s">
        <v>22</v>
      </c>
      <c r="E39" s="12">
        <v>1141129750</v>
      </c>
    </row>
    <row r="40" spans="2:5" x14ac:dyDescent="0.25">
      <c r="B40" s="11">
        <v>38</v>
      </c>
      <c r="C40" s="10" t="s">
        <v>118</v>
      </c>
      <c r="D40" s="11" t="s">
        <v>22</v>
      </c>
      <c r="E40" s="10">
        <v>1141914915</v>
      </c>
    </row>
    <row r="41" spans="2:5" x14ac:dyDescent="0.25">
      <c r="B41" s="11">
        <v>39</v>
      </c>
      <c r="C41" s="10" t="s">
        <v>45</v>
      </c>
      <c r="D41" s="11" t="s">
        <v>13</v>
      </c>
      <c r="E41" s="12">
        <v>21016369</v>
      </c>
    </row>
    <row r="42" spans="2:5" x14ac:dyDescent="0.25">
      <c r="B42" s="11">
        <v>40</v>
      </c>
      <c r="C42" s="10" t="s">
        <v>46</v>
      </c>
      <c r="D42" s="11" t="s">
        <v>13</v>
      </c>
      <c r="E42" s="12">
        <v>19370950</v>
      </c>
    </row>
    <row r="43" spans="2:5" x14ac:dyDescent="0.25">
      <c r="B43" s="11">
        <v>41</v>
      </c>
      <c r="C43" s="10" t="s">
        <v>70</v>
      </c>
      <c r="D43" s="11" t="s">
        <v>13</v>
      </c>
      <c r="E43" s="11">
        <v>1019035371</v>
      </c>
    </row>
    <row r="44" spans="2:5" x14ac:dyDescent="0.25">
      <c r="B44" s="11">
        <v>42</v>
      </c>
      <c r="C44" s="10" t="s">
        <v>71</v>
      </c>
      <c r="D44" s="11" t="s">
        <v>22</v>
      </c>
      <c r="E44" s="11">
        <v>1073629313</v>
      </c>
    </row>
    <row r="45" spans="2:5" x14ac:dyDescent="0.25">
      <c r="B45" s="11">
        <v>43</v>
      </c>
      <c r="C45" s="10" t="s">
        <v>57</v>
      </c>
      <c r="D45" s="11" t="s">
        <v>13</v>
      </c>
      <c r="E45" s="12">
        <v>20871385</v>
      </c>
    </row>
    <row r="46" spans="2:5" x14ac:dyDescent="0.25">
      <c r="B46" s="11">
        <v>44</v>
      </c>
      <c r="C46" s="10" t="s">
        <v>59</v>
      </c>
      <c r="D46" s="11" t="s">
        <v>22</v>
      </c>
      <c r="E46" s="12">
        <v>1028491249</v>
      </c>
    </row>
    <row r="47" spans="2:5" x14ac:dyDescent="0.25">
      <c r="B47" s="11">
        <v>45</v>
      </c>
      <c r="C47" s="10" t="s">
        <v>61</v>
      </c>
      <c r="D47" s="11" t="s">
        <v>62</v>
      </c>
      <c r="E47" s="12">
        <v>1016748536</v>
      </c>
    </row>
    <row r="48" spans="2:5" x14ac:dyDescent="0.25">
      <c r="B48" s="11">
        <v>46</v>
      </c>
      <c r="C48" s="10" t="s">
        <v>111</v>
      </c>
      <c r="D48" s="11" t="s">
        <v>13</v>
      </c>
      <c r="E48" s="12">
        <v>20872375</v>
      </c>
    </row>
    <row r="49" spans="2:5" x14ac:dyDescent="0.25">
      <c r="B49" s="11">
        <v>47</v>
      </c>
      <c r="C49" s="10" t="s">
        <v>67</v>
      </c>
      <c r="D49" s="11" t="s">
        <v>13</v>
      </c>
      <c r="E49" s="11">
        <v>39573071</v>
      </c>
    </row>
    <row r="50" spans="2:5" x14ac:dyDescent="0.25">
      <c r="B50" s="11">
        <v>48</v>
      </c>
      <c r="C50" s="10" t="s">
        <v>66</v>
      </c>
      <c r="D50" s="11" t="s">
        <v>13</v>
      </c>
      <c r="E50" s="11">
        <v>21014141</v>
      </c>
    </row>
    <row r="51" spans="2:5" x14ac:dyDescent="0.25">
      <c r="B51" s="11">
        <v>49</v>
      </c>
      <c r="C51" s="10" t="s">
        <v>117</v>
      </c>
      <c r="D51" s="11" t="s">
        <v>13</v>
      </c>
      <c r="E51" s="11">
        <v>52932505</v>
      </c>
    </row>
    <row r="52" spans="2:5" x14ac:dyDescent="0.25">
      <c r="B52" s="11">
        <v>50</v>
      </c>
      <c r="C52" s="10" t="s">
        <v>72</v>
      </c>
      <c r="D52" s="11" t="s">
        <v>62</v>
      </c>
      <c r="E52" s="11">
        <v>1233507914</v>
      </c>
    </row>
    <row r="53" spans="2:5" x14ac:dyDescent="0.25">
      <c r="B53" s="11">
        <v>51</v>
      </c>
      <c r="C53" s="10" t="s">
        <v>73</v>
      </c>
      <c r="D53" s="11" t="s">
        <v>13</v>
      </c>
      <c r="E53" s="11">
        <v>20357680</v>
      </c>
    </row>
    <row r="54" spans="2:5" x14ac:dyDescent="0.25">
      <c r="B54" s="11">
        <v>52</v>
      </c>
      <c r="C54" s="10" t="s">
        <v>93</v>
      </c>
      <c r="D54" s="11" t="s">
        <v>13</v>
      </c>
      <c r="E54" s="11">
        <v>41549329</v>
      </c>
    </row>
    <row r="55" spans="2:5" x14ac:dyDescent="0.25">
      <c r="B55" s="11">
        <v>53</v>
      </c>
      <c r="C55" s="10" t="s">
        <v>94</v>
      </c>
      <c r="D55" s="11" t="s">
        <v>13</v>
      </c>
      <c r="E55" s="11">
        <v>4387541</v>
      </c>
    </row>
    <row r="56" spans="2:5" x14ac:dyDescent="0.25">
      <c r="B56" s="11">
        <v>54</v>
      </c>
      <c r="C56" s="10" t="s">
        <v>95</v>
      </c>
      <c r="D56" s="11" t="s">
        <v>13</v>
      </c>
      <c r="E56" s="11">
        <v>20611012</v>
      </c>
    </row>
    <row r="57" spans="2:5" x14ac:dyDescent="0.25">
      <c r="B57" s="11">
        <v>55</v>
      </c>
      <c r="C57" s="10" t="s">
        <v>124</v>
      </c>
      <c r="D57" s="11" t="s">
        <v>13</v>
      </c>
      <c r="E57" s="11">
        <v>20357264</v>
      </c>
    </row>
    <row r="58" spans="2:5" x14ac:dyDescent="0.25">
      <c r="B58" s="11">
        <v>56</v>
      </c>
      <c r="C58" s="10" t="s">
        <v>126</v>
      </c>
      <c r="D58" s="11" t="s">
        <v>13</v>
      </c>
      <c r="E58" s="11">
        <v>178668</v>
      </c>
    </row>
    <row r="59" spans="2:5" x14ac:dyDescent="0.25">
      <c r="B59" s="11">
        <v>57</v>
      </c>
      <c r="C59" s="10" t="s">
        <v>99</v>
      </c>
      <c r="D59" s="11" t="s">
        <v>13</v>
      </c>
      <c r="E59" s="11">
        <v>72960190</v>
      </c>
    </row>
    <row r="60" spans="2:5" x14ac:dyDescent="0.25">
      <c r="B60" s="11">
        <v>58</v>
      </c>
      <c r="C60" s="10" t="s">
        <v>127</v>
      </c>
      <c r="D60" s="11" t="s">
        <v>13</v>
      </c>
      <c r="E60" s="11">
        <v>20357982</v>
      </c>
    </row>
    <row r="61" spans="2:5" x14ac:dyDescent="0.25">
      <c r="B61" s="11">
        <v>59</v>
      </c>
      <c r="C61" s="10" t="s">
        <v>107</v>
      </c>
      <c r="D61" s="11" t="s">
        <v>13</v>
      </c>
      <c r="E61" s="11">
        <v>79288961</v>
      </c>
    </row>
    <row r="62" spans="2:5" x14ac:dyDescent="0.25">
      <c r="B62" s="11">
        <v>60</v>
      </c>
      <c r="C62" s="10" t="s">
        <v>108</v>
      </c>
      <c r="D62" s="11" t="s">
        <v>13</v>
      </c>
      <c r="E62" s="12">
        <v>39737454</v>
      </c>
    </row>
    <row r="63" spans="2:5" x14ac:dyDescent="0.25">
      <c r="B63" s="11">
        <v>61</v>
      </c>
      <c r="C63" s="10" t="s">
        <v>121</v>
      </c>
      <c r="D63" s="11" t="s">
        <v>122</v>
      </c>
      <c r="E63" s="10">
        <v>1012388978</v>
      </c>
    </row>
  </sheetData>
  <conditionalFormatting sqref="E21">
    <cfRule type="duplicateValues" dxfId="18" priority="3"/>
  </conditionalFormatting>
  <conditionalFormatting sqref="E21:E22">
    <cfRule type="duplicateValues" dxfId="17" priority="2"/>
  </conditionalFormatting>
  <conditionalFormatting sqref="E22">
    <cfRule type="duplicateValues" dxfId="16" priority="1"/>
  </conditionalFormatting>
  <conditionalFormatting sqref="E23:E24">
    <cfRule type="duplicateValues" dxfId="15" priority="7"/>
  </conditionalFormatting>
  <conditionalFormatting sqref="E25">
    <cfRule type="duplicateValues" dxfId="14" priority="6"/>
  </conditionalFormatting>
  <conditionalFormatting sqref="E36:E38 E2:E18 E26:E34 E41:E60 E20">
    <cfRule type="duplicateValues" dxfId="13" priority="9"/>
  </conditionalFormatting>
  <conditionalFormatting sqref="E39">
    <cfRule type="duplicateValues" dxfId="12" priority="4"/>
    <cfRule type="duplicateValues" dxfId="11" priority="5"/>
  </conditionalFormatting>
  <conditionalFormatting sqref="E61:E62">
    <cfRule type="duplicateValues" dxfId="1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Hoja5</vt:lpstr>
      <vt:lpstr>Hoja4</vt:lpstr>
      <vt:lpstr>Hoja6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2024-02-20T14:38:39Z</dcterms:created>
  <dcterms:modified xsi:type="dcterms:W3CDTF">2024-07-17T15:32:17Z</dcterms:modified>
</cp:coreProperties>
</file>