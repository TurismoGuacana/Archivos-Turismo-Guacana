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0\"/>
    </mc:Choice>
  </mc:AlternateContent>
  <xr:revisionPtr revIDLastSave="0" documentId="8_{BF391D25-5A81-4F80-BABE-38934ACB85E8}" xr6:coauthVersionLast="47" xr6:coauthVersionMax="47" xr10:uidLastSave="{00000000-0000-0000-0000-000000000000}"/>
  <bookViews>
    <workbookView xWindow="-120" yWindow="-120" windowWidth="20730" windowHeight="11040" xr2:uid="{6615DD95-630E-43DD-8CA1-998600E246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15" i="1" s="1"/>
  <c r="I26" i="1"/>
  <c r="I25" i="1"/>
  <c r="I41" i="1"/>
  <c r="I42" i="1"/>
  <c r="I40" i="1"/>
  <c r="I13" i="1"/>
  <c r="J25" i="1"/>
  <c r="M13" i="1"/>
  <c r="M11" i="1"/>
  <c r="M10" i="1"/>
  <c r="M9" i="1"/>
  <c r="M7" i="1"/>
  <c r="M26" i="1"/>
  <c r="N26" i="1"/>
  <c r="M25" i="1"/>
  <c r="M24" i="1"/>
  <c r="M23" i="1"/>
  <c r="I4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6" i="1"/>
  <c r="J29" i="1"/>
  <c r="J30" i="1"/>
  <c r="J31" i="1"/>
  <c r="J32" i="1"/>
  <c r="J34" i="1"/>
  <c r="J35" i="1"/>
  <c r="J36" i="1"/>
  <c r="J37" i="1"/>
  <c r="J38" i="1"/>
  <c r="J39" i="1"/>
  <c r="J40" i="1"/>
  <c r="J41" i="1"/>
  <c r="J42" i="1"/>
  <c r="J43" i="1" l="1"/>
</calcChain>
</file>

<file path=xl/sharedStrings.xml><?xml version="1.0" encoding="utf-8"?>
<sst xmlns="http://schemas.openxmlformats.org/spreadsheetml/2006/main" count="196" uniqueCount="80">
  <si>
    <t>N°</t>
  </si>
  <si>
    <t>NOMBRE</t>
  </si>
  <si>
    <t>T.D</t>
  </si>
  <si>
    <t>N° DE DOCUMENTO</t>
  </si>
  <si>
    <t>FECHA DE NACIMIENTO</t>
  </si>
  <si>
    <t>TELÉFONO</t>
  </si>
  <si>
    <t>COMISIONISTA</t>
  </si>
  <si>
    <t>C.C</t>
  </si>
  <si>
    <t>T.I</t>
  </si>
  <si>
    <t>ROSA YOLANDA MORENO SILVA</t>
  </si>
  <si>
    <t>ANA EDITH MORENO SILVA</t>
  </si>
  <si>
    <t>ANGEL GABRIEL MORENO SILVA</t>
  </si>
  <si>
    <t>ANA YANCY GABRIELA MORENO DIAZ</t>
  </si>
  <si>
    <t>JUANA VALENTINA CARRANZA MORENO</t>
  </si>
  <si>
    <t>EDITH</t>
  </si>
  <si>
    <t>GABRIELA ALZATE</t>
  </si>
  <si>
    <t>MARTHA LUCIA MARTINEZ JIMENEZ</t>
  </si>
  <si>
    <t>MARIO CEBALLOS CORREDOR</t>
  </si>
  <si>
    <t>LUIS ALBERTO DUARTE MOLINA</t>
  </si>
  <si>
    <t>LAD</t>
  </si>
  <si>
    <t>C.E</t>
  </si>
  <si>
    <t>ALEXANDRA RODRÍGUEZ</t>
  </si>
  <si>
    <t>SOFIA HALLMANN</t>
  </si>
  <si>
    <t>BURKHARD HALLMANN</t>
  </si>
  <si>
    <t xml:space="preserve">LIGIA ELENA TOVAR PARRA </t>
  </si>
  <si>
    <t>EDWIN ARNOL MORALES LOPEZ</t>
  </si>
  <si>
    <t>ESPERANZA ORTEGON VEGA</t>
  </si>
  <si>
    <t>ANA EDILMA YATE TORRES</t>
  </si>
  <si>
    <t>YENNY ESPERANZA GARZÓN GARCIA</t>
  </si>
  <si>
    <t>LUZ MYRIAM ROBAYO FUERTES</t>
  </si>
  <si>
    <t>LUIS CARLOS MARTINEZ MORENO</t>
  </si>
  <si>
    <t>CARLOS DAVID MARTINEZ ROBAYO</t>
  </si>
  <si>
    <t>JEILMAR GERONIMO OSORIO MARTINEZ</t>
  </si>
  <si>
    <t>GLORIA</t>
  </si>
  <si>
    <t>FLOR ELBA RODRÍGUEZ</t>
  </si>
  <si>
    <t>DIANA CAROLINA PATIÑO JIMENEZ</t>
  </si>
  <si>
    <t>ANDRES FELIPE SERRANO PATIÑO</t>
  </si>
  <si>
    <t>SARA VALENTINA SERRANO PATIÑO</t>
  </si>
  <si>
    <t>CARLOS ALBERTO CASTRO</t>
  </si>
  <si>
    <t>314 4755689</t>
  </si>
  <si>
    <t>USLEY MENDOZA PERILLA</t>
  </si>
  <si>
    <t>JEAN CARLO CASTRO MENDOZA</t>
  </si>
  <si>
    <t>ANDRES FELIPE CARDENAS PARRA</t>
  </si>
  <si>
    <t>310 8014020</t>
  </si>
  <si>
    <t>311 486 5518</t>
  </si>
  <si>
    <t xml:space="preserve">STEFANIA ALEXANDRA DIAZ </t>
  </si>
  <si>
    <t>322 259 4224</t>
  </si>
  <si>
    <t>JASBLAYDI GUTIERREZ ALVAREZ</t>
  </si>
  <si>
    <t>Columna1</t>
  </si>
  <si>
    <t>DANIELA STEFANI CRUZ MORENO</t>
  </si>
  <si>
    <t>323 223 8921</t>
  </si>
  <si>
    <t>EMPRESA</t>
  </si>
  <si>
    <t>MAICOL ANDRES AVILA</t>
  </si>
  <si>
    <t>SAMANTA DURAN ESPINOSA</t>
  </si>
  <si>
    <t>JAVIER IGNACIO VALERO MARTINEZ</t>
  </si>
  <si>
    <t>LUIS ALFONSO PINZÓN SEGURA</t>
  </si>
  <si>
    <t>MIGUEL SANTIAGO VALERO MARTINEZ</t>
  </si>
  <si>
    <t>LUCILA MARTINEZ RODRIGUEZ</t>
  </si>
  <si>
    <t>LISTO</t>
  </si>
  <si>
    <t>FALTA</t>
  </si>
  <si>
    <t>MARISOL ACOSTA</t>
  </si>
  <si>
    <t>VIVIANA RODRÍGUEZ RUBIO</t>
  </si>
  <si>
    <t>ELSY LOPEZ</t>
  </si>
  <si>
    <t>VALOR</t>
  </si>
  <si>
    <t>TRANSPORTE</t>
  </si>
  <si>
    <t>SEGURO</t>
  </si>
  <si>
    <t>ALOJAMIENTO</t>
  </si>
  <si>
    <t>ALMUERZO 1</t>
  </si>
  <si>
    <t>ALMUERZO 2</t>
  </si>
  <si>
    <t>COSTOS Y GASTOS MEDELLÍN 10</t>
  </si>
  <si>
    <t>COMISION</t>
  </si>
  <si>
    <t xml:space="preserve">COMISIONISTAS </t>
  </si>
  <si>
    <t>COMISIÓN</t>
  </si>
  <si>
    <t>TOTAL</t>
  </si>
  <si>
    <t>PAX</t>
  </si>
  <si>
    <t>DESAYUNO</t>
  </si>
  <si>
    <t>FERRY</t>
  </si>
  <si>
    <t>GASTOS DE REPRESENTACIÓN</t>
  </si>
  <si>
    <t>INGRESOS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</si>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</sst>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0" borderId="0" xfId="0" applyNumberForma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3" fontId="0" fillId="2" borderId="1" xfId="0" applyNumberForma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4" fontId="0" fillId="0" borderId="0" xfId="1" applyFont="1"/>
    <xf numFmtId="0" fontId="0" fillId="0" borderId="2" xfId="0" applyFill="1" applyBorder="1"/>
    <xf numFmtId="44" fontId="0" fillId="0" borderId="2" xfId="1" applyFont="1" applyFill="1" applyBorder="1"/>
    <xf numFmtId="44" fontId="0" fillId="0" borderId="0" xfId="0" applyNumberFormat="1" applyFill="1"/>
    <xf numFmtId="0" fontId="2" fillId="0" borderId="2" xfId="0" applyFont="1" applyFill="1" applyBorder="1" applyAlignment="1">
      <alignment horizontal="center"/>
    </xf>
    <xf numFmtId="44" fontId="2" fillId="0" borderId="2" xfId="1" applyFont="1" applyFill="1" applyBorder="1" applyAlignment="1">
      <alignment horizontal="center"/>
    </xf>
    <xf numFmtId="44" fontId="0" fillId="0" borderId="0" xfId="0" applyNumberFormat="1" applyFont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3" xfId="0" applyFill="1" applyBorder="1"/>
    <xf numFmtId="44" fontId="0" fillId="0" borderId="3" xfId="1" applyFont="1" applyFill="1" applyBorder="1"/>
    <xf numFmtId="0" fontId="0" fillId="0" borderId="5" xfId="0" applyFill="1" applyBorder="1"/>
    <xf numFmtId="0" fontId="2" fillId="0" borderId="5" xfId="0" applyFont="1" applyFill="1" applyBorder="1"/>
    <xf numFmtId="0" fontId="2" fillId="0" borderId="4" xfId="0" applyFont="1" applyFill="1" applyBorder="1"/>
    <xf numFmtId="44" fontId="0" fillId="16" borderId="5" xfId="1" applyFont="1" applyFill="1" applyBorder="1"/>
    <xf numFmtId="44" fontId="0" fillId="17" borderId="4" xfId="1" applyFont="1" applyFill="1" applyBorder="1"/>
    <xf numFmtId="44" fontId="0" fillId="2" borderId="5" xfId="1" applyFont="1" applyFill="1" applyBorder="1"/>
  </cellXfs>
  <cellStyles count="2">
    <cellStyle name="Moneda" xfId="1" builtinId="4"/>
    <cellStyle name="Normal" xfId="0" builtinId="0"/>
  </cellStyles>
  <dxfs count="20">
    <dxf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C5574-892B-409C-AE09-7A713621435D}" name="Tabla2" displayName="Tabla2" ref="A1:J43" totalsRowCount="1" headerRowDxfId="19" dataDxfId="18">
  <autoFilter ref="A1:J42" xr:uid="{8FDC5574-892B-409C-AE09-7A713621435D}"/>
  <tableColumns count="10">
    <tableColumn id="1" xr3:uid="{2E153BEB-1084-4F27-A434-1B4D09158E53}" name="N°" dataDxfId="17" totalsRowDxfId="8"/>
    <tableColumn id="2" xr3:uid="{03BD48E5-311D-4EB6-84E3-20530FF0B9EF}" name="NOMBRE"/>
    <tableColumn id="3" xr3:uid="{A355092E-A1A6-429C-8542-51A8EA64DFD4}" name="T.D" dataDxfId="16" totalsRowDxfId="7"/>
    <tableColumn id="4" xr3:uid="{18B046E8-12CE-428A-B33F-09AF31BDE8ED}" name="N° DE DOCUMENTO" dataDxfId="15" totalsRowDxfId="6"/>
    <tableColumn id="5" xr3:uid="{74B2D71F-2459-4240-8BF5-0BFEEE3600DB}" name="FECHA DE NACIMIENTO" dataDxfId="14" totalsRowDxfId="5"/>
    <tableColumn id="6" xr3:uid="{348AE1CA-1801-4DCF-B56B-F70F52245EBB}" name="TELÉFONO" dataDxfId="13" totalsRowDxfId="4"/>
    <tableColumn id="7" xr3:uid="{652AD662-4C7A-4E73-9C59-807B93586E10}" name="COMISIONISTA" dataDxfId="12" totalsRowDxfId="3"/>
    <tableColumn id="8" xr3:uid="{9E768666-9F93-48D1-B512-C9E1F1A8AC12}" name="Columna1" dataDxfId="11" totalsRowDxfId="2"/>
    <tableColumn id="9" xr3:uid="{7E2CCBEF-F7C5-44CF-8E00-E954145A2A84}" name="VALOR" totalsRowFunction="sum" dataDxfId="10" totalsRowDxfId="1"/>
    <tableColumn id="10" xr3:uid="{FB51D3C9-1E09-4011-9A1B-982FEB4366FE}" name="COMISION" totalsRowFunction="sum" dataDxfId="9" totalsRowDxfId="0">
      <calculatedColumnFormula>Tabla2[[#This Row],[VALOR]]-30000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A7F6-CD7A-4E20-AE2E-B9EC15B4D4A6}">
  <dimension ref="A1:O43"/>
  <sheetViews>
    <sheetView tabSelected="1" topLeftCell="E1" zoomScale="108" workbookViewId="0">
      <selection activeCell="P23" sqref="P23"/>
    </sheetView>
  </sheetViews>
  <sheetFormatPr baseColWidth="10" defaultRowHeight="15" x14ac:dyDescent="0.25"/>
  <cols>
    <col min="1" max="1" width="5.28515625" style="1" customWidth="1"/>
    <col min="2" max="2" width="37" bestFit="1" customWidth="1"/>
    <col min="3" max="3" width="11.42578125" style="1"/>
    <col min="4" max="4" width="23" style="1" bestFit="1" customWidth="1"/>
    <col min="5" max="5" width="26.42578125" style="1" bestFit="1" customWidth="1"/>
    <col min="6" max="6" width="14.7109375" style="1" bestFit="1" customWidth="1"/>
    <col min="7" max="7" width="18.85546875" style="1" bestFit="1" customWidth="1"/>
    <col min="9" max="9" width="15.5703125" bestFit="1" customWidth="1"/>
    <col min="11" max="11" width="11.42578125" style="10"/>
    <col min="12" max="12" width="26.140625" bestFit="1" customWidth="1"/>
    <col min="13" max="13" width="16" style="29" bestFit="1" customWidth="1"/>
    <col min="14" max="14" width="1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  <c r="I1" s="1" t="s">
        <v>63</v>
      </c>
      <c r="J1" s="1" t="s">
        <v>70</v>
      </c>
      <c r="K1" s="7"/>
    </row>
    <row r="2" spans="1:15" x14ac:dyDescent="0.25">
      <c r="A2" s="1">
        <v>1</v>
      </c>
      <c r="B2" s="12" t="s">
        <v>35</v>
      </c>
      <c r="C2" s="1" t="s">
        <v>7</v>
      </c>
      <c r="D2" s="3">
        <v>20872220</v>
      </c>
      <c r="E2" s="2">
        <v>29810</v>
      </c>
      <c r="G2" s="1" t="s">
        <v>14</v>
      </c>
      <c r="H2" s="1" t="s">
        <v>58</v>
      </c>
      <c r="I2" s="3">
        <v>360000</v>
      </c>
      <c r="J2" s="3">
        <f>Tabla2[[#This Row],[VALOR]]-30000</f>
        <v>330000</v>
      </c>
      <c r="K2" s="15"/>
    </row>
    <row r="3" spans="1:15" x14ac:dyDescent="0.25">
      <c r="A3" s="1">
        <v>2</v>
      </c>
      <c r="B3" s="12" t="s">
        <v>36</v>
      </c>
      <c r="C3" s="1" t="s">
        <v>7</v>
      </c>
      <c r="D3" s="3">
        <v>1073628876</v>
      </c>
      <c r="E3" s="2">
        <v>39661</v>
      </c>
      <c r="G3" s="1" t="s">
        <v>14</v>
      </c>
      <c r="H3" s="1" t="s">
        <v>58</v>
      </c>
      <c r="I3" s="3">
        <v>360000</v>
      </c>
      <c r="J3" s="3">
        <f>Tabla2[[#This Row],[VALOR]]-30000</f>
        <v>330000</v>
      </c>
      <c r="K3" s="15"/>
    </row>
    <row r="4" spans="1:15" s="5" customFormat="1" x14ac:dyDescent="0.25">
      <c r="A4" s="1">
        <v>3</v>
      </c>
      <c r="B4" s="25" t="s">
        <v>61</v>
      </c>
      <c r="C4" s="4" t="s">
        <v>7</v>
      </c>
      <c r="D4" s="6">
        <v>20871108</v>
      </c>
      <c r="E4" s="8"/>
      <c r="F4" s="4"/>
      <c r="G4" s="4" t="s">
        <v>14</v>
      </c>
      <c r="H4" s="4"/>
      <c r="I4" s="3">
        <v>360000</v>
      </c>
      <c r="J4" s="6">
        <f>Tabla2[[#This Row],[VALOR]]-30000</f>
        <v>330000</v>
      </c>
      <c r="K4" s="15"/>
      <c r="L4" s="36" t="s">
        <v>69</v>
      </c>
      <c r="M4" s="36"/>
      <c r="N4" s="10"/>
      <c r="O4" s="10"/>
    </row>
    <row r="5" spans="1:15" x14ac:dyDescent="0.25">
      <c r="A5" s="1">
        <v>4</v>
      </c>
      <c r="B5" s="12" t="s">
        <v>37</v>
      </c>
      <c r="C5" s="1" t="s">
        <v>8</v>
      </c>
      <c r="D5" s="3">
        <v>1073629748</v>
      </c>
      <c r="E5" s="2">
        <v>41199</v>
      </c>
      <c r="G5" s="1" t="s">
        <v>14</v>
      </c>
      <c r="H5" s="1" t="s">
        <v>58</v>
      </c>
      <c r="I5" s="3">
        <v>360000</v>
      </c>
      <c r="J5" s="3">
        <f>Tabla2[[#This Row],[VALOR]]-30000</f>
        <v>330000</v>
      </c>
      <c r="K5" s="15"/>
      <c r="L5" s="30" t="s">
        <v>64</v>
      </c>
      <c r="M5" s="31">
        <v>4900000</v>
      </c>
      <c r="N5" s="10"/>
      <c r="O5" s="10"/>
    </row>
    <row r="6" spans="1:15" s="5" customFormat="1" x14ac:dyDescent="0.25">
      <c r="A6" s="1">
        <v>5</v>
      </c>
      <c r="B6" s="13" t="s">
        <v>9</v>
      </c>
      <c r="C6" s="4" t="s">
        <v>7</v>
      </c>
      <c r="D6" s="6">
        <v>20871242</v>
      </c>
      <c r="E6" s="8">
        <v>22954</v>
      </c>
      <c r="F6" s="4"/>
      <c r="G6" s="4" t="s">
        <v>14</v>
      </c>
      <c r="H6" s="4" t="s">
        <v>58</v>
      </c>
      <c r="I6" s="3">
        <v>360000</v>
      </c>
      <c r="J6" s="6">
        <f>Tabla2[[#This Row],[VALOR]]-30000</f>
        <v>330000</v>
      </c>
      <c r="K6" s="15"/>
      <c r="L6" s="30" t="s">
        <v>65</v>
      </c>
      <c r="M6" s="31">
        <v>164000</v>
      </c>
      <c r="N6" s="10"/>
      <c r="O6" s="10"/>
    </row>
    <row r="7" spans="1:15" s="5" customFormat="1" x14ac:dyDescent="0.25">
      <c r="A7" s="1">
        <v>6</v>
      </c>
      <c r="B7" s="13" t="s">
        <v>10</v>
      </c>
      <c r="C7" s="4" t="s">
        <v>7</v>
      </c>
      <c r="D7" s="6">
        <v>52651341</v>
      </c>
      <c r="E7" s="8">
        <v>22405</v>
      </c>
      <c r="F7" s="4"/>
      <c r="G7" s="4" t="s">
        <v>14</v>
      </c>
      <c r="H7" s="4" t="s">
        <v>58</v>
      </c>
      <c r="I7" s="3">
        <v>360000</v>
      </c>
      <c r="J7" s="6">
        <f>Tabla2[[#This Row],[VALOR]]-30000</f>
        <v>330000</v>
      </c>
      <c r="K7" s="15"/>
      <c r="L7" s="30" t="s">
        <v>66</v>
      </c>
      <c r="M7" s="31">
        <f>1980000+600000+120000</f>
        <v>2700000</v>
      </c>
      <c r="N7" s="32"/>
      <c r="O7" s="10"/>
    </row>
    <row r="8" spans="1:15" s="5" customFormat="1" x14ac:dyDescent="0.25">
      <c r="A8" s="1">
        <v>7</v>
      </c>
      <c r="B8" s="13" t="s">
        <v>11</v>
      </c>
      <c r="C8" s="4" t="s">
        <v>7</v>
      </c>
      <c r="D8" s="6">
        <v>11450004</v>
      </c>
      <c r="E8" s="8">
        <v>20375</v>
      </c>
      <c r="F8" s="4"/>
      <c r="G8" s="4" t="s">
        <v>14</v>
      </c>
      <c r="H8" s="4" t="s">
        <v>58</v>
      </c>
      <c r="I8" s="3">
        <v>360000</v>
      </c>
      <c r="J8" s="6">
        <f>Tabla2[[#This Row],[VALOR]]-30000</f>
        <v>330000</v>
      </c>
      <c r="K8" s="15"/>
      <c r="L8" s="30" t="s">
        <v>75</v>
      </c>
      <c r="M8" s="31">
        <v>640000</v>
      </c>
      <c r="N8" s="10"/>
      <c r="O8" s="10"/>
    </row>
    <row r="9" spans="1:15" s="5" customFormat="1" x14ac:dyDescent="0.25">
      <c r="A9" s="1">
        <v>8</v>
      </c>
      <c r="B9" s="5" t="s">
        <v>12</v>
      </c>
      <c r="C9" s="4" t="s">
        <v>7</v>
      </c>
      <c r="D9" s="6">
        <v>20872161</v>
      </c>
      <c r="E9" s="4"/>
      <c r="F9" s="4"/>
      <c r="G9" s="4" t="s">
        <v>14</v>
      </c>
      <c r="H9" s="4" t="s">
        <v>58</v>
      </c>
      <c r="I9" s="3">
        <v>360000</v>
      </c>
      <c r="J9" s="6">
        <f>Tabla2[[#This Row],[VALOR]]-30000</f>
        <v>330000</v>
      </c>
      <c r="K9" s="15"/>
      <c r="L9" s="30" t="s">
        <v>67</v>
      </c>
      <c r="M9" s="31">
        <f>40*14000</f>
        <v>560000</v>
      </c>
      <c r="N9" s="10"/>
      <c r="O9" s="10"/>
    </row>
    <row r="10" spans="1:15" s="5" customFormat="1" x14ac:dyDescent="0.25">
      <c r="A10" s="1">
        <v>9</v>
      </c>
      <c r="B10" s="5" t="s">
        <v>13</v>
      </c>
      <c r="C10" s="4" t="s">
        <v>8</v>
      </c>
      <c r="D10" s="6">
        <v>1016948830</v>
      </c>
      <c r="E10" s="4"/>
      <c r="F10" s="4"/>
      <c r="G10" s="4" t="s">
        <v>14</v>
      </c>
      <c r="H10" s="4" t="s">
        <v>58</v>
      </c>
      <c r="I10" s="3">
        <v>360000</v>
      </c>
      <c r="J10" s="6">
        <f>Tabla2[[#This Row],[VALOR]]-30000</f>
        <v>330000</v>
      </c>
      <c r="K10" s="15"/>
      <c r="L10" s="30" t="s">
        <v>68</v>
      </c>
      <c r="M10" s="31">
        <f>40*21000</f>
        <v>840000</v>
      </c>
      <c r="N10" s="10"/>
      <c r="O10" s="10"/>
    </row>
    <row r="11" spans="1:15" s="5" customFormat="1" x14ac:dyDescent="0.25">
      <c r="A11" s="1">
        <v>10</v>
      </c>
      <c r="B11" s="13" t="s">
        <v>53</v>
      </c>
      <c r="C11" s="4" t="s">
        <v>8</v>
      </c>
      <c r="D11" s="9">
        <v>1145929775</v>
      </c>
      <c r="E11" s="8">
        <v>41956</v>
      </c>
      <c r="F11" s="4"/>
      <c r="G11" s="4" t="s">
        <v>14</v>
      </c>
      <c r="H11" s="4" t="s">
        <v>58</v>
      </c>
      <c r="I11" s="3">
        <v>360000</v>
      </c>
      <c r="J11" s="6">
        <f>Tabla2[[#This Row],[VALOR]]-30000</f>
        <v>330000</v>
      </c>
      <c r="K11" s="15"/>
      <c r="L11" s="30" t="s">
        <v>76</v>
      </c>
      <c r="M11" s="31">
        <f>40*8000</f>
        <v>320000</v>
      </c>
      <c r="N11" s="10"/>
      <c r="O11" s="10"/>
    </row>
    <row r="12" spans="1:15" s="10" customFormat="1" ht="15.75" thickBot="1" x14ac:dyDescent="0.3">
      <c r="A12" s="1">
        <v>11</v>
      </c>
      <c r="B12" s="11" t="s">
        <v>26</v>
      </c>
      <c r="C12" s="7" t="s">
        <v>7</v>
      </c>
      <c r="D12" s="15">
        <v>51699155</v>
      </c>
      <c r="E12" s="7"/>
      <c r="F12" s="7"/>
      <c r="G12" s="7" t="s">
        <v>19</v>
      </c>
      <c r="H12" s="7" t="s">
        <v>58</v>
      </c>
      <c r="I12" s="3">
        <v>360000</v>
      </c>
      <c r="J12" s="15">
        <f>Tabla2[[#This Row],[VALOR]]-30000</f>
        <v>330000</v>
      </c>
      <c r="K12" s="15"/>
      <c r="L12" s="37" t="s">
        <v>77</v>
      </c>
      <c r="M12" s="38">
        <v>100000</v>
      </c>
    </row>
    <row r="13" spans="1:15" s="5" customFormat="1" ht="15.75" thickBot="1" x14ac:dyDescent="0.3">
      <c r="A13" s="1">
        <v>12</v>
      </c>
      <c r="B13" s="19" t="s">
        <v>52</v>
      </c>
      <c r="C13" s="4" t="s">
        <v>7</v>
      </c>
      <c r="D13" s="6">
        <v>11451862</v>
      </c>
      <c r="E13" s="8"/>
      <c r="F13" s="4" t="s">
        <v>44</v>
      </c>
      <c r="G13" s="4" t="s">
        <v>19</v>
      </c>
      <c r="H13" s="4" t="s">
        <v>58</v>
      </c>
      <c r="I13" s="3">
        <f>360000+10000</f>
        <v>370000</v>
      </c>
      <c r="J13" s="6">
        <f>Tabla2[[#This Row],[VALOR]]-30000</f>
        <v>340000</v>
      </c>
      <c r="K13" s="15"/>
      <c r="L13" s="40" t="s">
        <v>73</v>
      </c>
      <c r="M13" s="42">
        <f>SUM(M5:M12)</f>
        <v>10224000</v>
      </c>
      <c r="N13" s="10"/>
      <c r="O13" s="10"/>
    </row>
    <row r="14" spans="1:15" s="5" customFormat="1" ht="15.75" thickBot="1" x14ac:dyDescent="0.3">
      <c r="A14" s="1">
        <v>13</v>
      </c>
      <c r="B14" s="20" t="s">
        <v>15</v>
      </c>
      <c r="C14" s="4" t="s">
        <v>7</v>
      </c>
      <c r="D14" s="6">
        <v>43043664</v>
      </c>
      <c r="E14" s="4"/>
      <c r="F14" s="4"/>
      <c r="G14" s="4" t="s">
        <v>14</v>
      </c>
      <c r="H14" s="4" t="s">
        <v>58</v>
      </c>
      <c r="I14" s="3">
        <v>360000</v>
      </c>
      <c r="J14" s="6">
        <f>Tabla2[[#This Row],[VALOR]]-30000</f>
        <v>330000</v>
      </c>
      <c r="K14" s="15"/>
      <c r="L14" s="39" t="s">
        <v>78</v>
      </c>
      <c r="M14" s="44">
        <f>Tabla2[[#Totals],[COMISION]]</f>
        <v>12600000</v>
      </c>
      <c r="N14" s="10"/>
      <c r="O14" s="10"/>
    </row>
    <row r="15" spans="1:15" s="5" customFormat="1" x14ac:dyDescent="0.25">
      <c r="A15" s="1">
        <v>14</v>
      </c>
      <c r="B15" s="20" t="s">
        <v>34</v>
      </c>
      <c r="C15" s="4" t="s">
        <v>7</v>
      </c>
      <c r="D15" s="6">
        <v>28239599</v>
      </c>
      <c r="E15" s="8">
        <v>21410</v>
      </c>
      <c r="F15" s="4"/>
      <c r="G15" s="4" t="s">
        <v>14</v>
      </c>
      <c r="H15" s="4" t="s">
        <v>58</v>
      </c>
      <c r="I15" s="3">
        <v>360000</v>
      </c>
      <c r="J15" s="6">
        <f>Tabla2[[#This Row],[VALOR]]-30000</f>
        <v>330000</v>
      </c>
      <c r="K15" s="15"/>
      <c r="L15" s="41" t="s">
        <v>79</v>
      </c>
      <c r="M15" s="43">
        <f>M14-M13</f>
        <v>2376000</v>
      </c>
      <c r="N15" s="10"/>
      <c r="O15" s="10"/>
    </row>
    <row r="16" spans="1:15" s="5" customFormat="1" x14ac:dyDescent="0.25">
      <c r="A16" s="1">
        <v>15</v>
      </c>
      <c r="B16" s="5" t="s">
        <v>16</v>
      </c>
      <c r="C16" s="4" t="s">
        <v>7</v>
      </c>
      <c r="D16" s="6">
        <v>51602823</v>
      </c>
      <c r="E16" s="8">
        <v>22481</v>
      </c>
      <c r="F16" s="4"/>
      <c r="G16" s="4" t="s">
        <v>14</v>
      </c>
      <c r="H16" s="4" t="s">
        <v>58</v>
      </c>
      <c r="I16" s="3">
        <v>360000</v>
      </c>
      <c r="J16" s="6">
        <f>Tabla2[[#This Row],[VALOR]]-30000</f>
        <v>330000</v>
      </c>
      <c r="K16" s="15"/>
      <c r="L16" s="10"/>
      <c r="M16" s="10"/>
      <c r="N16" s="10"/>
      <c r="O16" s="10"/>
    </row>
    <row r="17" spans="1:15" s="5" customFormat="1" x14ac:dyDescent="0.25">
      <c r="A17" s="1">
        <v>16</v>
      </c>
      <c r="B17" s="5" t="s">
        <v>17</v>
      </c>
      <c r="C17" s="4" t="s">
        <v>7</v>
      </c>
      <c r="D17" s="6">
        <v>19434860</v>
      </c>
      <c r="E17" s="8">
        <v>22157</v>
      </c>
      <c r="F17" s="4"/>
      <c r="G17" s="4" t="s">
        <v>14</v>
      </c>
      <c r="H17" s="4" t="s">
        <v>58</v>
      </c>
      <c r="I17" s="3">
        <v>360000</v>
      </c>
      <c r="J17" s="6">
        <f>Tabla2[[#This Row],[VALOR]]-30000</f>
        <v>330000</v>
      </c>
      <c r="K17" s="15"/>
      <c r="L17" s="10"/>
      <c r="M17" s="10"/>
      <c r="N17" s="10"/>
      <c r="O17" s="10"/>
    </row>
    <row r="18" spans="1:15" s="5" customFormat="1" x14ac:dyDescent="0.25">
      <c r="A18" s="1">
        <v>17</v>
      </c>
      <c r="B18" s="26" t="s">
        <v>56</v>
      </c>
      <c r="C18" s="4" t="s">
        <v>8</v>
      </c>
      <c r="D18" s="6">
        <v>1070599426</v>
      </c>
      <c r="E18" s="8">
        <v>39463</v>
      </c>
      <c r="F18" s="4"/>
      <c r="G18" s="4" t="s">
        <v>14</v>
      </c>
      <c r="H18" s="4" t="s">
        <v>58</v>
      </c>
      <c r="I18" s="3">
        <v>360000</v>
      </c>
      <c r="J18" s="6">
        <f>Tabla2[[#This Row],[VALOR]]-30000</f>
        <v>330000</v>
      </c>
      <c r="K18" s="15"/>
      <c r="L18" s="10"/>
      <c r="M18" s="32"/>
      <c r="N18" s="10"/>
      <c r="O18" s="10"/>
    </row>
    <row r="19" spans="1:15" s="5" customFormat="1" x14ac:dyDescent="0.25">
      <c r="A19" s="1">
        <v>18</v>
      </c>
      <c r="B19" s="26" t="s">
        <v>54</v>
      </c>
      <c r="C19" s="4" t="s">
        <v>7</v>
      </c>
      <c r="D19" s="9">
        <v>1007159276</v>
      </c>
      <c r="E19" s="8">
        <v>37889</v>
      </c>
      <c r="F19" s="4"/>
      <c r="G19" s="4" t="s">
        <v>14</v>
      </c>
      <c r="H19" s="4" t="s">
        <v>58</v>
      </c>
      <c r="I19" s="3">
        <v>360000</v>
      </c>
      <c r="J19" s="6">
        <f>Tabla2[[#This Row],[VALOR]]-30000</f>
        <v>330000</v>
      </c>
      <c r="K19" s="15"/>
      <c r="L19" s="10"/>
      <c r="M19" s="32"/>
      <c r="N19" s="10"/>
      <c r="O19" s="10"/>
    </row>
    <row r="20" spans="1:15" x14ac:dyDescent="0.25">
      <c r="A20" s="1">
        <v>19</v>
      </c>
      <c r="B20" s="25" t="s">
        <v>57</v>
      </c>
      <c r="C20" s="1" t="s">
        <v>7</v>
      </c>
      <c r="D20" s="3">
        <v>20871533</v>
      </c>
      <c r="E20" s="2">
        <v>24602</v>
      </c>
      <c r="G20" s="1" t="s">
        <v>14</v>
      </c>
      <c r="H20" s="1" t="s">
        <v>58</v>
      </c>
      <c r="I20" s="3">
        <v>360000</v>
      </c>
      <c r="J20" s="3">
        <f>Tabla2[[#This Row],[VALOR]]-30000</f>
        <v>330000</v>
      </c>
      <c r="K20" s="15"/>
      <c r="O20" s="10"/>
    </row>
    <row r="21" spans="1:15" x14ac:dyDescent="0.25">
      <c r="A21" s="1">
        <v>20</v>
      </c>
      <c r="B21" s="25" t="s">
        <v>60</v>
      </c>
      <c r="C21" s="1" t="s">
        <v>7</v>
      </c>
      <c r="D21" s="23">
        <v>51728223</v>
      </c>
      <c r="G21" s="1" t="s">
        <v>14</v>
      </c>
      <c r="H21" s="1"/>
      <c r="I21" s="3">
        <v>360000</v>
      </c>
      <c r="J21" s="3">
        <f>Tabla2[[#This Row],[VALOR]]-30000</f>
        <v>330000</v>
      </c>
      <c r="K21" s="15"/>
    </row>
    <row r="22" spans="1:15" x14ac:dyDescent="0.25">
      <c r="A22" s="1">
        <v>21</v>
      </c>
      <c r="B22" s="14" t="s">
        <v>38</v>
      </c>
      <c r="C22" s="1" t="s">
        <v>7</v>
      </c>
      <c r="D22" s="3">
        <v>11451040</v>
      </c>
      <c r="F22" s="1" t="s">
        <v>39</v>
      </c>
      <c r="G22" s="1" t="s">
        <v>19</v>
      </c>
      <c r="H22" s="1" t="s">
        <v>58</v>
      </c>
      <c r="I22" s="3">
        <v>360000</v>
      </c>
      <c r="J22" s="3">
        <f>Tabla2[[#This Row],[VALOR]]-30000</f>
        <v>330000</v>
      </c>
      <c r="K22" s="15"/>
      <c r="L22" s="33" t="s">
        <v>71</v>
      </c>
      <c r="M22" s="34" t="s">
        <v>72</v>
      </c>
      <c r="N22" s="33" t="s">
        <v>74</v>
      </c>
    </row>
    <row r="23" spans="1:15" x14ac:dyDescent="0.25">
      <c r="A23" s="1">
        <v>22</v>
      </c>
      <c r="B23" s="14" t="s">
        <v>40</v>
      </c>
      <c r="C23" s="1" t="s">
        <v>7</v>
      </c>
      <c r="D23" s="3">
        <v>24231151</v>
      </c>
      <c r="G23" s="1" t="s">
        <v>19</v>
      </c>
      <c r="H23" s="1" t="s">
        <v>58</v>
      </c>
      <c r="I23" s="3">
        <v>360000</v>
      </c>
      <c r="J23" s="3">
        <f>Tabla2[[#This Row],[VALOR]]-30000</f>
        <v>330000</v>
      </c>
      <c r="K23" s="15"/>
      <c r="L23" s="30" t="s">
        <v>14</v>
      </c>
      <c r="M23" s="31">
        <f>18*30000</f>
        <v>540000</v>
      </c>
      <c r="N23" s="30">
        <v>18</v>
      </c>
    </row>
    <row r="24" spans="1:15" x14ac:dyDescent="0.25">
      <c r="A24" s="1">
        <v>23</v>
      </c>
      <c r="B24" s="14" t="s">
        <v>41</v>
      </c>
      <c r="C24" s="1" t="s">
        <v>8</v>
      </c>
      <c r="D24" s="3">
        <v>1072961194</v>
      </c>
      <c r="G24" s="1" t="s">
        <v>19</v>
      </c>
      <c r="H24" s="1" t="s">
        <v>58</v>
      </c>
      <c r="I24" s="3">
        <v>360000</v>
      </c>
      <c r="J24" s="3">
        <f>Tabla2[[#This Row],[VALOR]]-30000</f>
        <v>330000</v>
      </c>
      <c r="K24" s="15"/>
      <c r="L24" s="30" t="s">
        <v>19</v>
      </c>
      <c r="M24" s="31">
        <f>18*30000</f>
        <v>540000</v>
      </c>
      <c r="N24" s="30">
        <v>18</v>
      </c>
    </row>
    <row r="25" spans="1:15" x14ac:dyDescent="0.25">
      <c r="A25" s="1">
        <v>24</v>
      </c>
      <c r="B25" s="16" t="s">
        <v>42</v>
      </c>
      <c r="C25" s="1" t="s">
        <v>7</v>
      </c>
      <c r="D25" s="3">
        <v>1007782542</v>
      </c>
      <c r="E25" s="2">
        <v>36858</v>
      </c>
      <c r="F25" s="1" t="s">
        <v>43</v>
      </c>
      <c r="G25" s="1" t="s">
        <v>19</v>
      </c>
      <c r="H25" s="1" t="s">
        <v>58</v>
      </c>
      <c r="I25" s="3">
        <f>360000+10000</f>
        <v>370000</v>
      </c>
      <c r="J25" s="3">
        <f>Tabla2[[#This Row],[VALOR]]-30000</f>
        <v>340000</v>
      </c>
      <c r="K25" s="15"/>
      <c r="L25" s="30" t="s">
        <v>33</v>
      </c>
      <c r="M25" s="31">
        <f>2*30000</f>
        <v>60000</v>
      </c>
      <c r="N25" s="30">
        <v>2</v>
      </c>
    </row>
    <row r="26" spans="1:15" x14ac:dyDescent="0.25">
      <c r="A26" s="1">
        <v>25</v>
      </c>
      <c r="B26" s="16" t="s">
        <v>45</v>
      </c>
      <c r="C26" s="1" t="s">
        <v>7</v>
      </c>
      <c r="D26" s="3">
        <v>1076170021</v>
      </c>
      <c r="E26" s="2">
        <v>38346</v>
      </c>
      <c r="F26" s="1" t="s">
        <v>46</v>
      </c>
      <c r="G26" s="1" t="s">
        <v>19</v>
      </c>
      <c r="H26" s="1" t="s">
        <v>58</v>
      </c>
      <c r="I26" s="3">
        <f>360000+10000</f>
        <v>370000</v>
      </c>
      <c r="J26" s="3">
        <f>Tabla2[[#This Row],[VALOR]]-30000</f>
        <v>340000</v>
      </c>
      <c r="K26" s="15"/>
      <c r="L26" s="30" t="s">
        <v>73</v>
      </c>
      <c r="M26" s="31">
        <f>SUM(M23:M25)</f>
        <v>1140000</v>
      </c>
      <c r="N26" s="30">
        <f>SUM(N23:N25)</f>
        <v>38</v>
      </c>
    </row>
    <row r="27" spans="1:15" x14ac:dyDescent="0.25">
      <c r="A27" s="1">
        <v>26</v>
      </c>
      <c r="B27" s="24" t="s">
        <v>18</v>
      </c>
      <c r="C27" s="1" t="s">
        <v>7</v>
      </c>
      <c r="D27" s="22">
        <v>79538678</v>
      </c>
      <c r="E27" s="4"/>
      <c r="F27" s="4"/>
      <c r="G27" s="4" t="s">
        <v>51</v>
      </c>
      <c r="H27" s="1" t="s">
        <v>59</v>
      </c>
      <c r="I27" s="1">
        <v>0</v>
      </c>
      <c r="J27" s="3">
        <v>0</v>
      </c>
      <c r="K27" s="15"/>
    </row>
    <row r="28" spans="1:15" x14ac:dyDescent="0.25">
      <c r="A28" s="1">
        <v>27</v>
      </c>
      <c r="B28" s="24" t="s">
        <v>62</v>
      </c>
      <c r="C28" s="27" t="s">
        <v>7</v>
      </c>
      <c r="D28" s="28">
        <v>52231833</v>
      </c>
      <c r="E28" s="4"/>
      <c r="F28" s="4"/>
      <c r="G28" s="4" t="s">
        <v>51</v>
      </c>
      <c r="H28" s="1" t="s">
        <v>59</v>
      </c>
      <c r="I28" s="1">
        <v>0</v>
      </c>
      <c r="J28" s="3">
        <v>0</v>
      </c>
      <c r="K28" s="15"/>
    </row>
    <row r="29" spans="1:15" x14ac:dyDescent="0.25">
      <c r="A29" s="1">
        <v>28</v>
      </c>
      <c r="B29" s="17" t="s">
        <v>23</v>
      </c>
      <c r="C29" s="1" t="s">
        <v>20</v>
      </c>
      <c r="D29" s="3">
        <v>422419</v>
      </c>
      <c r="E29" s="2">
        <v>22097</v>
      </c>
      <c r="G29" s="1" t="s">
        <v>19</v>
      </c>
      <c r="H29" s="1" t="s">
        <v>58</v>
      </c>
      <c r="I29" s="3">
        <v>360000</v>
      </c>
      <c r="J29" s="3">
        <f>Tabla2[[#This Row],[VALOR]]-30000</f>
        <v>330000</v>
      </c>
      <c r="K29" s="15"/>
    </row>
    <row r="30" spans="1:15" x14ac:dyDescent="0.25">
      <c r="A30" s="1">
        <v>29</v>
      </c>
      <c r="B30" s="17" t="s">
        <v>21</v>
      </c>
      <c r="C30" s="1" t="s">
        <v>7</v>
      </c>
      <c r="D30" s="3">
        <v>52323528</v>
      </c>
      <c r="E30" s="2">
        <v>27786</v>
      </c>
      <c r="G30" s="1" t="s">
        <v>19</v>
      </c>
      <c r="H30" s="1" t="s">
        <v>58</v>
      </c>
      <c r="I30" s="3">
        <v>360000</v>
      </c>
      <c r="J30" s="3">
        <f>Tabla2[[#This Row],[VALOR]]-30000</f>
        <v>330000</v>
      </c>
      <c r="K30" s="15"/>
    </row>
    <row r="31" spans="1:15" x14ac:dyDescent="0.25">
      <c r="A31" s="1">
        <v>30</v>
      </c>
      <c r="B31" s="17" t="s">
        <v>22</v>
      </c>
      <c r="C31" s="1" t="s">
        <v>8</v>
      </c>
      <c r="D31" s="3">
        <v>1032800380</v>
      </c>
      <c r="E31" s="2">
        <v>41525</v>
      </c>
      <c r="G31" s="1" t="s">
        <v>19</v>
      </c>
      <c r="H31" s="1" t="s">
        <v>58</v>
      </c>
      <c r="I31" s="3">
        <v>360000</v>
      </c>
      <c r="J31" s="3">
        <f>Tabla2[[#This Row],[VALOR]]-30000</f>
        <v>330000</v>
      </c>
      <c r="K31" s="15"/>
    </row>
    <row r="32" spans="1:15" x14ac:dyDescent="0.25">
      <c r="A32" s="1">
        <v>31</v>
      </c>
      <c r="B32" s="5" t="s">
        <v>55</v>
      </c>
      <c r="C32" s="1" t="s">
        <v>7</v>
      </c>
      <c r="D32" s="3">
        <v>178969</v>
      </c>
      <c r="G32" s="1" t="s">
        <v>19</v>
      </c>
      <c r="H32" s="1" t="s">
        <v>58</v>
      </c>
      <c r="I32" s="3">
        <v>360000</v>
      </c>
      <c r="J32" s="3">
        <f>Tabla2[[#This Row],[VALOR]]-30000</f>
        <v>330000</v>
      </c>
      <c r="K32" s="15"/>
    </row>
    <row r="33" spans="1:11" x14ac:dyDescent="0.25">
      <c r="A33" s="1">
        <v>32</v>
      </c>
      <c r="B33" s="20" t="s">
        <v>49</v>
      </c>
      <c r="C33" s="4" t="s">
        <v>7</v>
      </c>
      <c r="D33" s="6">
        <v>1003568868</v>
      </c>
      <c r="E33" s="8">
        <v>37618</v>
      </c>
      <c r="F33" s="4" t="s">
        <v>50</v>
      </c>
      <c r="G33" s="4" t="s">
        <v>51</v>
      </c>
      <c r="H33" s="1" t="s">
        <v>58</v>
      </c>
      <c r="I33" s="1">
        <v>0</v>
      </c>
      <c r="J33" s="3">
        <v>0</v>
      </c>
      <c r="K33" s="15"/>
    </row>
    <row r="34" spans="1:11" x14ac:dyDescent="0.25">
      <c r="A34" s="1">
        <v>33</v>
      </c>
      <c r="B34" s="11" t="s">
        <v>27</v>
      </c>
      <c r="C34" s="1" t="s">
        <v>7</v>
      </c>
      <c r="D34" s="3">
        <v>20871387</v>
      </c>
      <c r="E34" s="2">
        <v>24494</v>
      </c>
      <c r="G34" s="1" t="s">
        <v>19</v>
      </c>
      <c r="H34" s="1" t="s">
        <v>58</v>
      </c>
      <c r="I34" s="3">
        <v>360000</v>
      </c>
      <c r="J34" s="3">
        <f>Tabla2[[#This Row],[VALOR]]-30000</f>
        <v>330000</v>
      </c>
      <c r="K34" s="15"/>
    </row>
    <row r="35" spans="1:11" x14ac:dyDescent="0.25">
      <c r="A35" s="1">
        <v>34</v>
      </c>
      <c r="B35" s="11" t="s">
        <v>28</v>
      </c>
      <c r="C35" s="1" t="s">
        <v>7</v>
      </c>
      <c r="D35" s="3">
        <v>51788531</v>
      </c>
      <c r="E35" s="2">
        <v>23928</v>
      </c>
      <c r="G35" s="1" t="s">
        <v>19</v>
      </c>
      <c r="H35" s="1" t="s">
        <v>58</v>
      </c>
      <c r="I35" s="3">
        <v>360000</v>
      </c>
      <c r="J35" s="3">
        <f>Tabla2[[#This Row],[VALOR]]-30000</f>
        <v>330000</v>
      </c>
      <c r="K35" s="15"/>
    </row>
    <row r="36" spans="1:11" x14ac:dyDescent="0.25">
      <c r="A36" s="1">
        <v>35</v>
      </c>
      <c r="B36" s="18" t="s">
        <v>32</v>
      </c>
      <c r="C36" s="1" t="s">
        <v>8</v>
      </c>
      <c r="D36" s="3">
        <v>1076170270</v>
      </c>
      <c r="G36" s="1" t="s">
        <v>19</v>
      </c>
      <c r="H36" s="1" t="s">
        <v>58</v>
      </c>
      <c r="I36" s="3">
        <v>360000</v>
      </c>
      <c r="J36" s="3">
        <f>Tabla2[[#This Row],[VALOR]]-30000</f>
        <v>330000</v>
      </c>
      <c r="K36" s="15"/>
    </row>
    <row r="37" spans="1:11" x14ac:dyDescent="0.25">
      <c r="A37" s="1">
        <v>36</v>
      </c>
      <c r="B37" s="18" t="s">
        <v>29</v>
      </c>
      <c r="C37" s="1" t="s">
        <v>7</v>
      </c>
      <c r="D37" s="3">
        <v>20871226</v>
      </c>
      <c r="E37" s="2">
        <v>23339</v>
      </c>
      <c r="F37" s="7"/>
      <c r="G37" s="7" t="s">
        <v>19</v>
      </c>
      <c r="H37" s="1" t="s">
        <v>58</v>
      </c>
      <c r="I37" s="3">
        <v>360000</v>
      </c>
      <c r="J37" s="3">
        <f>Tabla2[[#This Row],[VALOR]]-30000</f>
        <v>330000</v>
      </c>
      <c r="K37" s="15"/>
    </row>
    <row r="38" spans="1:11" x14ac:dyDescent="0.25">
      <c r="A38" s="1">
        <v>37</v>
      </c>
      <c r="B38" s="18" t="s">
        <v>30</v>
      </c>
      <c r="C38" s="1" t="s">
        <v>7</v>
      </c>
      <c r="D38" s="3">
        <v>19366880</v>
      </c>
      <c r="E38" s="2">
        <v>20785</v>
      </c>
      <c r="G38" s="1" t="s">
        <v>19</v>
      </c>
      <c r="H38" s="1" t="s">
        <v>58</v>
      </c>
      <c r="I38" s="3">
        <v>360000</v>
      </c>
      <c r="J38" s="3">
        <f>Tabla2[[#This Row],[VALOR]]-30000</f>
        <v>330000</v>
      </c>
      <c r="K38" s="15"/>
    </row>
    <row r="39" spans="1:11" x14ac:dyDescent="0.25">
      <c r="A39" s="1">
        <v>38</v>
      </c>
      <c r="B39" s="18" t="s">
        <v>31</v>
      </c>
      <c r="C39" s="1" t="s">
        <v>7</v>
      </c>
      <c r="D39" s="3">
        <v>1073629545</v>
      </c>
      <c r="E39" s="2">
        <v>34190</v>
      </c>
      <c r="G39" s="1" t="s">
        <v>19</v>
      </c>
      <c r="H39" s="1" t="s">
        <v>58</v>
      </c>
      <c r="I39" s="3">
        <v>360000</v>
      </c>
      <c r="J39" s="3">
        <f>Tabla2[[#This Row],[VALOR]]-30000</f>
        <v>330000</v>
      </c>
      <c r="K39" s="15"/>
    </row>
    <row r="40" spans="1:11" x14ac:dyDescent="0.25">
      <c r="A40" s="1">
        <v>39</v>
      </c>
      <c r="B40" s="19" t="s">
        <v>47</v>
      </c>
      <c r="C40" s="1" t="s">
        <v>7</v>
      </c>
      <c r="D40" s="3">
        <v>1007155904</v>
      </c>
      <c r="G40" s="1" t="s">
        <v>19</v>
      </c>
      <c r="H40" s="1" t="s">
        <v>58</v>
      </c>
      <c r="I40" s="3">
        <f>360000+10000</f>
        <v>370000</v>
      </c>
      <c r="J40" s="3">
        <f>Tabla2[[#This Row],[VALOR]]-30000</f>
        <v>340000</v>
      </c>
      <c r="K40" s="15"/>
    </row>
    <row r="41" spans="1:11" x14ac:dyDescent="0.25">
      <c r="A41" s="1">
        <v>40</v>
      </c>
      <c r="B41" s="21" t="s">
        <v>24</v>
      </c>
      <c r="C41" s="1" t="s">
        <v>7</v>
      </c>
      <c r="D41" s="3">
        <v>16362218</v>
      </c>
      <c r="E41" s="2">
        <v>30367</v>
      </c>
      <c r="G41" s="1" t="s">
        <v>33</v>
      </c>
      <c r="H41" s="1" t="s">
        <v>58</v>
      </c>
      <c r="I41" s="3">
        <f t="shared" ref="I41:I42" si="0">360000+10000</f>
        <v>370000</v>
      </c>
      <c r="J41" s="3">
        <f>Tabla2[[#This Row],[VALOR]]-30000</f>
        <v>340000</v>
      </c>
      <c r="K41" s="15"/>
    </row>
    <row r="42" spans="1:11" x14ac:dyDescent="0.25">
      <c r="A42" s="1">
        <v>41</v>
      </c>
      <c r="B42" s="21" t="s">
        <v>25</v>
      </c>
      <c r="C42" s="1" t="s">
        <v>7</v>
      </c>
      <c r="D42" s="3">
        <v>1072961734</v>
      </c>
      <c r="E42" s="2">
        <v>33604</v>
      </c>
      <c r="G42" s="1" t="s">
        <v>33</v>
      </c>
      <c r="H42" s="1" t="s">
        <v>58</v>
      </c>
      <c r="I42" s="3">
        <f t="shared" si="0"/>
        <v>370000</v>
      </c>
      <c r="J42" s="3">
        <f>Tabla2[[#This Row],[VALOR]]-30000</f>
        <v>340000</v>
      </c>
      <c r="K42" s="15"/>
    </row>
    <row r="43" spans="1:11" x14ac:dyDescent="0.25">
      <c r="H43" s="1"/>
      <c r="I43" s="35">
        <f>SUBTOTAL(109,Tabla2[VALOR])</f>
        <v>13740000</v>
      </c>
      <c r="J43" s="3">
        <f>SUBTOTAL(109,Tabla2[COMISION])</f>
        <v>12600000</v>
      </c>
      <c r="K43" s="15"/>
    </row>
  </sheetData>
  <mergeCells count="1">
    <mergeCell ref="L4:M4"/>
  </mergeCells>
  <phoneticPr fontId="3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DANIELA STEFANI  CRUZ MORENO</cp:lastModifiedBy>
  <dcterms:created xsi:type="dcterms:W3CDTF">2023-10-20T14:44:26Z</dcterms:created>
  <dcterms:modified xsi:type="dcterms:W3CDTF">2023-12-17T17:53:45Z</dcterms:modified>
</cp:coreProperties>
</file>