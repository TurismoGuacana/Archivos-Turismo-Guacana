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13_ncr:1_{5E24E219-8AC8-4CED-A86B-BC272893C77A}" xr6:coauthVersionLast="47" xr6:coauthVersionMax="47" xr10:uidLastSave="{00000000-0000-0000-0000-000000000000}"/>
  <bookViews>
    <workbookView xWindow="-120" yWindow="-120" windowWidth="20730" windowHeight="11040" xr2:uid="{34BFC0A0-E68A-4F88-8017-69704FF003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I13" i="1"/>
  <c r="I24" i="1"/>
  <c r="I23" i="1"/>
  <c r="I25" i="1"/>
  <c r="L7" i="1" s="1"/>
  <c r="L8" i="1" s="1"/>
  <c r="L6" i="1"/>
  <c r="I21" i="1"/>
  <c r="I22" i="1"/>
  <c r="I2" i="1"/>
  <c r="I3" i="1"/>
  <c r="I4" i="1"/>
  <c r="I5" i="1"/>
  <c r="I6" i="1"/>
  <c r="I7" i="1"/>
  <c r="I8" i="1"/>
  <c r="I9" i="1"/>
  <c r="I10" i="1"/>
  <c r="I11" i="1"/>
  <c r="I12" i="1"/>
  <c r="I14" i="1"/>
  <c r="I16" i="1"/>
  <c r="I19" i="1"/>
  <c r="I20" i="1"/>
</calcChain>
</file>

<file path=xl/sharedStrings.xml><?xml version="1.0" encoding="utf-8"?>
<sst xmlns="http://schemas.openxmlformats.org/spreadsheetml/2006/main" count="86" uniqueCount="48">
  <si>
    <t>N°</t>
  </si>
  <si>
    <t>NOMBRE</t>
  </si>
  <si>
    <t>TIPO DE DOCUMENTO</t>
  </si>
  <si>
    <t>N° DE DOCUMENTO</t>
  </si>
  <si>
    <t>FECHA DE NACIMIENTO</t>
  </si>
  <si>
    <t>TELÉFONO</t>
  </si>
  <si>
    <t>COMISIONADO</t>
  </si>
  <si>
    <t>C.C</t>
  </si>
  <si>
    <t>LAD</t>
  </si>
  <si>
    <t>R.C</t>
  </si>
  <si>
    <t>NANCY ESPERANZA ESPINOZA</t>
  </si>
  <si>
    <t>GLORIA</t>
  </si>
  <si>
    <t>EDUARDO MONTENEGRO</t>
  </si>
  <si>
    <t>EMMANUEL MONTENEGRO</t>
  </si>
  <si>
    <t>ERNESTO MARQUEZ</t>
  </si>
  <si>
    <t>PATRICIA GARZÓN CASTELLO</t>
  </si>
  <si>
    <t>VALERY NATALIA DUARTE GOMEZ</t>
  </si>
  <si>
    <t>INES MAYERLY ABRES</t>
  </si>
  <si>
    <t>LUZ MARINA FARIAS</t>
  </si>
  <si>
    <t>WILLIAM MORALES</t>
  </si>
  <si>
    <t>SANDRA BARRERO</t>
  </si>
  <si>
    <t>311 805 5431</t>
  </si>
  <si>
    <t>WILLIAM STEFAN MORALES BARRERO</t>
  </si>
  <si>
    <t>T.I</t>
  </si>
  <si>
    <t>MARIAN MORALES BARRERO</t>
  </si>
  <si>
    <t>VALOR VIAJE</t>
  </si>
  <si>
    <t>HUVER NEDY MAFLA HERRERA</t>
  </si>
  <si>
    <t>EDITH</t>
  </si>
  <si>
    <t>JOSÉ GABRIEL CABRERA PINZÓN</t>
  </si>
  <si>
    <t>LUIS ABERTO DUARTE MOLINA</t>
  </si>
  <si>
    <t>-</t>
  </si>
  <si>
    <t>GLORIA CABRERA</t>
  </si>
  <si>
    <t>MAFE</t>
  </si>
  <si>
    <t>JUAN PABLO URUEÑA</t>
  </si>
  <si>
    <t>RAMIRO ANDRÉS REYES BENAVIDES</t>
  </si>
  <si>
    <t>LINA FERNANDA BARRAGAN HERNANDEZ</t>
  </si>
  <si>
    <t xml:space="preserve">312 395 4798 </t>
  </si>
  <si>
    <t>MELISA ANDREA REYES BARRAGAN</t>
  </si>
  <si>
    <t>TOTAL</t>
  </si>
  <si>
    <t>TRANSPORTE</t>
  </si>
  <si>
    <t>SEGURO</t>
  </si>
  <si>
    <t>RODDICK ADRIEL BUITRAGO BELTRÁN</t>
  </si>
  <si>
    <t>THALIA ALEJANDRA BELTRAN HERRERA</t>
  </si>
  <si>
    <t xml:space="preserve">ANGEL ORIEL GIRÓN </t>
  </si>
  <si>
    <t>INGRESO + ALMUEZO</t>
  </si>
  <si>
    <t>GASTOS Y COSTOS CAFAM</t>
  </si>
  <si>
    <t>INGRESOS</t>
  </si>
  <si>
    <t>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</si>
</sst>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1" xfId="2" applyNumberFormat="1" applyFont="1" applyFill="1" applyBorder="1" applyAlignment="1">
      <alignment horizontal="center"/>
    </xf>
    <xf numFmtId="0" fontId="0" fillId="0" borderId="0" xfId="0" applyFill="1"/>
    <xf numFmtId="44" fontId="0" fillId="0" borderId="0" xfId="0" applyNumberFormat="1" applyAlignment="1">
      <alignment horizontal="center"/>
    </xf>
    <xf numFmtId="0" fontId="0" fillId="0" borderId="4" xfId="0" applyBorder="1"/>
    <xf numFmtId="44" fontId="0" fillId="0" borderId="4" xfId="1" applyFont="1" applyBorder="1"/>
    <xf numFmtId="0" fontId="0" fillId="0" borderId="6" xfId="0" applyBorder="1"/>
    <xf numFmtId="0" fontId="0" fillId="0" borderId="5" xfId="0" applyBorder="1"/>
    <xf numFmtId="44" fontId="0" fillId="0" borderId="5" xfId="0" applyNumberFormat="1" applyBorder="1"/>
    <xf numFmtId="0" fontId="0" fillId="0" borderId="7" xfId="0" applyBorder="1"/>
    <xf numFmtId="44" fontId="0" fillId="0" borderId="7" xfId="0" applyNumberFormat="1" applyBorder="1"/>
    <xf numFmtId="44" fontId="0" fillId="2" borderId="6" xfId="0" applyNumberFormat="1" applyFill="1" applyBorder="1"/>
    <xf numFmtId="0" fontId="0" fillId="2" borderId="4" xfId="0" applyFill="1" applyBorder="1" applyAlignment="1">
      <alignment horizontal="center"/>
    </xf>
    <xf numFmtId="44" fontId="0" fillId="2" borderId="0" xfId="0" applyNumberFormat="1" applyFill="1" applyAlignment="1">
      <alignment horizontal="center"/>
    </xf>
  </cellXfs>
  <cellStyles count="3">
    <cellStyle name="Millares" xfId="2" builtinId="3"/>
    <cellStyle name="Moneda" xfId="1" builtinId="4"/>
    <cellStyle name="Normal" xfId="0" builtinId="0"/>
  </cellStyles>
  <dxfs count="16">
    <dxf>
      <numFmt numFmtId="34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239B1-7D94-4B02-A8F9-EB081112932E}" name="Tabla1" displayName="Tabla1" ref="A1:I25" totalsRowCount="1" headerRowDxfId="15" dataDxfId="14">
  <autoFilter ref="A1:I24" xr:uid="{940239B1-7D94-4B02-A8F9-EB081112932E}"/>
  <tableColumns count="9">
    <tableColumn id="1" xr3:uid="{A46BEB03-5834-4F7D-AAD9-5FB4093CBEE1}" name="N°"/>
    <tableColumn id="2" xr3:uid="{67B2E3A0-21EA-419B-9464-00B1ADD240E5}" name="NOMBRE"/>
    <tableColumn id="3" xr3:uid="{69943292-C663-4530-B8AC-0E21F2432A94}" name="TIPO DE DOCUMENTO" dataDxfId="13" totalsRowDxfId="6"/>
    <tableColumn id="4" xr3:uid="{A09BF1DC-B6E7-4A16-94E3-E2246655B977}" name="N° DE DOCUMENTO" dataDxfId="12" totalsRowDxfId="5"/>
    <tableColumn id="5" xr3:uid="{E15BEB29-6953-4177-B390-14D28C2A025C}" name="FECHA DE NACIMIENTO" dataDxfId="11" totalsRowDxfId="4"/>
    <tableColumn id="6" xr3:uid="{6A1B1C1B-2E19-4379-A323-907353E3F00D}" name="TELÉFONO" dataDxfId="10" totalsRowDxfId="3"/>
    <tableColumn id="7" xr3:uid="{FE63FE27-52BE-4C6C-B993-767A2D329387}" name="COMISIONADO" dataDxfId="9" totalsRowDxfId="2"/>
    <tableColumn id="8" xr3:uid="{BB863C9A-7926-4200-9520-703072ACA55C}" name="VALOR VIAJE" dataDxfId="8" totalsRowDxfId="1"/>
    <tableColumn id="9" xr3:uid="{1A3E7C29-D1E1-494E-B7E4-CA6F86B0BCC6}" name="TOTAL" totalsRowFunction="sum" dataDxfId="7" totalsRowDxfId="0">
      <calculatedColumnFormula>Tabla1[[#This Row],[VALOR VIAJE]]-15000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3E5B-DA05-4B82-A93A-8E658F8A18FE}">
  <dimension ref="A1:L25"/>
  <sheetViews>
    <sheetView tabSelected="1" topLeftCell="C4" workbookViewId="0">
      <selection activeCell="K18" sqref="K18"/>
    </sheetView>
  </sheetViews>
  <sheetFormatPr baseColWidth="10" defaultRowHeight="15" x14ac:dyDescent="0.25"/>
  <cols>
    <col min="1" max="1" width="5.28515625" customWidth="1"/>
    <col min="2" max="2" width="37.85546875" bestFit="1" customWidth="1"/>
    <col min="3" max="3" width="25" style="1" bestFit="1" customWidth="1"/>
    <col min="4" max="4" width="23" style="1" bestFit="1" customWidth="1"/>
    <col min="5" max="5" width="26.42578125" style="1" bestFit="1" customWidth="1"/>
    <col min="6" max="6" width="14.7109375" style="1" bestFit="1" customWidth="1"/>
    <col min="7" max="7" width="19" style="1" bestFit="1" customWidth="1"/>
    <col min="8" max="8" width="13" bestFit="1" customWidth="1"/>
    <col min="9" max="9" width="14.5703125" bestFit="1" customWidth="1"/>
    <col min="11" max="11" width="19.42578125" bestFit="1" customWidth="1"/>
    <col min="12" max="12" width="14.5703125" bestFit="1" customWidth="1"/>
  </cols>
  <sheetData>
    <row r="1" spans="1:12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38</v>
      </c>
    </row>
    <row r="2" spans="1:12" x14ac:dyDescent="0.25">
      <c r="A2">
        <v>1</v>
      </c>
      <c r="B2" t="s">
        <v>10</v>
      </c>
      <c r="C2" s="1" t="s">
        <v>7</v>
      </c>
      <c r="D2" s="2">
        <v>20357610</v>
      </c>
      <c r="G2" s="1" t="s">
        <v>11</v>
      </c>
      <c r="H2" s="3">
        <v>140000</v>
      </c>
      <c r="I2" s="10">
        <f>Tabla1[[#This Row],[VALOR VIAJE]]-15000</f>
        <v>125000</v>
      </c>
      <c r="K2" s="19" t="s">
        <v>45</v>
      </c>
      <c r="L2" s="19"/>
    </row>
    <row r="3" spans="1:12" x14ac:dyDescent="0.25">
      <c r="A3">
        <v>2</v>
      </c>
      <c r="B3" t="s">
        <v>12</v>
      </c>
      <c r="C3" s="1" t="s">
        <v>7</v>
      </c>
      <c r="D3" s="2">
        <v>79502637</v>
      </c>
      <c r="G3" s="1" t="s">
        <v>11</v>
      </c>
      <c r="H3" s="3">
        <v>140000</v>
      </c>
      <c r="I3" s="10">
        <f>Tabla1[[#This Row],[VALOR VIAJE]]-15000</f>
        <v>125000</v>
      </c>
      <c r="K3" s="11" t="s">
        <v>39</v>
      </c>
      <c r="L3" s="12">
        <v>650000</v>
      </c>
    </row>
    <row r="4" spans="1:12" x14ac:dyDescent="0.25">
      <c r="A4">
        <v>3</v>
      </c>
      <c r="B4" t="s">
        <v>13</v>
      </c>
      <c r="C4" s="1" t="s">
        <v>7</v>
      </c>
      <c r="D4" s="2">
        <v>1027284237</v>
      </c>
      <c r="G4" s="1" t="s">
        <v>11</v>
      </c>
      <c r="H4" s="3">
        <v>140000</v>
      </c>
      <c r="I4" s="10">
        <f>Tabla1[[#This Row],[VALOR VIAJE]]-15000</f>
        <v>125000</v>
      </c>
      <c r="K4" s="11" t="s">
        <v>44</v>
      </c>
      <c r="L4" s="12">
        <v>1492000</v>
      </c>
    </row>
    <row r="5" spans="1:12" x14ac:dyDescent="0.25">
      <c r="A5">
        <v>4</v>
      </c>
      <c r="B5" t="s">
        <v>14</v>
      </c>
      <c r="C5" s="1" t="s">
        <v>7</v>
      </c>
      <c r="D5" s="2">
        <v>17192569</v>
      </c>
      <c r="G5" s="1" t="s">
        <v>8</v>
      </c>
      <c r="H5" s="3">
        <v>140000</v>
      </c>
      <c r="I5" s="10">
        <f>Tabla1[[#This Row],[VALOR VIAJE]]-15000</f>
        <v>125000</v>
      </c>
      <c r="K5" s="11" t="s">
        <v>40</v>
      </c>
      <c r="L5" s="12">
        <v>23000</v>
      </c>
    </row>
    <row r="6" spans="1:12" ht="15.75" thickBot="1" x14ac:dyDescent="0.3">
      <c r="A6">
        <v>5</v>
      </c>
      <c r="B6" t="s">
        <v>15</v>
      </c>
      <c r="C6" s="1" t="s">
        <v>7</v>
      </c>
      <c r="D6" s="2">
        <v>41770474</v>
      </c>
      <c r="G6" s="1" t="s">
        <v>8</v>
      </c>
      <c r="H6" s="3">
        <v>140000</v>
      </c>
      <c r="I6" s="10">
        <f>Tabla1[[#This Row],[VALOR VIAJE]]-15000</f>
        <v>125000</v>
      </c>
      <c r="K6" s="14" t="s">
        <v>38</v>
      </c>
      <c r="L6" s="15">
        <f>SUM(L3:L5)</f>
        <v>2165000</v>
      </c>
    </row>
    <row r="7" spans="1:12" ht="15.75" thickBot="1" x14ac:dyDescent="0.3">
      <c r="A7">
        <v>6</v>
      </c>
      <c r="B7" t="s">
        <v>16</v>
      </c>
      <c r="C7" s="1" t="s">
        <v>7</v>
      </c>
      <c r="D7" s="2">
        <v>1007953320</v>
      </c>
      <c r="G7" s="1" t="s">
        <v>8</v>
      </c>
      <c r="H7" s="3">
        <v>140000</v>
      </c>
      <c r="I7" s="10">
        <f>Tabla1[[#This Row],[VALOR VIAJE]]-15000</f>
        <v>125000</v>
      </c>
      <c r="K7" s="16" t="s">
        <v>46</v>
      </c>
      <c r="L7" s="17">
        <f>Tabla1[[#Totals],[TOTAL]]</f>
        <v>2240000</v>
      </c>
    </row>
    <row r="8" spans="1:12" x14ac:dyDescent="0.25">
      <c r="A8">
        <v>7</v>
      </c>
      <c r="B8" t="s">
        <v>17</v>
      </c>
      <c r="C8" s="1" t="s">
        <v>7</v>
      </c>
      <c r="D8" s="2">
        <v>20871840</v>
      </c>
      <c r="G8" s="1" t="s">
        <v>8</v>
      </c>
      <c r="H8" s="3">
        <v>140000</v>
      </c>
      <c r="I8" s="10">
        <f>Tabla1[[#This Row],[VALOR VIAJE]]-15000</f>
        <v>125000</v>
      </c>
      <c r="K8" s="13" t="s">
        <v>47</v>
      </c>
      <c r="L8" s="18">
        <f>L7-L6</f>
        <v>75000</v>
      </c>
    </row>
    <row r="9" spans="1:12" x14ac:dyDescent="0.25">
      <c r="A9">
        <v>8</v>
      </c>
      <c r="B9" t="s">
        <v>18</v>
      </c>
      <c r="C9" s="1" t="s">
        <v>7</v>
      </c>
      <c r="D9" s="2">
        <v>21056386</v>
      </c>
      <c r="G9" s="1" t="s">
        <v>8</v>
      </c>
      <c r="H9" s="3">
        <v>140000</v>
      </c>
      <c r="I9" s="10">
        <f>Tabla1[[#This Row],[VALOR VIAJE]]-15000</f>
        <v>125000</v>
      </c>
    </row>
    <row r="10" spans="1:12" x14ac:dyDescent="0.25">
      <c r="A10">
        <v>9</v>
      </c>
      <c r="B10" t="s">
        <v>19</v>
      </c>
      <c r="C10" s="1" t="s">
        <v>7</v>
      </c>
      <c r="D10" s="2">
        <v>11451651</v>
      </c>
      <c r="G10" s="1" t="s">
        <v>8</v>
      </c>
      <c r="H10" s="3">
        <v>140000</v>
      </c>
      <c r="I10" s="10">
        <f>Tabla1[[#This Row],[VALOR VIAJE]]-15000</f>
        <v>125000</v>
      </c>
    </row>
    <row r="11" spans="1:12" x14ac:dyDescent="0.25">
      <c r="A11">
        <v>10</v>
      </c>
      <c r="B11" t="s">
        <v>20</v>
      </c>
      <c r="C11" s="1" t="s">
        <v>7</v>
      </c>
      <c r="D11" s="2">
        <v>20872197</v>
      </c>
      <c r="F11" s="1" t="s">
        <v>21</v>
      </c>
      <c r="G11" s="1" t="s">
        <v>8</v>
      </c>
      <c r="H11" s="3">
        <v>140000</v>
      </c>
      <c r="I11" s="10">
        <f>Tabla1[[#This Row],[VALOR VIAJE]]-15000</f>
        <v>125000</v>
      </c>
    </row>
    <row r="12" spans="1:12" x14ac:dyDescent="0.25">
      <c r="A12">
        <v>11</v>
      </c>
      <c r="B12" t="s">
        <v>22</v>
      </c>
      <c r="C12" s="1" t="s">
        <v>23</v>
      </c>
      <c r="D12" s="2">
        <v>1073629959</v>
      </c>
      <c r="G12" s="1" t="s">
        <v>8</v>
      </c>
      <c r="H12" s="3">
        <v>140000</v>
      </c>
      <c r="I12" s="10">
        <f>Tabla1[[#This Row],[VALOR VIAJE]]-15000</f>
        <v>125000</v>
      </c>
    </row>
    <row r="13" spans="1:12" x14ac:dyDescent="0.25">
      <c r="A13">
        <v>12</v>
      </c>
      <c r="B13" s="9" t="s">
        <v>24</v>
      </c>
      <c r="C13" s="1" t="s">
        <v>9</v>
      </c>
      <c r="D13" s="2">
        <v>1073630553</v>
      </c>
      <c r="G13" s="1" t="s">
        <v>8</v>
      </c>
      <c r="H13" s="3">
        <v>80000</v>
      </c>
      <c r="I13" s="10">
        <f>Tabla1[[#This Row],[VALOR VIAJE]]</f>
        <v>80000</v>
      </c>
    </row>
    <row r="14" spans="1:12" x14ac:dyDescent="0.25">
      <c r="A14">
        <v>13</v>
      </c>
      <c r="B14" t="s">
        <v>26</v>
      </c>
      <c r="C14" s="1" t="s">
        <v>7</v>
      </c>
      <c r="D14" s="2">
        <v>11451789</v>
      </c>
      <c r="E14" s="4">
        <v>30479</v>
      </c>
      <c r="G14" s="1" t="s">
        <v>27</v>
      </c>
      <c r="H14" s="3">
        <v>140000</v>
      </c>
      <c r="I14" s="10">
        <f>Tabla1[[#This Row],[VALOR VIAJE]]-15000</f>
        <v>125000</v>
      </c>
    </row>
    <row r="15" spans="1:12" x14ac:dyDescent="0.25">
      <c r="A15">
        <v>14</v>
      </c>
      <c r="B15" t="s">
        <v>41</v>
      </c>
      <c r="C15" s="1" t="s">
        <v>9</v>
      </c>
      <c r="D15" s="2">
        <v>1073630870</v>
      </c>
      <c r="E15" s="4"/>
      <c r="G15" s="1" t="s">
        <v>27</v>
      </c>
      <c r="H15" s="3">
        <v>15000</v>
      </c>
      <c r="I15" s="10">
        <f>Tabla1[[#This Row],[VALOR VIAJE]]</f>
        <v>15000</v>
      </c>
    </row>
    <row r="16" spans="1:12" x14ac:dyDescent="0.25">
      <c r="A16">
        <v>15</v>
      </c>
      <c r="B16" t="s">
        <v>42</v>
      </c>
      <c r="C16" s="1" t="s">
        <v>7</v>
      </c>
      <c r="D16" s="2">
        <v>1073630134</v>
      </c>
      <c r="E16" s="4"/>
      <c r="G16" s="1" t="s">
        <v>27</v>
      </c>
      <c r="H16" s="3">
        <v>140000</v>
      </c>
      <c r="I16" s="10">
        <f>Tabla1[[#This Row],[VALOR VIAJE]]-15000</f>
        <v>125000</v>
      </c>
    </row>
    <row r="17" spans="1:9" x14ac:dyDescent="0.25">
      <c r="A17">
        <v>16</v>
      </c>
      <c r="B17" s="5" t="s">
        <v>28</v>
      </c>
      <c r="C17" s="6" t="s">
        <v>7</v>
      </c>
      <c r="D17" s="7">
        <v>79656808</v>
      </c>
      <c r="G17" s="1" t="s">
        <v>30</v>
      </c>
      <c r="H17" s="1">
        <v>0</v>
      </c>
      <c r="I17" s="10">
        <v>0</v>
      </c>
    </row>
    <row r="18" spans="1:9" x14ac:dyDescent="0.25">
      <c r="A18">
        <v>17</v>
      </c>
      <c r="B18" t="s">
        <v>29</v>
      </c>
      <c r="C18" s="1" t="s">
        <v>7</v>
      </c>
      <c r="D18" s="8">
        <v>79538678</v>
      </c>
      <c r="H18" s="1">
        <v>0</v>
      </c>
      <c r="I18" s="10">
        <v>0</v>
      </c>
    </row>
    <row r="19" spans="1:9" x14ac:dyDescent="0.25">
      <c r="A19">
        <v>18</v>
      </c>
      <c r="B19" t="s">
        <v>31</v>
      </c>
      <c r="C19" s="1" t="s">
        <v>7</v>
      </c>
      <c r="D19" s="2">
        <v>21016823</v>
      </c>
      <c r="G19" s="1" t="s">
        <v>32</v>
      </c>
      <c r="H19" s="3">
        <v>140000</v>
      </c>
      <c r="I19" s="10">
        <f>Tabla1[[#This Row],[VALOR VIAJE]]-15000</f>
        <v>125000</v>
      </c>
    </row>
    <row r="20" spans="1:9" x14ac:dyDescent="0.25">
      <c r="A20">
        <v>19</v>
      </c>
      <c r="B20" t="s">
        <v>33</v>
      </c>
      <c r="C20" s="1" t="s">
        <v>23</v>
      </c>
      <c r="D20" s="2">
        <v>10706133331</v>
      </c>
      <c r="G20" s="1" t="s">
        <v>32</v>
      </c>
      <c r="H20" s="3">
        <v>140000</v>
      </c>
      <c r="I20" s="10">
        <f>Tabla1[[#This Row],[VALOR VIAJE]]-15000</f>
        <v>125000</v>
      </c>
    </row>
    <row r="21" spans="1:9" x14ac:dyDescent="0.25">
      <c r="A21">
        <v>20</v>
      </c>
      <c r="B21" t="s">
        <v>34</v>
      </c>
      <c r="C21" s="1" t="s">
        <v>7</v>
      </c>
      <c r="D21" s="2">
        <v>1075627062</v>
      </c>
      <c r="E21" s="4">
        <v>33627</v>
      </c>
      <c r="F21" s="1">
        <v>3115770075</v>
      </c>
      <c r="G21" s="1" t="s">
        <v>32</v>
      </c>
      <c r="H21" s="3">
        <v>140000</v>
      </c>
      <c r="I21" s="10">
        <f>Tabla1[[#This Row],[VALOR VIAJE]]-15000</f>
        <v>125000</v>
      </c>
    </row>
    <row r="22" spans="1:9" x14ac:dyDescent="0.25">
      <c r="A22">
        <v>21</v>
      </c>
      <c r="B22" t="s">
        <v>35</v>
      </c>
      <c r="C22" s="1" t="s">
        <v>7</v>
      </c>
      <c r="D22" s="2">
        <v>1075627540</v>
      </c>
      <c r="E22" s="4">
        <v>34024</v>
      </c>
      <c r="F22" s="1" t="s">
        <v>36</v>
      </c>
      <c r="G22" s="1" t="s">
        <v>32</v>
      </c>
      <c r="H22" s="3">
        <v>140000</v>
      </c>
      <c r="I22" s="10">
        <f>Tabla1[[#This Row],[VALOR VIAJE]]-15000</f>
        <v>125000</v>
      </c>
    </row>
    <row r="23" spans="1:9" x14ac:dyDescent="0.25">
      <c r="A23">
        <v>22</v>
      </c>
      <c r="B23" t="s">
        <v>43</v>
      </c>
      <c r="C23" s="1" t="s">
        <v>9</v>
      </c>
      <c r="D23" s="2">
        <v>1073630863</v>
      </c>
      <c r="E23" s="4"/>
      <c r="G23" s="1">
        <v>0</v>
      </c>
      <c r="H23" s="3">
        <v>10000</v>
      </c>
      <c r="I23" s="10">
        <f>Tabla1[[#This Row],[VALOR VIAJE]]</f>
        <v>10000</v>
      </c>
    </row>
    <row r="24" spans="1:9" x14ac:dyDescent="0.25">
      <c r="A24">
        <v>23</v>
      </c>
      <c r="B24" t="s">
        <v>37</v>
      </c>
      <c r="C24" s="1" t="s">
        <v>9</v>
      </c>
      <c r="D24" s="2">
        <v>1075630710</v>
      </c>
      <c r="E24" s="4">
        <v>44184</v>
      </c>
      <c r="F24" s="1" t="s">
        <v>36</v>
      </c>
      <c r="G24" s="1" t="s">
        <v>32</v>
      </c>
      <c r="H24" s="3">
        <v>10000</v>
      </c>
      <c r="I24" s="10">
        <f>Tabla1[[#This Row],[VALOR VIAJE]]</f>
        <v>10000</v>
      </c>
    </row>
    <row r="25" spans="1:9" x14ac:dyDescent="0.25">
      <c r="D25" s="2"/>
      <c r="H25" s="1"/>
      <c r="I25" s="20">
        <f>SUBTOTAL(109,Tabla1[TOTAL])</f>
        <v>2240000</v>
      </c>
    </row>
  </sheetData>
  <mergeCells count="1">
    <mergeCell ref="K2:L2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Duarte Molina</dc:creator>
  <cp:lastModifiedBy>Luis Alberto Duarte Molina</cp:lastModifiedBy>
  <dcterms:created xsi:type="dcterms:W3CDTF">2023-10-18T14:00:15Z</dcterms:created>
  <dcterms:modified xsi:type="dcterms:W3CDTF">2023-10-24T17:22:16Z</dcterms:modified>
</cp:coreProperties>
</file>