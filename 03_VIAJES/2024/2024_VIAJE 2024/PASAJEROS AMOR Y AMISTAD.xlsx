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Amor y Amistad\FINCA EL PALMAR\VIAJE 2024\"/>
    </mc:Choice>
  </mc:AlternateContent>
  <xr:revisionPtr revIDLastSave="0" documentId="13_ncr:1_{619D919E-F600-4692-80EE-E7E3D537E205}" xr6:coauthVersionLast="47" xr6:coauthVersionMax="47" xr10:uidLastSave="{00000000-0000-0000-0000-000000000000}"/>
  <bookViews>
    <workbookView xWindow="-120" yWindow="-120" windowWidth="20730" windowHeight="11160" xr2:uid="{A642862E-A81F-48BD-9C05-0D8766496D1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1" l="1"/>
  <c r="R33" i="1"/>
  <c r="R32" i="1"/>
  <c r="Q32" i="1" s="1"/>
  <c r="R31" i="1"/>
  <c r="Q31" i="1" s="1"/>
  <c r="R30" i="1"/>
  <c r="R26" i="1"/>
  <c r="R25" i="1"/>
  <c r="R24" i="1"/>
  <c r="O37" i="1"/>
  <c r="N37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3" i="1"/>
  <c r="O34" i="1"/>
  <c r="O35" i="1"/>
  <c r="O36" i="1"/>
  <c r="Q7" i="1"/>
  <c r="Q6" i="1"/>
  <c r="Q5" i="1"/>
  <c r="D42" i="1"/>
  <c r="D41" i="1"/>
  <c r="Q30" i="1" l="1"/>
  <c r="Q34" i="1" s="1"/>
  <c r="R34" i="1"/>
  <c r="R14" i="1"/>
  <c r="R13" i="1"/>
  <c r="R12" i="1"/>
  <c r="R15" i="1" s="1"/>
  <c r="Q8" i="1"/>
  <c r="Q9" i="1" s="1"/>
</calcChain>
</file>

<file path=xl/sharedStrings.xml><?xml version="1.0" encoding="utf-8"?>
<sst xmlns="http://schemas.openxmlformats.org/spreadsheetml/2006/main" count="368" uniqueCount="81">
  <si>
    <t>#</t>
  </si>
  <si>
    <t>NOMBRE</t>
  </si>
  <si>
    <t>T.D</t>
  </si>
  <si>
    <t># DOCUMENTO</t>
  </si>
  <si>
    <t>FECHA DE NACIMIENTO</t>
  </si>
  <si>
    <t>TELEFONO</t>
  </si>
  <si>
    <t>Alicia Mancera Ramirez</t>
  </si>
  <si>
    <t>cc</t>
  </si>
  <si>
    <t>314 2579877</t>
  </si>
  <si>
    <t>José Vicente Miranda</t>
  </si>
  <si>
    <t>320 263 3401</t>
  </si>
  <si>
    <t>SALIDA</t>
  </si>
  <si>
    <t>COMISIONISTA</t>
  </si>
  <si>
    <t>ABONO</t>
  </si>
  <si>
    <t>APULO</t>
  </si>
  <si>
    <t>LAD</t>
  </si>
  <si>
    <t>Lida Omaira Varón</t>
  </si>
  <si>
    <t>Martha Castillo</t>
  </si>
  <si>
    <t>David Steven Moncada</t>
  </si>
  <si>
    <t>Gladys Torres Berrio</t>
  </si>
  <si>
    <t>Yolanda Hernandez</t>
  </si>
  <si>
    <t>Lili Jasmin Rodríguez</t>
  </si>
  <si>
    <t>ANAPOIMA</t>
  </si>
  <si>
    <t>Ana Lucia Jimenez Rodríguez</t>
  </si>
  <si>
    <t>Daniela Arcos Perez</t>
  </si>
  <si>
    <t>Sergio Antonio Herrera Jimenez</t>
  </si>
  <si>
    <t>Diana Carolina Patiño Jimenez</t>
  </si>
  <si>
    <t>David Romero Melo</t>
  </si>
  <si>
    <t>Mirtha Doris Ramirez</t>
  </si>
  <si>
    <t>""</t>
  </si>
  <si>
    <t>Ana Edith Moreno Silva</t>
  </si>
  <si>
    <t>Francy Romero Sanabria</t>
  </si>
  <si>
    <t>Fernando Benavides</t>
  </si>
  <si>
    <t xml:space="preserve">Maria Eugenia Mape </t>
  </si>
  <si>
    <t>EDITH</t>
  </si>
  <si>
    <t>TOCAIMA</t>
  </si>
  <si>
    <t>MAFE</t>
  </si>
  <si>
    <t>PT</t>
  </si>
  <si>
    <t>Columna1</t>
  </si>
  <si>
    <t>MENÚ</t>
  </si>
  <si>
    <t>SANCOCHO</t>
  </si>
  <si>
    <t>PARRILLADA</t>
  </si>
  <si>
    <t>MOJARRA FRITA</t>
  </si>
  <si>
    <t>Diana Carolina Marin Aguirre</t>
  </si>
  <si>
    <t>320 243 6300</t>
  </si>
  <si>
    <t>PECHUGA</t>
  </si>
  <si>
    <t>María Claudia Aguirre Gutierrez</t>
  </si>
  <si>
    <t>Sandra Milena Romero</t>
  </si>
  <si>
    <t>Emily Lara</t>
  </si>
  <si>
    <t>TI</t>
  </si>
  <si>
    <t>José Gabriel Cabrera</t>
  </si>
  <si>
    <t>Luisa María Fernanda Benavides</t>
  </si>
  <si>
    <t>Luis Alberto Duarte</t>
  </si>
  <si>
    <t>Rosa María Reyes Camacho</t>
  </si>
  <si>
    <t>empresa</t>
  </si>
  <si>
    <t>Flor Sanchez de Contreras</t>
  </si>
  <si>
    <t>CC</t>
  </si>
  <si>
    <t>Consuelo Baquero</t>
  </si>
  <si>
    <t>TOTAL</t>
  </si>
  <si>
    <t>F</t>
  </si>
  <si>
    <t>M</t>
  </si>
  <si>
    <t>Oliva Rubio Laverde</t>
  </si>
  <si>
    <t xml:space="preserve"> </t>
  </si>
  <si>
    <t>Yina Jazmin Ayala</t>
  </si>
  <si>
    <t>Edgar Duarte</t>
  </si>
  <si>
    <t>C.C</t>
  </si>
  <si>
    <t xml:space="preserve">Estella Rincón </t>
  </si>
  <si>
    <t>GIRARDOT</t>
  </si>
  <si>
    <t>VALOR</t>
  </si>
  <si>
    <t>COMISIÓM</t>
  </si>
  <si>
    <t>TRANSPORTE</t>
  </si>
  <si>
    <t>EVENTO</t>
  </si>
  <si>
    <t>REGALOS</t>
  </si>
  <si>
    <t>SEGURO</t>
  </si>
  <si>
    <t>BEBIDAS Y GASTOS DE REPRESENTACIÓN</t>
  </si>
  <si>
    <t>INGRESO</t>
  </si>
  <si>
    <t>UTILIDAD</t>
  </si>
  <si>
    <t xml:space="preserve">GASTOS Y COSTOS </t>
  </si>
  <si>
    <t>INGRESO + ALMUERZO</t>
  </si>
  <si>
    <t>EMPRESA</t>
  </si>
  <si>
    <t>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</si>
</sst>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42" fontId="0" fillId="0" borderId="0" xfId="1" applyFont="1"/>
    <xf numFmtId="42" fontId="0" fillId="0" borderId="0" xfId="1" applyFont="1" applyAlignment="1">
      <alignment horizontal="center"/>
    </xf>
    <xf numFmtId="4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0" borderId="5" xfId="0" applyBorder="1" applyAlignment="1">
      <alignment horizontal="left"/>
    </xf>
    <xf numFmtId="42" fontId="0" fillId="0" borderId="3" xfId="1" applyFont="1" applyBorder="1" applyAlignment="1">
      <alignment horizontal="center"/>
    </xf>
    <xf numFmtId="42" fontId="0" fillId="0" borderId="5" xfId="1" applyFont="1" applyBorder="1" applyAlignment="1">
      <alignment horizontal="center"/>
    </xf>
    <xf numFmtId="42" fontId="0" fillId="0" borderId="6" xfId="1" applyFont="1" applyBorder="1" applyAlignment="1">
      <alignment horizontal="center"/>
    </xf>
    <xf numFmtId="42" fontId="0" fillId="0" borderId="7" xfId="1" applyFont="1" applyBorder="1" applyAlignment="1">
      <alignment horizontal="center"/>
    </xf>
    <xf numFmtId="42" fontId="0" fillId="0" borderId="4" xfId="1" applyFont="1" applyBorder="1" applyAlignment="1">
      <alignment horizontal="center"/>
    </xf>
    <xf numFmtId="42" fontId="0" fillId="0" borderId="3" xfId="1" applyFont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9" borderId="7" xfId="0" applyFill="1" applyBorder="1" applyAlignment="1">
      <alignment horizontal="left"/>
    </xf>
    <xf numFmtId="0" fontId="0" fillId="0" borderId="3" xfId="0" applyBorder="1" applyAlignment="1">
      <alignment horizontal="center"/>
    </xf>
    <xf numFmtId="42" fontId="2" fillId="0" borderId="0" xfId="0" applyNumberFormat="1" applyFont="1" applyAlignment="1">
      <alignment horizontal="center"/>
    </xf>
  </cellXfs>
  <cellStyles count="2">
    <cellStyle name="Moneda [0]" xfId="1" builtinId="7"/>
    <cellStyle name="Normal" xfId="0" builtinId="0"/>
  </cellStyles>
  <dxfs count="25"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BE8E3-02E3-4E8E-9567-B821F2B7DFF5}" name="Tabla1" displayName="Tabla1" ref="C4:O37" totalsRowCount="1" headerRowDxfId="24" dataDxfId="23">
  <autoFilter ref="C4:O36" xr:uid="{EBABE8E3-02E3-4E8E-9567-B821F2B7DFF5}"/>
  <tableColumns count="13">
    <tableColumn id="1" xr3:uid="{6E32E9DB-DD96-4257-A9DF-94176AF69610}" name="#"/>
    <tableColumn id="2" xr3:uid="{EFD7984B-E6B6-45D9-98B2-2128F856A0B1}" name="NOMBRE"/>
    <tableColumn id="3" xr3:uid="{350E2C7F-25C6-4CA6-BFEC-1D232D1AD7B6}" name="T.D" dataDxfId="22" totalsRowDxfId="9"/>
    <tableColumn id="4" xr3:uid="{91A7C1B5-F943-4351-BF09-BD6284344AFA}" name="# DOCUMENTO" dataDxfId="21" totalsRowDxfId="8"/>
    <tableColumn id="11" xr3:uid="{3F707053-8A62-4616-868D-FBBECD0C815A}" name="Columna1" dataDxfId="20" totalsRowDxfId="7"/>
    <tableColumn id="5" xr3:uid="{2489E761-5FA4-46E9-B5B0-29D739207940}" name="FECHA DE NACIMIENTO" dataDxfId="19" totalsRowDxfId="6"/>
    <tableColumn id="6" xr3:uid="{FA7CBF28-A786-4DF0-B17C-69495BA3F947}" name="TELEFONO" dataDxfId="18" totalsRowDxfId="5"/>
    <tableColumn id="10" xr3:uid="{FB0B25A6-7485-4AAD-BEA1-AF2573CE0B1C}" name="MENÚ" dataDxfId="17" totalsRowDxfId="4"/>
    <tableColumn id="7" xr3:uid="{A9269864-8C0C-495F-8E58-E7739518C7A3}" name="SALIDA" dataDxfId="16" totalsRowDxfId="3"/>
    <tableColumn id="8" xr3:uid="{FD46B166-E0B9-4E7C-A2AD-DA89CFBA95F1}" name="COMISIONISTA" dataDxfId="15" totalsRowDxfId="2"/>
    <tableColumn id="9" xr3:uid="{F76AA4F4-E935-415F-9A23-6848D9C8617D}" name="ABONO"/>
    <tableColumn id="12" xr3:uid="{9074FE05-D5FC-4F48-BE89-AD95F5C28FD6}" name="VALOR" totalsRowFunction="sum" dataDxfId="14" totalsRowDxfId="1" dataCellStyle="Moneda [0]" totalsRowCellStyle="Moneda [0]"/>
    <tableColumn id="13" xr3:uid="{F5B145D0-1508-4FFD-8AC0-3D22B2F2AAD4}" name="COMISIÓM" totalsRowFunction="sum" dataDxfId="13" totalsRowDxfId="0">
      <calculatedColumnFormula>Tabla1[[#This Row],[VALOR]]-15000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1A6C-39EC-4EE9-8C95-BF8CEBFADBFC}">
  <dimension ref="C4:S42"/>
  <sheetViews>
    <sheetView tabSelected="1" topLeftCell="I22" workbookViewId="0">
      <selection activeCell="S37" sqref="S37"/>
    </sheetView>
  </sheetViews>
  <sheetFormatPr baseColWidth="10" defaultRowHeight="15" x14ac:dyDescent="0.25"/>
  <cols>
    <col min="3" max="3" width="4.140625" customWidth="1"/>
    <col min="4" max="4" width="29.42578125" bestFit="1" customWidth="1"/>
    <col min="5" max="5" width="11.42578125" style="1"/>
    <col min="6" max="7" width="16.5703125" style="1" customWidth="1"/>
    <col min="8" max="8" width="23.7109375" style="1" customWidth="1"/>
    <col min="9" max="9" width="12.28515625" style="1" customWidth="1"/>
    <col min="10" max="10" width="15.140625" style="1" bestFit="1" customWidth="1"/>
    <col min="12" max="12" width="16.42578125" customWidth="1"/>
    <col min="14" max="14" width="13" style="22" bestFit="1" customWidth="1"/>
    <col min="15" max="15" width="15.42578125" bestFit="1" customWidth="1"/>
    <col min="17" max="17" width="36.85546875" style="25" bestFit="1" customWidth="1"/>
    <col min="18" max="18" width="15.140625" style="23" bestFit="1" customWidth="1"/>
  </cols>
  <sheetData>
    <row r="4" spans="3:18" x14ac:dyDescent="0.25">
      <c r="C4" t="s">
        <v>0</v>
      </c>
      <c r="D4" t="s">
        <v>1</v>
      </c>
      <c r="E4" s="1" t="s">
        <v>2</v>
      </c>
      <c r="F4" s="1" t="s">
        <v>3</v>
      </c>
      <c r="G4" s="1" t="s">
        <v>38</v>
      </c>
      <c r="H4" s="1" t="s">
        <v>4</v>
      </c>
      <c r="I4" s="1" t="s">
        <v>5</v>
      </c>
      <c r="J4" s="1" t="s">
        <v>39</v>
      </c>
      <c r="K4" s="1" t="s">
        <v>11</v>
      </c>
      <c r="L4" s="1" t="s">
        <v>12</v>
      </c>
      <c r="M4" s="1" t="s">
        <v>13</v>
      </c>
      <c r="N4" s="23" t="s">
        <v>68</v>
      </c>
      <c r="O4" s="1" t="s">
        <v>69</v>
      </c>
      <c r="P4" s="1"/>
    </row>
    <row r="5" spans="3:18" x14ac:dyDescent="0.25">
      <c r="C5">
        <v>1</v>
      </c>
      <c r="D5" t="s">
        <v>6</v>
      </c>
      <c r="E5" s="1" t="s">
        <v>7</v>
      </c>
      <c r="F5" s="1">
        <v>41600310</v>
      </c>
      <c r="G5" s="1" t="s">
        <v>59</v>
      </c>
      <c r="H5" s="2">
        <v>19148</v>
      </c>
      <c r="I5" s="1" t="s">
        <v>8</v>
      </c>
      <c r="J5" s="1" t="s">
        <v>42</v>
      </c>
      <c r="K5" s="1" t="s">
        <v>14</v>
      </c>
      <c r="L5" s="1" t="s">
        <v>15</v>
      </c>
      <c r="M5" t="s">
        <v>37</v>
      </c>
      <c r="N5" s="23">
        <v>175000</v>
      </c>
      <c r="O5" s="24">
        <f>Tabla1[[#This Row],[VALOR]]-15000</f>
        <v>160000</v>
      </c>
      <c r="P5" s="1"/>
      <c r="Q5" s="26">
        <f>COUNTIF(J:J,"MOJARRA FRITA")</f>
        <v>9</v>
      </c>
      <c r="R5" s="31" t="s">
        <v>42</v>
      </c>
    </row>
    <row r="6" spans="3:18" x14ac:dyDescent="0.25">
      <c r="C6">
        <v>2</v>
      </c>
      <c r="D6" t="s">
        <v>9</v>
      </c>
      <c r="E6" s="1" t="s">
        <v>7</v>
      </c>
      <c r="F6" s="1">
        <v>14248202</v>
      </c>
      <c r="G6" s="1" t="s">
        <v>60</v>
      </c>
      <c r="H6" s="2">
        <v>21788</v>
      </c>
      <c r="I6" s="1" t="s">
        <v>10</v>
      </c>
      <c r="J6" s="1" t="s">
        <v>41</v>
      </c>
      <c r="K6" s="1" t="s">
        <v>14</v>
      </c>
      <c r="L6" s="1" t="s">
        <v>15</v>
      </c>
      <c r="M6" t="s">
        <v>37</v>
      </c>
      <c r="N6" s="23">
        <v>175000</v>
      </c>
      <c r="O6" s="24">
        <f>Tabla1[[#This Row],[VALOR]]-15000</f>
        <v>160000</v>
      </c>
      <c r="P6" s="1"/>
      <c r="Q6" s="26">
        <f>COUNTIF(J:J,"PARRILLADA")</f>
        <v>14</v>
      </c>
      <c r="R6" s="31" t="s">
        <v>41</v>
      </c>
    </row>
    <row r="7" spans="3:18" x14ac:dyDescent="0.25">
      <c r="C7">
        <v>3</v>
      </c>
      <c r="D7" t="s">
        <v>16</v>
      </c>
      <c r="E7" s="1" t="s">
        <v>7</v>
      </c>
      <c r="F7" s="1">
        <v>38259709</v>
      </c>
      <c r="G7" s="1" t="s">
        <v>59</v>
      </c>
      <c r="H7" s="2"/>
      <c r="J7" s="1" t="s">
        <v>41</v>
      </c>
      <c r="K7" s="1" t="s">
        <v>14</v>
      </c>
      <c r="L7" s="1" t="s">
        <v>34</v>
      </c>
      <c r="M7" t="s">
        <v>37</v>
      </c>
      <c r="N7" s="23">
        <v>175000</v>
      </c>
      <c r="O7" s="24">
        <f>Tabla1[[#This Row],[VALOR]]-15000</f>
        <v>160000</v>
      </c>
      <c r="P7" s="1"/>
      <c r="Q7" s="26">
        <f>COUNTIF(J:J,"SANCOCHO")</f>
        <v>7</v>
      </c>
      <c r="R7" s="31" t="s">
        <v>40</v>
      </c>
    </row>
    <row r="8" spans="3:18" x14ac:dyDescent="0.25">
      <c r="C8">
        <v>4</v>
      </c>
      <c r="D8" t="s">
        <v>17</v>
      </c>
      <c r="E8" s="1" t="s">
        <v>7</v>
      </c>
      <c r="F8" s="1">
        <v>20871515</v>
      </c>
      <c r="G8" s="1" t="s">
        <v>59</v>
      </c>
      <c r="H8" s="2"/>
      <c r="J8" s="1" t="s">
        <v>40</v>
      </c>
      <c r="K8" s="1" t="s">
        <v>14</v>
      </c>
      <c r="L8" s="1" t="s">
        <v>34</v>
      </c>
      <c r="M8" t="s">
        <v>37</v>
      </c>
      <c r="N8" s="23">
        <v>175000</v>
      </c>
      <c r="O8" s="24">
        <f>Tabla1[[#This Row],[VALOR]]-15000</f>
        <v>160000</v>
      </c>
      <c r="P8" s="1"/>
      <c r="Q8" s="26">
        <f>COUNTIF(J:J,"PECHUGA")</f>
        <v>1</v>
      </c>
      <c r="R8" s="31" t="s">
        <v>45</v>
      </c>
    </row>
    <row r="9" spans="3:18" x14ac:dyDescent="0.25">
      <c r="C9">
        <v>5</v>
      </c>
      <c r="D9" t="s">
        <v>18</v>
      </c>
      <c r="E9" s="1" t="s">
        <v>7</v>
      </c>
      <c r="F9" s="1">
        <v>1193554562</v>
      </c>
      <c r="G9" s="1" t="s">
        <v>60</v>
      </c>
      <c r="H9" s="2"/>
      <c r="J9" s="1" t="s">
        <v>41</v>
      </c>
      <c r="K9" s="1" t="s">
        <v>14</v>
      </c>
      <c r="L9" s="1" t="s">
        <v>34</v>
      </c>
      <c r="M9" t="s">
        <v>37</v>
      </c>
      <c r="N9" s="23">
        <v>175000</v>
      </c>
      <c r="O9" s="24">
        <f>Tabla1[[#This Row],[VALOR]]-15000</f>
        <v>160000</v>
      </c>
      <c r="P9" s="1"/>
      <c r="Q9" s="26">
        <f>SUM(Q5:Q8)</f>
        <v>31</v>
      </c>
      <c r="R9" s="31" t="s">
        <v>58</v>
      </c>
    </row>
    <row r="10" spans="3:18" x14ac:dyDescent="0.25">
      <c r="C10">
        <v>6</v>
      </c>
      <c r="D10" t="s">
        <v>19</v>
      </c>
      <c r="E10" s="1" t="s">
        <v>7</v>
      </c>
      <c r="F10" s="1">
        <v>20870792</v>
      </c>
      <c r="G10" s="1" t="s">
        <v>59</v>
      </c>
      <c r="H10" s="2"/>
      <c r="J10" s="1" t="s">
        <v>40</v>
      </c>
      <c r="K10" s="1" t="s">
        <v>14</v>
      </c>
      <c r="L10" s="1" t="s">
        <v>34</v>
      </c>
      <c r="M10" t="s">
        <v>37</v>
      </c>
      <c r="N10" s="23">
        <v>175000</v>
      </c>
      <c r="O10" s="24">
        <f>Tabla1[[#This Row],[VALOR]]-15000</f>
        <v>160000</v>
      </c>
      <c r="P10" s="1"/>
    </row>
    <row r="11" spans="3:18" x14ac:dyDescent="0.25">
      <c r="C11">
        <v>7</v>
      </c>
      <c r="D11" t="s">
        <v>61</v>
      </c>
      <c r="E11" s="1" t="s">
        <v>7</v>
      </c>
      <c r="F11" s="1">
        <v>51555030</v>
      </c>
      <c r="H11" s="2"/>
      <c r="K11" s="1" t="s">
        <v>14</v>
      </c>
      <c r="L11" s="1" t="s">
        <v>34</v>
      </c>
      <c r="M11" t="s">
        <v>37</v>
      </c>
      <c r="N11" s="23">
        <v>175000</v>
      </c>
      <c r="O11" s="24">
        <f>Tabla1[[#This Row],[VALOR]]-15000</f>
        <v>160000</v>
      </c>
      <c r="P11" s="1"/>
    </row>
    <row r="12" spans="3:18" x14ac:dyDescent="0.25">
      <c r="C12">
        <v>8</v>
      </c>
      <c r="D12" t="s">
        <v>20</v>
      </c>
      <c r="E12" s="1" t="s">
        <v>7</v>
      </c>
      <c r="F12" s="3">
        <v>35466163</v>
      </c>
      <c r="G12" s="3" t="s">
        <v>59</v>
      </c>
      <c r="H12" s="2"/>
      <c r="J12" s="1" t="s">
        <v>41</v>
      </c>
      <c r="K12" s="1" t="s">
        <v>22</v>
      </c>
      <c r="L12" s="1" t="s">
        <v>15</v>
      </c>
      <c r="N12" s="23">
        <v>175000</v>
      </c>
      <c r="O12" s="24">
        <f>Tabla1[[#This Row],[VALOR]]-15000</f>
        <v>160000</v>
      </c>
      <c r="P12" s="1"/>
      <c r="Q12" s="27" t="s">
        <v>14</v>
      </c>
      <c r="R12" s="31">
        <f>COUNTIF(K:K,"APULO")</f>
        <v>21</v>
      </c>
    </row>
    <row r="13" spans="3:18" x14ac:dyDescent="0.25">
      <c r="C13">
        <v>9</v>
      </c>
      <c r="D13" t="s">
        <v>21</v>
      </c>
      <c r="E13" s="1" t="s">
        <v>7</v>
      </c>
      <c r="F13" s="3">
        <v>20358840</v>
      </c>
      <c r="G13" s="3" t="s">
        <v>59</v>
      </c>
      <c r="H13" s="2"/>
      <c r="J13" s="1" t="s">
        <v>41</v>
      </c>
      <c r="K13" s="1" t="s">
        <v>22</v>
      </c>
      <c r="L13" s="1" t="s">
        <v>15</v>
      </c>
      <c r="N13" s="23">
        <v>175000</v>
      </c>
      <c r="O13" s="24">
        <f>Tabla1[[#This Row],[VALOR]]-15000</f>
        <v>160000</v>
      </c>
      <c r="P13" s="1"/>
      <c r="Q13" s="28" t="s">
        <v>22</v>
      </c>
      <c r="R13" s="31">
        <f>COUNTIF(K:K,"ANAPOIMA")</f>
        <v>2</v>
      </c>
    </row>
    <row r="14" spans="3:18" x14ac:dyDescent="0.25">
      <c r="C14">
        <v>10</v>
      </c>
      <c r="D14" t="s">
        <v>23</v>
      </c>
      <c r="E14" s="1" t="s">
        <v>7</v>
      </c>
      <c r="F14" s="1">
        <v>21013782</v>
      </c>
      <c r="G14" s="1" t="s">
        <v>59</v>
      </c>
      <c r="H14" s="2"/>
      <c r="J14" s="1" t="s">
        <v>41</v>
      </c>
      <c r="K14" s="1" t="s">
        <v>14</v>
      </c>
      <c r="L14" s="1" t="s">
        <v>34</v>
      </c>
      <c r="M14" s="4">
        <v>250000</v>
      </c>
      <c r="N14" s="23">
        <v>175000</v>
      </c>
      <c r="O14" s="24">
        <f>Tabla1[[#This Row],[VALOR]]-15000</f>
        <v>160000</v>
      </c>
      <c r="P14" s="1"/>
      <c r="Q14" s="29" t="s">
        <v>35</v>
      </c>
      <c r="R14" s="31">
        <f>COUNTIF(K:K,"TOCAIMA")</f>
        <v>8</v>
      </c>
    </row>
    <row r="15" spans="3:18" x14ac:dyDescent="0.25">
      <c r="C15">
        <v>11</v>
      </c>
      <c r="D15" t="s">
        <v>24</v>
      </c>
      <c r="E15" s="1" t="s">
        <v>7</v>
      </c>
      <c r="F15" s="1">
        <v>1000459494</v>
      </c>
      <c r="G15" s="1" t="s">
        <v>59</v>
      </c>
      <c r="H15" s="2"/>
      <c r="J15" s="1" t="s">
        <v>41</v>
      </c>
      <c r="K15" s="1" t="s">
        <v>14</v>
      </c>
      <c r="L15" s="1" t="s">
        <v>34</v>
      </c>
      <c r="M15" t="s">
        <v>29</v>
      </c>
      <c r="N15" s="23">
        <v>175000</v>
      </c>
      <c r="O15" s="24">
        <f>Tabla1[[#This Row],[VALOR]]-15000</f>
        <v>160000</v>
      </c>
      <c r="P15" s="1"/>
      <c r="Q15" s="26" t="s">
        <v>58</v>
      </c>
      <c r="R15" s="31">
        <f>SUM(R12:R14)</f>
        <v>31</v>
      </c>
    </row>
    <row r="16" spans="3:18" x14ac:dyDescent="0.25">
      <c r="C16">
        <v>12</v>
      </c>
      <c r="D16" t="s">
        <v>25</v>
      </c>
      <c r="E16" s="1" t="s">
        <v>7</v>
      </c>
      <c r="F16" s="1">
        <v>1073628525</v>
      </c>
      <c r="G16" s="1" t="s">
        <v>60</v>
      </c>
      <c r="H16" s="2"/>
      <c r="J16" s="1" t="s">
        <v>41</v>
      </c>
      <c r="K16" s="1" t="s">
        <v>14</v>
      </c>
      <c r="L16" s="1" t="s">
        <v>34</v>
      </c>
      <c r="M16" t="s">
        <v>29</v>
      </c>
      <c r="N16" s="23">
        <v>175000</v>
      </c>
      <c r="O16" s="24">
        <f>Tabla1[[#This Row],[VALOR]]-15000</f>
        <v>160000</v>
      </c>
      <c r="P16" s="1"/>
    </row>
    <row r="17" spans="3:19" x14ac:dyDescent="0.25">
      <c r="C17">
        <v>13</v>
      </c>
      <c r="D17" t="s">
        <v>26</v>
      </c>
      <c r="E17" s="1" t="s">
        <v>7</v>
      </c>
      <c r="F17" s="1">
        <v>20872220</v>
      </c>
      <c r="G17" s="1" t="s">
        <v>59</v>
      </c>
      <c r="H17" s="2"/>
      <c r="J17" s="1" t="s">
        <v>41</v>
      </c>
      <c r="K17" s="1" t="s">
        <v>14</v>
      </c>
      <c r="L17" s="1" t="s">
        <v>34</v>
      </c>
      <c r="M17" t="s">
        <v>29</v>
      </c>
      <c r="N17" s="23">
        <v>175000</v>
      </c>
      <c r="O17" s="24">
        <f>Tabla1[[#This Row],[VALOR]]-15000</f>
        <v>160000</v>
      </c>
      <c r="P17" s="1"/>
      <c r="Q17" s="40" t="s">
        <v>77</v>
      </c>
      <c r="R17" s="40"/>
    </row>
    <row r="18" spans="3:19" x14ac:dyDescent="0.25">
      <c r="C18">
        <v>14</v>
      </c>
      <c r="D18" t="s">
        <v>27</v>
      </c>
      <c r="E18" s="1" t="s">
        <v>7</v>
      </c>
      <c r="F18" s="1">
        <v>1073629207</v>
      </c>
      <c r="G18" s="1" t="s">
        <v>60</v>
      </c>
      <c r="H18" s="2"/>
      <c r="J18" s="1" t="s">
        <v>41</v>
      </c>
      <c r="K18" s="1" t="s">
        <v>14</v>
      </c>
      <c r="L18" s="1" t="s">
        <v>34</v>
      </c>
      <c r="M18" t="s">
        <v>29</v>
      </c>
      <c r="N18" s="23">
        <v>175000</v>
      </c>
      <c r="O18" s="24">
        <f>Tabla1[[#This Row],[VALOR]]-15000</f>
        <v>160000</v>
      </c>
      <c r="P18" s="1"/>
      <c r="Q18" s="26" t="s">
        <v>70</v>
      </c>
      <c r="R18" s="31">
        <v>1800000</v>
      </c>
    </row>
    <row r="19" spans="3:19" x14ac:dyDescent="0.25">
      <c r="C19">
        <v>15</v>
      </c>
      <c r="D19" t="s">
        <v>57</v>
      </c>
      <c r="E19" s="1" t="s">
        <v>7</v>
      </c>
      <c r="F19" s="1">
        <v>29617454</v>
      </c>
      <c r="G19" s="1" t="s">
        <v>59</v>
      </c>
      <c r="H19" s="2"/>
      <c r="J19" s="1" t="s">
        <v>40</v>
      </c>
      <c r="K19" s="1" t="s">
        <v>35</v>
      </c>
      <c r="L19" s="1" t="s">
        <v>36</v>
      </c>
      <c r="N19" s="23">
        <v>175000</v>
      </c>
      <c r="O19" s="24">
        <f>Tabla1[[#This Row],[VALOR]]-15000</f>
        <v>160000</v>
      </c>
      <c r="P19" s="1"/>
      <c r="Q19" s="26" t="s">
        <v>71</v>
      </c>
      <c r="R19" s="31">
        <v>400000</v>
      </c>
    </row>
    <row r="20" spans="3:19" x14ac:dyDescent="0.25">
      <c r="C20">
        <v>16</v>
      </c>
      <c r="D20" t="s">
        <v>28</v>
      </c>
      <c r="E20" s="1" t="s">
        <v>7</v>
      </c>
      <c r="F20" s="1">
        <v>21013289</v>
      </c>
      <c r="G20" s="1" t="s">
        <v>59</v>
      </c>
      <c r="H20" s="2"/>
      <c r="J20" s="1" t="s">
        <v>40</v>
      </c>
      <c r="K20" s="1" t="s">
        <v>35</v>
      </c>
      <c r="L20" s="1" t="s">
        <v>36</v>
      </c>
      <c r="N20" s="23">
        <v>175000</v>
      </c>
      <c r="O20" s="24">
        <f>Tabla1[[#This Row],[VALOR]]-15000</f>
        <v>160000</v>
      </c>
      <c r="P20" s="1"/>
      <c r="Q20" s="26" t="s">
        <v>72</v>
      </c>
      <c r="R20" s="31">
        <v>70000</v>
      </c>
    </row>
    <row r="21" spans="3:19" x14ac:dyDescent="0.25">
      <c r="C21">
        <v>17</v>
      </c>
      <c r="D21" t="s">
        <v>55</v>
      </c>
      <c r="E21" s="1" t="s">
        <v>7</v>
      </c>
      <c r="F21" s="3"/>
      <c r="G21" s="3" t="s">
        <v>59</v>
      </c>
      <c r="H21" s="2"/>
      <c r="J21" s="1" t="s">
        <v>41</v>
      </c>
      <c r="K21" s="1" t="s">
        <v>14</v>
      </c>
      <c r="L21" s="1" t="s">
        <v>34</v>
      </c>
      <c r="N21" s="23">
        <v>175000</v>
      </c>
      <c r="O21" s="24">
        <f>Tabla1[[#This Row],[VALOR]]-15000</f>
        <v>160000</v>
      </c>
      <c r="P21" s="1"/>
      <c r="Q21" s="26" t="s">
        <v>73</v>
      </c>
      <c r="R21" s="31">
        <v>32000</v>
      </c>
    </row>
    <row r="22" spans="3:19" x14ac:dyDescent="0.25">
      <c r="C22">
        <v>18</v>
      </c>
      <c r="D22" t="s">
        <v>30</v>
      </c>
      <c r="E22" s="1" t="s">
        <v>7</v>
      </c>
      <c r="F22" s="1">
        <v>51651341</v>
      </c>
      <c r="G22" s="1" t="s">
        <v>59</v>
      </c>
      <c r="H22" s="2"/>
      <c r="J22" s="1" t="s">
        <v>42</v>
      </c>
      <c r="K22" s="1" t="s">
        <v>14</v>
      </c>
      <c r="L22" s="1" t="s">
        <v>34</v>
      </c>
      <c r="N22" s="23">
        <v>175000</v>
      </c>
      <c r="O22" s="24">
        <f>Tabla1[[#This Row],[VALOR]]-15000</f>
        <v>160000</v>
      </c>
      <c r="P22" s="1"/>
      <c r="Q22" s="26" t="s">
        <v>74</v>
      </c>
      <c r="R22" s="31">
        <v>200000</v>
      </c>
    </row>
    <row r="23" spans="3:19" ht="15.75" thickBot="1" x14ac:dyDescent="0.3">
      <c r="C23">
        <v>19</v>
      </c>
      <c r="D23" t="s">
        <v>31</v>
      </c>
      <c r="E23" s="1" t="s">
        <v>7</v>
      </c>
      <c r="F23" s="3">
        <v>29871590</v>
      </c>
      <c r="G23" s="3" t="s">
        <v>59</v>
      </c>
      <c r="H23" s="2"/>
      <c r="J23" s="1" t="s">
        <v>42</v>
      </c>
      <c r="K23" s="1" t="s">
        <v>14</v>
      </c>
      <c r="L23" s="1" t="s">
        <v>34</v>
      </c>
      <c r="N23" s="23">
        <v>175000</v>
      </c>
      <c r="O23" s="24">
        <f>Tabla1[[#This Row],[VALOR]]-15000</f>
        <v>160000</v>
      </c>
      <c r="P23" s="1"/>
      <c r="Q23" s="30" t="s">
        <v>78</v>
      </c>
      <c r="R23" s="32">
        <v>2259000</v>
      </c>
    </row>
    <row r="24" spans="3:19" ht="15.75" thickBot="1" x14ac:dyDescent="0.3">
      <c r="C24">
        <v>20</v>
      </c>
      <c r="D24" t="s">
        <v>32</v>
      </c>
      <c r="E24" s="1" t="s">
        <v>7</v>
      </c>
      <c r="F24" s="3">
        <v>19379613</v>
      </c>
      <c r="G24" s="3" t="s">
        <v>60</v>
      </c>
      <c r="H24" s="2"/>
      <c r="J24" s="1" t="s">
        <v>42</v>
      </c>
      <c r="K24" s="1" t="s">
        <v>35</v>
      </c>
      <c r="L24" s="1" t="s">
        <v>36</v>
      </c>
      <c r="N24" s="23">
        <v>175000</v>
      </c>
      <c r="O24" s="24">
        <f>Tabla1[[#This Row],[VALOR]]-15000</f>
        <v>160000</v>
      </c>
      <c r="P24" s="1"/>
      <c r="Q24" s="38" t="s">
        <v>58</v>
      </c>
      <c r="R24" s="33">
        <f>SUM(R18:R23)</f>
        <v>4761000</v>
      </c>
    </row>
    <row r="25" spans="3:19" ht="15.75" thickBot="1" x14ac:dyDescent="0.3">
      <c r="C25">
        <v>21</v>
      </c>
      <c r="D25" t="s">
        <v>33</v>
      </c>
      <c r="E25" s="1" t="s">
        <v>56</v>
      </c>
      <c r="F25" s="3">
        <v>21016967</v>
      </c>
      <c r="G25" s="3" t="s">
        <v>59</v>
      </c>
      <c r="H25" s="2"/>
      <c r="J25" s="1" t="s">
        <v>42</v>
      </c>
      <c r="K25" s="1" t="s">
        <v>35</v>
      </c>
      <c r="L25" s="1" t="s">
        <v>36</v>
      </c>
      <c r="N25" s="23">
        <v>175000</v>
      </c>
      <c r="O25" s="24">
        <f>Tabla1[[#This Row],[VALOR]]-15000</f>
        <v>160000</v>
      </c>
      <c r="P25" s="1"/>
      <c r="Q25" s="39" t="s">
        <v>75</v>
      </c>
      <c r="R25" s="34">
        <f>Tabla1[[#Totals],[COMISIÓM]]</f>
        <v>4640000</v>
      </c>
    </row>
    <row r="26" spans="3:19" x14ac:dyDescent="0.25">
      <c r="C26">
        <v>22</v>
      </c>
      <c r="D26" t="s">
        <v>43</v>
      </c>
      <c r="E26" s="1" t="s">
        <v>7</v>
      </c>
      <c r="F26" s="1">
        <v>53097389</v>
      </c>
      <c r="G26" s="1" t="s">
        <v>59</v>
      </c>
      <c r="H26" s="2"/>
      <c r="I26" s="1" t="s">
        <v>44</v>
      </c>
      <c r="J26" s="1" t="s">
        <v>42</v>
      </c>
      <c r="K26" s="1" t="s">
        <v>14</v>
      </c>
      <c r="L26" s="1" t="s">
        <v>15</v>
      </c>
      <c r="N26" s="23">
        <v>175000</v>
      </c>
      <c r="O26" s="24">
        <f>Tabla1[[#This Row],[VALOR]]-15000</f>
        <v>160000</v>
      </c>
      <c r="P26" s="1"/>
      <c r="Q26" s="37" t="s">
        <v>76</v>
      </c>
      <c r="R26" s="35">
        <f>R25-R24</f>
        <v>-121000</v>
      </c>
    </row>
    <row r="27" spans="3:19" x14ac:dyDescent="0.25">
      <c r="C27">
        <v>23</v>
      </c>
      <c r="D27" t="s">
        <v>46</v>
      </c>
      <c r="E27" s="1" t="s">
        <v>7</v>
      </c>
      <c r="F27" s="1">
        <v>20871539</v>
      </c>
      <c r="G27" s="1" t="s">
        <v>59</v>
      </c>
      <c r="H27" s="2"/>
      <c r="J27" s="1" t="s">
        <v>45</v>
      </c>
      <c r="K27" s="1" t="s">
        <v>14</v>
      </c>
      <c r="L27" s="1" t="s">
        <v>15</v>
      </c>
      <c r="N27" s="23">
        <v>175000</v>
      </c>
      <c r="O27" s="24">
        <f>Tabla1[[#This Row],[VALOR]]-15000</f>
        <v>160000</v>
      </c>
      <c r="P27" s="1"/>
    </row>
    <row r="28" spans="3:19" x14ac:dyDescent="0.25">
      <c r="C28">
        <v>24</v>
      </c>
      <c r="D28" t="s">
        <v>47</v>
      </c>
      <c r="E28" s="1" t="s">
        <v>7</v>
      </c>
      <c r="F28" s="1">
        <v>20872056</v>
      </c>
      <c r="G28" s="1" t="s">
        <v>59</v>
      </c>
      <c r="H28" s="2"/>
      <c r="J28" s="1" t="s">
        <v>40</v>
      </c>
      <c r="K28" s="1" t="s">
        <v>14</v>
      </c>
      <c r="L28" s="1" t="s">
        <v>34</v>
      </c>
      <c r="N28" s="23">
        <v>175000</v>
      </c>
      <c r="O28" s="24">
        <f>Tabla1[[#This Row],[VALOR]]-15000</f>
        <v>160000</v>
      </c>
      <c r="P28" s="1"/>
    </row>
    <row r="29" spans="3:19" x14ac:dyDescent="0.25">
      <c r="C29">
        <v>25</v>
      </c>
      <c r="D29" t="s">
        <v>48</v>
      </c>
      <c r="E29" s="1" t="s">
        <v>49</v>
      </c>
      <c r="F29" s="1">
        <v>1073629413</v>
      </c>
      <c r="G29" s="1" t="s">
        <v>59</v>
      </c>
      <c r="H29" s="2"/>
      <c r="J29" s="1" t="s">
        <v>41</v>
      </c>
      <c r="K29" s="1" t="s">
        <v>14</v>
      </c>
      <c r="L29" s="1" t="s">
        <v>34</v>
      </c>
      <c r="N29" s="23">
        <v>175000</v>
      </c>
      <c r="O29" s="24">
        <f>Tabla1[[#This Row],[VALOR]]-15000</f>
        <v>160000</v>
      </c>
      <c r="P29" s="1"/>
      <c r="Q29" s="40" t="s">
        <v>80</v>
      </c>
      <c r="R29" s="40"/>
      <c r="S29" s="40"/>
    </row>
    <row r="30" spans="3:19" x14ac:dyDescent="0.25">
      <c r="C30">
        <v>26</v>
      </c>
      <c r="D30" t="s">
        <v>50</v>
      </c>
      <c r="E30" s="1" t="s">
        <v>7</v>
      </c>
      <c r="F30" s="3">
        <v>79656808</v>
      </c>
      <c r="G30" s="3" t="s">
        <v>60</v>
      </c>
      <c r="H30" s="2"/>
      <c r="J30" s="1" t="s">
        <v>41</v>
      </c>
      <c r="K30" s="1" t="s">
        <v>35</v>
      </c>
      <c r="L30" s="1" t="s">
        <v>54</v>
      </c>
      <c r="N30" s="23">
        <v>0</v>
      </c>
      <c r="O30" s="24">
        <v>0</v>
      </c>
      <c r="P30" s="1"/>
      <c r="Q30" s="36">
        <f>R30*15000</f>
        <v>225000</v>
      </c>
      <c r="R30" s="26">
        <f>COUNTIF(L:L,"EDITH")</f>
        <v>15</v>
      </c>
      <c r="S30" s="31" t="s">
        <v>34</v>
      </c>
    </row>
    <row r="31" spans="3:19" x14ac:dyDescent="0.25">
      <c r="C31">
        <v>27</v>
      </c>
      <c r="D31" t="s">
        <v>51</v>
      </c>
      <c r="E31" s="1" t="s">
        <v>7</v>
      </c>
      <c r="F31" s="3">
        <v>1075628177</v>
      </c>
      <c r="G31" s="3" t="s">
        <v>59</v>
      </c>
      <c r="H31" s="2"/>
      <c r="J31" s="1" t="s">
        <v>40</v>
      </c>
      <c r="K31" s="1" t="s">
        <v>35</v>
      </c>
      <c r="L31" s="1" t="s">
        <v>54</v>
      </c>
      <c r="N31" s="23">
        <v>0</v>
      </c>
      <c r="O31" s="24">
        <v>0</v>
      </c>
      <c r="P31" s="1"/>
      <c r="Q31" s="36">
        <f t="shared" ref="Q31:Q32" si="0">R31*15000</f>
        <v>150000</v>
      </c>
      <c r="R31" s="26">
        <f>COUNTIF(L:L,"LAD")</f>
        <v>10</v>
      </c>
      <c r="S31" s="31" t="s">
        <v>15</v>
      </c>
    </row>
    <row r="32" spans="3:19" x14ac:dyDescent="0.25">
      <c r="C32">
        <v>28</v>
      </c>
      <c r="D32" t="s">
        <v>52</v>
      </c>
      <c r="E32" s="1" t="s">
        <v>7</v>
      </c>
      <c r="F32" s="1">
        <v>79538678</v>
      </c>
      <c r="G32" s="1" t="s">
        <v>60</v>
      </c>
      <c r="H32" s="2"/>
      <c r="J32" s="1" t="s">
        <v>41</v>
      </c>
      <c r="K32" s="1" t="s">
        <v>14</v>
      </c>
      <c r="L32" s="1" t="s">
        <v>54</v>
      </c>
      <c r="N32" s="23">
        <v>0</v>
      </c>
      <c r="O32" s="24">
        <v>0</v>
      </c>
      <c r="P32" s="1"/>
      <c r="Q32" s="36">
        <f t="shared" si="0"/>
        <v>60000</v>
      </c>
      <c r="R32" s="26">
        <f>COUNTIF(L:L,"MAFE")</f>
        <v>4</v>
      </c>
      <c r="S32" s="31" t="s">
        <v>36</v>
      </c>
    </row>
    <row r="33" spans="3:19" x14ac:dyDescent="0.25">
      <c r="C33">
        <v>29</v>
      </c>
      <c r="D33" t="s">
        <v>53</v>
      </c>
      <c r="E33" s="1" t="s">
        <v>7</v>
      </c>
      <c r="F33" s="1">
        <v>20871381</v>
      </c>
      <c r="G33" s="1" t="s">
        <v>59</v>
      </c>
      <c r="H33" s="2"/>
      <c r="J33" s="1" t="s">
        <v>42</v>
      </c>
      <c r="K33" s="1" t="s">
        <v>14</v>
      </c>
      <c r="L33" s="1" t="s">
        <v>15</v>
      </c>
      <c r="N33" s="23">
        <v>175000</v>
      </c>
      <c r="O33" s="24">
        <f>Tabla1[[#This Row],[VALOR]]-15000</f>
        <v>160000</v>
      </c>
      <c r="P33" s="1"/>
      <c r="Q33" s="36">
        <v>0</v>
      </c>
      <c r="R33" s="26">
        <f>COUNTIF(L:L,"empresa")</f>
        <v>3</v>
      </c>
      <c r="S33" s="31" t="s">
        <v>79</v>
      </c>
    </row>
    <row r="34" spans="3:19" x14ac:dyDescent="0.25">
      <c r="C34">
        <v>30</v>
      </c>
      <c r="D34" t="s">
        <v>63</v>
      </c>
      <c r="H34" s="2"/>
      <c r="J34" s="1" t="s">
        <v>42</v>
      </c>
      <c r="K34" s="1" t="s">
        <v>67</v>
      </c>
      <c r="L34" s="1" t="s">
        <v>15</v>
      </c>
      <c r="N34" s="23">
        <v>175000</v>
      </c>
      <c r="O34" s="24">
        <f>Tabla1[[#This Row],[VALOR]]-15000</f>
        <v>160000</v>
      </c>
      <c r="P34" s="1"/>
      <c r="Q34" s="36">
        <f>SUM(Q30:Q33)</f>
        <v>435000</v>
      </c>
      <c r="R34" s="26">
        <f>SUM(R30:R33)</f>
        <v>32</v>
      </c>
      <c r="S34" s="31" t="s">
        <v>58</v>
      </c>
    </row>
    <row r="35" spans="3:19" x14ac:dyDescent="0.25">
      <c r="C35">
        <v>31</v>
      </c>
      <c r="D35" t="s">
        <v>64</v>
      </c>
      <c r="E35" s="1" t="s">
        <v>65</v>
      </c>
      <c r="F35" s="1">
        <v>79288961</v>
      </c>
      <c r="H35" s="2"/>
      <c r="J35" s="1" t="s">
        <v>42</v>
      </c>
      <c r="K35" s="1" t="s">
        <v>35</v>
      </c>
      <c r="L35" s="1" t="s">
        <v>15</v>
      </c>
      <c r="N35" s="23">
        <v>175000</v>
      </c>
      <c r="O35" s="24">
        <f>Tabla1[[#This Row],[VALOR]]-15000</f>
        <v>160000</v>
      </c>
      <c r="P35" s="1"/>
    </row>
    <row r="36" spans="3:19" x14ac:dyDescent="0.25">
      <c r="C36">
        <v>32</v>
      </c>
      <c r="D36" t="s">
        <v>66</v>
      </c>
      <c r="E36" s="1" t="s">
        <v>65</v>
      </c>
      <c r="F36" s="3">
        <v>39737454</v>
      </c>
      <c r="H36" s="2"/>
      <c r="J36" s="1" t="s">
        <v>40</v>
      </c>
      <c r="K36" s="1" t="s">
        <v>35</v>
      </c>
      <c r="L36" s="1" t="s">
        <v>15</v>
      </c>
      <c r="N36" s="23">
        <v>175000</v>
      </c>
      <c r="O36" s="24">
        <f>Tabla1[[#This Row],[VALOR]]-15000</f>
        <v>160000</v>
      </c>
      <c r="P36" s="1"/>
    </row>
    <row r="37" spans="3:19" x14ac:dyDescent="0.25">
      <c r="H37" s="2"/>
      <c r="K37" s="1"/>
      <c r="L37" s="1"/>
      <c r="N37" s="41">
        <f>SUBTOTAL(109,Tabla1[VALOR])</f>
        <v>5075000</v>
      </c>
      <c r="O37" s="24">
        <f>SUBTOTAL(109,Tabla1[COMISIÓM])</f>
        <v>4640000</v>
      </c>
    </row>
    <row r="38" spans="3:19" x14ac:dyDescent="0.25">
      <c r="N38" s="22">
        <f>Tabla1[[#Totals],[VALOR]]-Tabla1[[#Totals],[COMISIÓM]]</f>
        <v>435000</v>
      </c>
    </row>
    <row r="41" spans="3:19" x14ac:dyDescent="0.25">
      <c r="D41">
        <f>COUNTIF(G:G,"F")</f>
        <v>21</v>
      </c>
    </row>
    <row r="42" spans="3:19" x14ac:dyDescent="0.25">
      <c r="D42">
        <f>COUNTIF(G:G,"M")</f>
        <v>7</v>
      </c>
    </row>
  </sheetData>
  <mergeCells count="2">
    <mergeCell ref="Q17:R17"/>
    <mergeCell ref="Q29:S29"/>
  </mergeCells>
  <conditionalFormatting sqref="F5:G36">
    <cfRule type="duplicateValues" dxfId="12" priority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248A-1E78-4A70-9AC7-B429325C3A88}">
  <dimension ref="C3:I35"/>
  <sheetViews>
    <sheetView workbookViewId="0">
      <selection activeCell="D34" sqref="D34:F35"/>
    </sheetView>
  </sheetViews>
  <sheetFormatPr baseColWidth="10" defaultRowHeight="15" x14ac:dyDescent="0.25"/>
  <cols>
    <col min="3" max="3" width="3" bestFit="1" customWidth="1"/>
    <col min="4" max="4" width="29.42578125" bestFit="1" customWidth="1"/>
    <col min="6" max="6" width="14.42578125" bestFit="1" customWidth="1"/>
    <col min="8" max="8" width="15.140625" bestFit="1" customWidth="1"/>
  </cols>
  <sheetData>
    <row r="3" spans="3:9" x14ac:dyDescent="0.25">
      <c r="C3" s="5" t="s">
        <v>0</v>
      </c>
      <c r="D3" s="6" t="s">
        <v>1</v>
      </c>
      <c r="E3" s="11" t="s">
        <v>2</v>
      </c>
      <c r="F3" s="11" t="s">
        <v>3</v>
      </c>
      <c r="G3" s="11" t="s">
        <v>11</v>
      </c>
      <c r="H3" s="11" t="s">
        <v>39</v>
      </c>
    </row>
    <row r="4" spans="3:9" x14ac:dyDescent="0.25">
      <c r="C4" s="7">
        <v>1</v>
      </c>
      <c r="D4" s="8" t="s">
        <v>6</v>
      </c>
      <c r="E4" s="12" t="s">
        <v>7</v>
      </c>
      <c r="F4" s="12">
        <v>41600310</v>
      </c>
      <c r="G4" s="16" t="s">
        <v>14</v>
      </c>
      <c r="H4" s="12" t="s">
        <v>42</v>
      </c>
      <c r="I4" s="1" t="s">
        <v>62</v>
      </c>
    </row>
    <row r="5" spans="3:9" x14ac:dyDescent="0.25">
      <c r="C5" s="9">
        <v>2</v>
      </c>
      <c r="D5" s="10" t="s">
        <v>9</v>
      </c>
      <c r="E5" s="13" t="s">
        <v>7</v>
      </c>
      <c r="F5" s="13">
        <v>14248202</v>
      </c>
      <c r="G5" s="17" t="s">
        <v>14</v>
      </c>
      <c r="H5" s="13" t="s">
        <v>41</v>
      </c>
    </row>
    <row r="6" spans="3:9" x14ac:dyDescent="0.25">
      <c r="C6" s="7">
        <v>3</v>
      </c>
      <c r="D6" s="8" t="s">
        <v>16</v>
      </c>
      <c r="E6" s="12" t="s">
        <v>7</v>
      </c>
      <c r="F6" s="12">
        <v>38259709</v>
      </c>
      <c r="G6" s="16" t="s">
        <v>14</v>
      </c>
      <c r="H6" s="12" t="s">
        <v>41</v>
      </c>
    </row>
    <row r="7" spans="3:9" x14ac:dyDescent="0.25">
      <c r="C7" s="9">
        <v>4</v>
      </c>
      <c r="D7" s="10" t="s">
        <v>17</v>
      </c>
      <c r="E7" s="13" t="s">
        <v>7</v>
      </c>
      <c r="F7" s="13">
        <v>20871515</v>
      </c>
      <c r="G7" s="17" t="s">
        <v>14</v>
      </c>
      <c r="H7" s="13" t="s">
        <v>40</v>
      </c>
    </row>
    <row r="8" spans="3:9" x14ac:dyDescent="0.25">
      <c r="C8" s="7">
        <v>5</v>
      </c>
      <c r="D8" s="8" t="s">
        <v>18</v>
      </c>
      <c r="E8" s="12" t="s">
        <v>7</v>
      </c>
      <c r="F8" s="12">
        <v>1193554562</v>
      </c>
      <c r="G8" s="16" t="s">
        <v>14</v>
      </c>
      <c r="H8" s="12" t="s">
        <v>41</v>
      </c>
    </row>
    <row r="9" spans="3:9" x14ac:dyDescent="0.25">
      <c r="C9" s="9">
        <v>6</v>
      </c>
      <c r="D9" s="10" t="s">
        <v>19</v>
      </c>
      <c r="E9" s="13" t="s">
        <v>7</v>
      </c>
      <c r="F9" s="13">
        <v>20870792</v>
      </c>
      <c r="G9" s="17" t="s">
        <v>14</v>
      </c>
      <c r="H9" s="13" t="s">
        <v>40</v>
      </c>
    </row>
    <row r="10" spans="3:9" x14ac:dyDescent="0.25">
      <c r="C10" s="7">
        <v>7</v>
      </c>
      <c r="D10" s="8" t="s">
        <v>61</v>
      </c>
      <c r="E10" s="12" t="s">
        <v>7</v>
      </c>
      <c r="F10" s="12">
        <v>51555030</v>
      </c>
      <c r="G10" s="16" t="s">
        <v>14</v>
      </c>
      <c r="H10" s="12"/>
    </row>
    <row r="11" spans="3:9" x14ac:dyDescent="0.25">
      <c r="C11" s="9">
        <v>8</v>
      </c>
      <c r="D11" s="10" t="s">
        <v>20</v>
      </c>
      <c r="E11" s="13" t="s">
        <v>7</v>
      </c>
      <c r="F11" s="14">
        <v>35466163</v>
      </c>
      <c r="G11" s="18" t="s">
        <v>22</v>
      </c>
      <c r="H11" s="13" t="s">
        <v>41</v>
      </c>
    </row>
    <row r="12" spans="3:9" x14ac:dyDescent="0.25">
      <c r="C12" s="7">
        <v>9</v>
      </c>
      <c r="D12" s="8" t="s">
        <v>21</v>
      </c>
      <c r="E12" s="12" t="s">
        <v>7</v>
      </c>
      <c r="F12" s="15">
        <v>20358840</v>
      </c>
      <c r="G12" s="19" t="s">
        <v>22</v>
      </c>
      <c r="H12" s="12" t="s">
        <v>41</v>
      </c>
    </row>
    <row r="13" spans="3:9" x14ac:dyDescent="0.25">
      <c r="C13" s="9">
        <v>10</v>
      </c>
      <c r="D13" s="10" t="s">
        <v>23</v>
      </c>
      <c r="E13" s="13" t="s">
        <v>7</v>
      </c>
      <c r="F13" s="13">
        <v>21013782</v>
      </c>
      <c r="G13" s="17" t="s">
        <v>14</v>
      </c>
      <c r="H13" s="13" t="s">
        <v>41</v>
      </c>
    </row>
    <row r="14" spans="3:9" x14ac:dyDescent="0.25">
      <c r="C14" s="7">
        <v>11</v>
      </c>
      <c r="D14" s="8" t="s">
        <v>24</v>
      </c>
      <c r="E14" s="12" t="s">
        <v>7</v>
      </c>
      <c r="F14" s="12">
        <v>1000459494</v>
      </c>
      <c r="G14" s="16" t="s">
        <v>14</v>
      </c>
      <c r="H14" s="12" t="s">
        <v>41</v>
      </c>
    </row>
    <row r="15" spans="3:9" x14ac:dyDescent="0.25">
      <c r="C15" s="9">
        <v>12</v>
      </c>
      <c r="D15" s="10" t="s">
        <v>25</v>
      </c>
      <c r="E15" s="13" t="s">
        <v>7</v>
      </c>
      <c r="F15" s="13">
        <v>1073628525</v>
      </c>
      <c r="G15" s="17" t="s">
        <v>14</v>
      </c>
      <c r="H15" s="13" t="s">
        <v>41</v>
      </c>
    </row>
    <row r="16" spans="3:9" x14ac:dyDescent="0.25">
      <c r="C16" s="7">
        <v>13</v>
      </c>
      <c r="D16" s="8" t="s">
        <v>26</v>
      </c>
      <c r="E16" s="12" t="s">
        <v>7</v>
      </c>
      <c r="F16" s="12">
        <v>20872220</v>
      </c>
      <c r="G16" s="16" t="s">
        <v>14</v>
      </c>
      <c r="H16" s="12" t="s">
        <v>41</v>
      </c>
    </row>
    <row r="17" spans="3:8" x14ac:dyDescent="0.25">
      <c r="C17" s="9">
        <v>14</v>
      </c>
      <c r="D17" s="10" t="s">
        <v>27</v>
      </c>
      <c r="E17" s="13" t="s">
        <v>7</v>
      </c>
      <c r="F17" s="13">
        <v>1073629207</v>
      </c>
      <c r="G17" s="17" t="s">
        <v>14</v>
      </c>
      <c r="H17" s="13" t="s">
        <v>41</v>
      </c>
    </row>
    <row r="18" spans="3:8" x14ac:dyDescent="0.25">
      <c r="C18" s="7">
        <v>15</v>
      </c>
      <c r="D18" s="8" t="s">
        <v>57</v>
      </c>
      <c r="E18" s="12" t="s">
        <v>7</v>
      </c>
      <c r="F18" s="12">
        <v>29617454</v>
      </c>
      <c r="G18" s="20" t="s">
        <v>35</v>
      </c>
      <c r="H18" s="12" t="s">
        <v>40</v>
      </c>
    </row>
    <row r="19" spans="3:8" x14ac:dyDescent="0.25">
      <c r="C19" s="9">
        <v>16</v>
      </c>
      <c r="D19" s="10" t="s">
        <v>28</v>
      </c>
      <c r="E19" s="13" t="s">
        <v>7</v>
      </c>
      <c r="F19" s="13">
        <v>21013289</v>
      </c>
      <c r="G19" s="21" t="s">
        <v>35</v>
      </c>
      <c r="H19" s="13" t="s">
        <v>40</v>
      </c>
    </row>
    <row r="20" spans="3:8" x14ac:dyDescent="0.25">
      <c r="C20" s="7">
        <v>17</v>
      </c>
      <c r="D20" s="8" t="s">
        <v>55</v>
      </c>
      <c r="E20" s="12" t="s">
        <v>7</v>
      </c>
      <c r="F20" s="15"/>
      <c r="G20" s="16" t="s">
        <v>14</v>
      </c>
      <c r="H20" s="12" t="s">
        <v>41</v>
      </c>
    </row>
    <row r="21" spans="3:8" x14ac:dyDescent="0.25">
      <c r="C21" s="9">
        <v>18</v>
      </c>
      <c r="D21" s="10" t="s">
        <v>30</v>
      </c>
      <c r="E21" s="13" t="s">
        <v>7</v>
      </c>
      <c r="F21" s="13">
        <v>51651341</v>
      </c>
      <c r="G21" s="17" t="s">
        <v>14</v>
      </c>
      <c r="H21" s="13" t="s">
        <v>42</v>
      </c>
    </row>
    <row r="22" spans="3:8" x14ac:dyDescent="0.25">
      <c r="C22" s="7">
        <v>19</v>
      </c>
      <c r="D22" s="8" t="s">
        <v>31</v>
      </c>
      <c r="E22" s="12" t="s">
        <v>7</v>
      </c>
      <c r="F22" s="15">
        <v>29871590</v>
      </c>
      <c r="G22" s="16" t="s">
        <v>14</v>
      </c>
      <c r="H22" s="12" t="s">
        <v>42</v>
      </c>
    </row>
    <row r="23" spans="3:8" x14ac:dyDescent="0.25">
      <c r="C23" s="9">
        <v>20</v>
      </c>
      <c r="D23" s="10" t="s">
        <v>32</v>
      </c>
      <c r="E23" s="13" t="s">
        <v>7</v>
      </c>
      <c r="F23" s="14">
        <v>19379613</v>
      </c>
      <c r="G23" s="21" t="s">
        <v>35</v>
      </c>
      <c r="H23" s="13" t="s">
        <v>42</v>
      </c>
    </row>
    <row r="24" spans="3:8" x14ac:dyDescent="0.25">
      <c r="C24" s="7">
        <v>21</v>
      </c>
      <c r="D24" s="8" t="s">
        <v>33</v>
      </c>
      <c r="E24" s="12" t="s">
        <v>56</v>
      </c>
      <c r="F24" s="15">
        <v>21016967</v>
      </c>
      <c r="G24" s="20" t="s">
        <v>35</v>
      </c>
      <c r="H24" s="12" t="s">
        <v>42</v>
      </c>
    </row>
    <row r="25" spans="3:8" x14ac:dyDescent="0.25">
      <c r="C25" s="9">
        <v>22</v>
      </c>
      <c r="D25" s="10" t="s">
        <v>43</v>
      </c>
      <c r="E25" s="13" t="s">
        <v>7</v>
      </c>
      <c r="F25" s="13">
        <v>53097389</v>
      </c>
      <c r="G25" s="17" t="s">
        <v>14</v>
      </c>
      <c r="H25" s="13" t="s">
        <v>42</v>
      </c>
    </row>
    <row r="26" spans="3:8" x14ac:dyDescent="0.25">
      <c r="C26" s="7">
        <v>23</v>
      </c>
      <c r="D26" s="8" t="s">
        <v>46</v>
      </c>
      <c r="E26" s="12" t="s">
        <v>7</v>
      </c>
      <c r="F26" s="12">
        <v>20871539</v>
      </c>
      <c r="G26" s="16" t="s">
        <v>14</v>
      </c>
      <c r="H26" s="12" t="s">
        <v>45</v>
      </c>
    </row>
    <row r="27" spans="3:8" x14ac:dyDescent="0.25">
      <c r="C27" s="9">
        <v>24</v>
      </c>
      <c r="D27" s="10" t="s">
        <v>47</v>
      </c>
      <c r="E27" s="13" t="s">
        <v>7</v>
      </c>
      <c r="F27" s="13">
        <v>20872056</v>
      </c>
      <c r="G27" s="17" t="s">
        <v>14</v>
      </c>
      <c r="H27" s="13" t="s">
        <v>40</v>
      </c>
    </row>
    <row r="28" spans="3:8" x14ac:dyDescent="0.25">
      <c r="C28" s="7">
        <v>25</v>
      </c>
      <c r="D28" s="8" t="s">
        <v>48</v>
      </c>
      <c r="E28" s="12" t="s">
        <v>49</v>
      </c>
      <c r="F28" s="12">
        <v>1073629413</v>
      </c>
      <c r="G28" s="16" t="s">
        <v>14</v>
      </c>
      <c r="H28" s="12" t="s">
        <v>41</v>
      </c>
    </row>
    <row r="29" spans="3:8" x14ac:dyDescent="0.25">
      <c r="C29" s="9">
        <v>26</v>
      </c>
      <c r="D29" s="10" t="s">
        <v>50</v>
      </c>
      <c r="E29" s="13" t="s">
        <v>7</v>
      </c>
      <c r="F29" s="14">
        <v>79656808</v>
      </c>
      <c r="G29" s="21" t="s">
        <v>35</v>
      </c>
      <c r="H29" s="13" t="s">
        <v>41</v>
      </c>
    </row>
    <row r="30" spans="3:8" x14ac:dyDescent="0.25">
      <c r="C30" s="7">
        <v>27</v>
      </c>
      <c r="D30" s="8" t="s">
        <v>51</v>
      </c>
      <c r="E30" s="12" t="s">
        <v>7</v>
      </c>
      <c r="F30" s="15">
        <v>1075628177</v>
      </c>
      <c r="G30" s="20" t="s">
        <v>35</v>
      </c>
      <c r="H30" s="12" t="s">
        <v>40</v>
      </c>
    </row>
    <row r="31" spans="3:8" x14ac:dyDescent="0.25">
      <c r="C31" s="9">
        <v>28</v>
      </c>
      <c r="D31" s="10" t="s">
        <v>52</v>
      </c>
      <c r="E31" s="13" t="s">
        <v>7</v>
      </c>
      <c r="F31" s="13">
        <v>79538678</v>
      </c>
      <c r="G31" s="17" t="s">
        <v>14</v>
      </c>
      <c r="H31" s="13" t="s">
        <v>41</v>
      </c>
    </row>
    <row r="32" spans="3:8" x14ac:dyDescent="0.25">
      <c r="C32" s="7">
        <v>29</v>
      </c>
      <c r="D32" s="8" t="s">
        <v>53</v>
      </c>
      <c r="E32" s="12" t="s">
        <v>7</v>
      </c>
      <c r="F32" s="12">
        <v>20871381</v>
      </c>
      <c r="G32" s="16" t="s">
        <v>14</v>
      </c>
      <c r="H32" s="12" t="s">
        <v>40</v>
      </c>
    </row>
    <row r="34" spans="3:8" x14ac:dyDescent="0.25">
      <c r="C34" s="7">
        <v>31</v>
      </c>
      <c r="D34" s="8" t="s">
        <v>64</v>
      </c>
      <c r="E34" s="12" t="s">
        <v>65</v>
      </c>
      <c r="F34" s="12">
        <v>79288961</v>
      </c>
      <c r="G34" s="20" t="s">
        <v>35</v>
      </c>
      <c r="H34" s="12" t="s">
        <v>42</v>
      </c>
    </row>
    <row r="35" spans="3:8" x14ac:dyDescent="0.25">
      <c r="C35" s="9">
        <v>32</v>
      </c>
      <c r="D35" s="10" t="s">
        <v>66</v>
      </c>
      <c r="E35" s="13" t="s">
        <v>65</v>
      </c>
      <c r="F35" s="14">
        <v>39737454</v>
      </c>
      <c r="G35" s="21" t="s">
        <v>35</v>
      </c>
      <c r="H35" s="13" t="s">
        <v>40</v>
      </c>
    </row>
  </sheetData>
  <conditionalFormatting sqref="F4:F32">
    <cfRule type="duplicateValues" dxfId="11" priority="2"/>
  </conditionalFormatting>
  <conditionalFormatting sqref="F34:F35">
    <cfRule type="duplicateValues" dxfId="1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2024-08-02T16:03:19Z</dcterms:created>
  <dcterms:modified xsi:type="dcterms:W3CDTF">2024-10-04T15:16:54Z</dcterms:modified>
</cp:coreProperties>
</file>