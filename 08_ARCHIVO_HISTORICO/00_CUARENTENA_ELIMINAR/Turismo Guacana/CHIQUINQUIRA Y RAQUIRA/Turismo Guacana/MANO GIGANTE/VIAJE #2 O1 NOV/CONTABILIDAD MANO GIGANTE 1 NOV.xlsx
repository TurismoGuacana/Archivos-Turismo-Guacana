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"/>
    </mc:Choice>
  </mc:AlternateContent>
  <xr:revisionPtr revIDLastSave="0" documentId="8_{CB53AF16-2C70-4C65-864F-14F88DCB8F39}" xr6:coauthVersionLast="47" xr6:coauthVersionMax="47" xr10:uidLastSave="{00000000-0000-0000-0000-000000000000}"/>
  <bookViews>
    <workbookView xWindow="-120" yWindow="-120" windowWidth="20730" windowHeight="11040" xr2:uid="{34BFC0A0-E68A-4F88-8017-69704FF003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9" i="1" l="1"/>
  <c r="M15" i="1"/>
  <c r="M14" i="1"/>
  <c r="M13" i="1"/>
  <c r="M12" i="1"/>
  <c r="M11" i="1"/>
  <c r="M6" i="1"/>
  <c r="J19" i="1"/>
  <c r="M7" i="1" s="1"/>
  <c r="M8" i="1" s="1"/>
  <c r="J2" i="1"/>
  <c r="J3" i="1"/>
  <c r="J4" i="1"/>
  <c r="J5" i="1"/>
  <c r="J6" i="1"/>
  <c r="J7" i="1"/>
  <c r="J8" i="1"/>
  <c r="J9" i="1"/>
  <c r="J10" i="1"/>
  <c r="J11" i="1"/>
  <c r="J12" i="1"/>
  <c r="J13" i="1"/>
  <c r="J15" i="1"/>
  <c r="J16" i="1"/>
  <c r="J17" i="1"/>
  <c r="J18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l="1"/>
  <c r="A14" i="1" s="1"/>
  <c r="A15" i="1" s="1"/>
  <c r="A16" i="1" s="1"/>
</calcChain>
</file>

<file path=xl/sharedStrings.xml><?xml version="1.0" encoding="utf-8"?>
<sst xmlns="http://schemas.openxmlformats.org/spreadsheetml/2006/main" count="92" uniqueCount="46">
  <si>
    <t>N°</t>
  </si>
  <si>
    <t>NOMBRE</t>
  </si>
  <si>
    <t>TIPO DE DOCUMENTO</t>
  </si>
  <si>
    <t>N° DE DOCUMENTO</t>
  </si>
  <si>
    <t>FECHA DE NACIMIENTO</t>
  </si>
  <si>
    <t>TELÉFONO</t>
  </si>
  <si>
    <t>COMISIONADO</t>
  </si>
  <si>
    <t>C.C</t>
  </si>
  <si>
    <t>LAD</t>
  </si>
  <si>
    <t>T.I</t>
  </si>
  <si>
    <t>LUZ MARINA PACHON LIBERATO</t>
  </si>
  <si>
    <t>ESPERANZA PASELLIN</t>
  </si>
  <si>
    <t>ERIKA MUÑOZ</t>
  </si>
  <si>
    <t xml:space="preserve">20.871 845 </t>
  </si>
  <si>
    <t>EDITH</t>
  </si>
  <si>
    <t>DIANA MARCELA SERRANO</t>
  </si>
  <si>
    <t>JANNA VALERIA DAZA CRUZ</t>
  </si>
  <si>
    <t>MARTHA CRUZ GONZALEZ</t>
  </si>
  <si>
    <t xml:space="preserve">GINA CÁRDENAS </t>
  </si>
  <si>
    <t>GABRIELA ARIAS CÁRDENAS</t>
  </si>
  <si>
    <t>LUIS ALBERTO DUARTE</t>
  </si>
  <si>
    <t xml:space="preserve">BLEIDY YINETH ALVARADO BEDOYA </t>
  </si>
  <si>
    <t>FABIOLA ROSARIO GARCIA</t>
  </si>
  <si>
    <t>LUIS ALFONSO CANO TORO</t>
  </si>
  <si>
    <t>TETE</t>
  </si>
  <si>
    <t>OLGA LUCIA CASALLAS ROSARIO</t>
  </si>
  <si>
    <t>ELSY LOPEZ</t>
  </si>
  <si>
    <t>314 384 2278</t>
  </si>
  <si>
    <t>MENÚ</t>
  </si>
  <si>
    <t>ARROZ DE LA MONTAÑA</t>
  </si>
  <si>
    <t>FIAMBRE</t>
  </si>
  <si>
    <t>MARCOS BARRERO MANCERA</t>
  </si>
  <si>
    <t xml:space="preserve">DEISY YULIETH BEDOYA </t>
  </si>
  <si>
    <t>MARÍA CONSUELO HERNANDEZ</t>
  </si>
  <si>
    <t>PRECIO</t>
  </si>
  <si>
    <t>SIN COMISIÓN</t>
  </si>
  <si>
    <t>MAFE</t>
  </si>
  <si>
    <t>TRANSPORTE</t>
  </si>
  <si>
    <t>SEGURO</t>
  </si>
  <si>
    <t>TERMALES</t>
  </si>
  <si>
    <t>COSTOS Y GASTOS MANO GIGANTE 1 NOV</t>
  </si>
  <si>
    <t>ALMUERZO+INGRESO+TRANSPORTE INTERNO</t>
  </si>
  <si>
    <t>TOTAL</t>
  </si>
  <si>
    <t>INGRESOS</t>
  </si>
  <si>
    <t>UTILIDAD</t>
  </si>
  <si>
    <t>COMISIONES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</si>
</sst>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3" fontId="0" fillId="0" borderId="2" xfId="0" applyNumberFormat="1" applyBorder="1" applyAlignment="1">
      <alignment horizontal="center"/>
    </xf>
    <xf numFmtId="44" fontId="0" fillId="0" borderId="0" xfId="1" applyFont="1" applyFill="1" applyAlignment="1">
      <alignment horizontal="center"/>
    </xf>
    <xf numFmtId="44" fontId="0" fillId="0" borderId="0" xfId="0" applyNumberFormat="1" applyAlignment="1">
      <alignment horizontal="center"/>
    </xf>
    <xf numFmtId="44" fontId="0" fillId="0" borderId="0" xfId="0" applyNumberFormat="1"/>
    <xf numFmtId="0" fontId="0" fillId="0" borderId="3" xfId="0" applyBorder="1"/>
    <xf numFmtId="44" fontId="0" fillId="0" borderId="3" xfId="1" applyFont="1" applyBorder="1"/>
    <xf numFmtId="0" fontId="0" fillId="0" borderId="3" xfId="0" applyBorder="1" applyAlignment="1">
      <alignment wrapText="1"/>
    </xf>
    <xf numFmtId="44" fontId="0" fillId="0" borderId="3" xfId="0" applyNumberFormat="1" applyBorder="1"/>
    <xf numFmtId="0" fontId="0" fillId="2" borderId="3" xfId="0" applyFill="1" applyBorder="1"/>
    <xf numFmtId="0" fontId="0" fillId="3" borderId="3" xfId="0" applyFill="1" applyBorder="1"/>
    <xf numFmtId="44" fontId="0" fillId="4" borderId="3" xfId="0" applyNumberFormat="1" applyFill="1" applyBorder="1"/>
    <xf numFmtId="0" fontId="0" fillId="5" borderId="3" xfId="0" applyFill="1" applyBorder="1" applyAlignment="1">
      <alignment horizontal="center"/>
    </xf>
    <xf numFmtId="44" fontId="0" fillId="0" borderId="0" xfId="1" applyFont="1" applyAlignment="1">
      <alignment horizontal="center"/>
    </xf>
    <xf numFmtId="0" fontId="0" fillId="2" borderId="3" xfId="0" applyFill="1" applyBorder="1" applyAlignment="1">
      <alignment horizontal="center"/>
    </xf>
  </cellXfs>
  <cellStyles count="2">
    <cellStyle name="Moneda" xfId="1" builtinId="4"/>
    <cellStyle name="Normal" xfId="0" builtinId="0"/>
  </cellStyles>
  <dxfs count="20">
    <dxf>
      <numFmt numFmtId="34" formatCode="_-&quot;$&quot;\ * #,##0.00_-;\-&quot;$&quot;\ * #,##0.00_-;_-&quot;$&quot;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$&quot;\ * #,##0.00_-;\-&quot;$&quot;\ * #,##0.00_-;_-&quot;$&quot;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0239B1-7D94-4B02-A8F9-EB081112932E}" name="Tabla1" displayName="Tabla1" ref="A1:J19" totalsRowCount="1" headerRowDxfId="19" dataDxfId="18">
  <autoFilter ref="A1:J18" xr:uid="{940239B1-7D94-4B02-A8F9-EB081112932E}"/>
  <tableColumns count="10">
    <tableColumn id="1" xr3:uid="{A46BEB03-5834-4F7D-AAD9-5FB4093CBEE1}" name="N°" dataDxfId="17" totalsRowDxfId="8"/>
    <tableColumn id="2" xr3:uid="{67B2E3A0-21EA-419B-9464-00B1ADD240E5}" name="NOMBRE"/>
    <tableColumn id="3" xr3:uid="{69943292-C663-4530-B8AC-0E21F2432A94}" name="TIPO DE DOCUMENTO" dataDxfId="16" totalsRowDxfId="7"/>
    <tableColumn id="4" xr3:uid="{A09BF1DC-B6E7-4A16-94E3-E2246655B977}" name="N° DE DOCUMENTO" dataDxfId="15" totalsRowDxfId="6"/>
    <tableColumn id="5" xr3:uid="{E15BEB29-6953-4177-B390-14D28C2A025C}" name="FECHA DE NACIMIENTO" dataDxfId="14" totalsRowDxfId="5"/>
    <tableColumn id="6" xr3:uid="{6A1B1C1B-2E19-4379-A323-907353E3F00D}" name="TELÉFONO" dataDxfId="13" totalsRowDxfId="4"/>
    <tableColumn id="7" xr3:uid="{FE63FE27-52BE-4C6C-B993-767A2D329387}" name="COMISIONADO" dataDxfId="12" totalsRowDxfId="3"/>
    <tableColumn id="8" xr3:uid="{ACBDE395-4FDD-4F7E-838E-9E1224746EF2}" name="MENÚ" dataDxfId="11" totalsRowDxfId="2"/>
    <tableColumn id="9" xr3:uid="{AAB08613-D1A1-453F-9B0F-E7D8A198AC79}" name="PRECIO" totalsRowFunction="sum" dataDxfId="10" totalsRowDxfId="1" totalsRowCellStyle="Moneda"/>
    <tableColumn id="10" xr3:uid="{D5429B6F-2E59-4827-B127-66990FBCD552}" name="SIN COMISIÓN" totalsRowFunction="sum" dataDxfId="9" totalsRowDxfId="0">
      <calculatedColumnFormula>Tabla1[[#This Row],[PRECIO]]-15000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33E5B-DA05-4B82-A93A-8E658F8A18FE}">
  <dimension ref="A1:N19"/>
  <sheetViews>
    <sheetView tabSelected="1" topLeftCell="E1" workbookViewId="0">
      <selection activeCell="L6" sqref="L6"/>
    </sheetView>
  </sheetViews>
  <sheetFormatPr baseColWidth="10" defaultRowHeight="15" x14ac:dyDescent="0.25"/>
  <cols>
    <col min="1" max="1" width="7.7109375" style="1" bestFit="1" customWidth="1"/>
    <col min="2" max="2" width="34" bestFit="1" customWidth="1"/>
    <col min="3" max="3" width="25" style="1" bestFit="1" customWidth="1"/>
    <col min="4" max="4" width="23" style="1" bestFit="1" customWidth="1"/>
    <col min="5" max="5" width="26.42578125" style="1" bestFit="1" customWidth="1"/>
    <col min="6" max="6" width="14.7109375" style="1" bestFit="1" customWidth="1"/>
    <col min="7" max="7" width="19" style="1" bestFit="1" customWidth="1"/>
    <col min="8" max="8" width="22.5703125" bestFit="1" customWidth="1"/>
    <col min="9" max="9" width="14.5703125" bestFit="1" customWidth="1"/>
    <col min="10" max="10" width="18.42578125" bestFit="1" customWidth="1"/>
    <col min="12" max="12" width="24.5703125" customWidth="1"/>
    <col min="13" max="13" width="14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28</v>
      </c>
      <c r="I1" s="1" t="s">
        <v>34</v>
      </c>
      <c r="J1" s="1" t="s">
        <v>35</v>
      </c>
      <c r="L1" s="17" t="s">
        <v>40</v>
      </c>
      <c r="M1" s="17"/>
      <c r="N1" s="17"/>
    </row>
    <row r="2" spans="1:14" x14ac:dyDescent="0.25">
      <c r="A2" s="1">
        <v>1</v>
      </c>
      <c r="B2" t="s">
        <v>10</v>
      </c>
      <c r="C2" s="1" t="s">
        <v>7</v>
      </c>
      <c r="D2" s="2">
        <v>52502797</v>
      </c>
      <c r="E2" s="3">
        <v>28542</v>
      </c>
      <c r="G2" s="1" t="s">
        <v>8</v>
      </c>
      <c r="H2" s="1" t="s">
        <v>29</v>
      </c>
      <c r="I2" s="7">
        <v>185000</v>
      </c>
      <c r="J2" s="8">
        <f>Tabla1[[#This Row],[PRECIO]]-15000</f>
        <v>170000</v>
      </c>
      <c r="L2" s="10" t="s">
        <v>37</v>
      </c>
      <c r="M2" s="11">
        <v>1200000</v>
      </c>
      <c r="N2" s="10"/>
    </row>
    <row r="3" spans="1:14" x14ac:dyDescent="0.25">
      <c r="A3" s="1">
        <f>A2+1</f>
        <v>2</v>
      </c>
      <c r="B3" t="s">
        <v>22</v>
      </c>
      <c r="C3" s="1" t="s">
        <v>7</v>
      </c>
      <c r="D3" s="2">
        <v>20871476</v>
      </c>
      <c r="G3" s="1" t="s">
        <v>14</v>
      </c>
      <c r="H3" s="1" t="s">
        <v>29</v>
      </c>
      <c r="I3" s="7">
        <v>185000</v>
      </c>
      <c r="J3" s="8">
        <f>Tabla1[[#This Row],[PRECIO]]-15000</f>
        <v>170000</v>
      </c>
      <c r="L3" s="10" t="s">
        <v>38</v>
      </c>
      <c r="M3" s="11">
        <v>17000</v>
      </c>
      <c r="N3" s="10"/>
    </row>
    <row r="4" spans="1:14" ht="30" x14ac:dyDescent="0.25">
      <c r="A4" s="1">
        <f t="shared" ref="A4:A16" si="0">A3+1</f>
        <v>3</v>
      </c>
      <c r="B4" t="s">
        <v>23</v>
      </c>
      <c r="C4" s="1" t="s">
        <v>7</v>
      </c>
      <c r="D4" s="2">
        <v>179539</v>
      </c>
      <c r="E4" s="3">
        <v>25662</v>
      </c>
      <c r="G4" s="1" t="s">
        <v>24</v>
      </c>
      <c r="H4" s="1" t="s">
        <v>29</v>
      </c>
      <c r="I4" s="7">
        <v>185000</v>
      </c>
      <c r="J4" s="8">
        <f>Tabla1[[#This Row],[PRECIO]]-15000</f>
        <v>170000</v>
      </c>
      <c r="L4" s="12" t="s">
        <v>41</v>
      </c>
      <c r="M4" s="11">
        <v>714000</v>
      </c>
      <c r="N4" s="10"/>
    </row>
    <row r="5" spans="1:14" x14ac:dyDescent="0.25">
      <c r="A5" s="1">
        <f t="shared" si="0"/>
        <v>4</v>
      </c>
      <c r="B5" t="s">
        <v>25</v>
      </c>
      <c r="C5" s="1" t="s">
        <v>7</v>
      </c>
      <c r="D5" s="2">
        <v>20871989</v>
      </c>
      <c r="E5" s="3">
        <v>26886</v>
      </c>
      <c r="G5" s="1" t="s">
        <v>24</v>
      </c>
      <c r="H5" s="1" t="s">
        <v>29</v>
      </c>
      <c r="I5" s="7">
        <v>185000</v>
      </c>
      <c r="J5" s="8">
        <f>Tabla1[[#This Row],[PRECIO]]-15000</f>
        <v>170000</v>
      </c>
      <c r="L5" s="10" t="s">
        <v>39</v>
      </c>
      <c r="M5" s="11">
        <v>272000</v>
      </c>
      <c r="N5" s="10"/>
    </row>
    <row r="6" spans="1:14" x14ac:dyDescent="0.25">
      <c r="A6" s="1">
        <f t="shared" si="0"/>
        <v>5</v>
      </c>
      <c r="B6" t="s">
        <v>26</v>
      </c>
      <c r="C6" s="5" t="s">
        <v>7</v>
      </c>
      <c r="D6" s="6">
        <v>52231833</v>
      </c>
      <c r="E6" s="3">
        <v>28286</v>
      </c>
      <c r="G6" s="1" t="s">
        <v>8</v>
      </c>
      <c r="H6" s="1" t="s">
        <v>29</v>
      </c>
      <c r="I6" s="7">
        <v>185000</v>
      </c>
      <c r="J6" s="8">
        <f>Tabla1[[#This Row],[PRECIO]]-15000</f>
        <v>170000</v>
      </c>
      <c r="L6" s="15" t="s">
        <v>42</v>
      </c>
      <c r="M6" s="13">
        <f>SUM(M2:M5)</f>
        <v>2203000</v>
      </c>
      <c r="N6" s="10"/>
    </row>
    <row r="7" spans="1:14" x14ac:dyDescent="0.25">
      <c r="A7" s="1">
        <f t="shared" si="0"/>
        <v>6</v>
      </c>
      <c r="B7" t="s">
        <v>11</v>
      </c>
      <c r="C7" s="1" t="s">
        <v>7</v>
      </c>
      <c r="D7" s="2">
        <v>20357352</v>
      </c>
      <c r="G7" s="1" t="s">
        <v>8</v>
      </c>
      <c r="H7" s="1" t="s">
        <v>29</v>
      </c>
      <c r="I7" s="7">
        <v>185000</v>
      </c>
      <c r="J7" s="8">
        <f>Tabla1[[#This Row],[PRECIO]]-15000</f>
        <v>170000</v>
      </c>
      <c r="L7" s="14" t="s">
        <v>43</v>
      </c>
      <c r="M7" s="13">
        <f>Tabla1[[#Totals],[SIN COMISIÓN]]</f>
        <v>2720000</v>
      </c>
      <c r="N7" s="10"/>
    </row>
    <row r="8" spans="1:14" x14ac:dyDescent="0.25">
      <c r="A8" s="1">
        <f t="shared" si="0"/>
        <v>7</v>
      </c>
      <c r="B8" t="s">
        <v>18</v>
      </c>
      <c r="C8" s="1" t="s">
        <v>7</v>
      </c>
      <c r="D8" s="2">
        <v>20358518</v>
      </c>
      <c r="G8" s="1" t="s">
        <v>8</v>
      </c>
      <c r="H8" s="1" t="s">
        <v>29</v>
      </c>
      <c r="I8" s="7">
        <v>185000</v>
      </c>
      <c r="J8" s="8">
        <f>Tabla1[[#This Row],[PRECIO]]-15000</f>
        <v>170000</v>
      </c>
      <c r="L8" s="10" t="s">
        <v>44</v>
      </c>
      <c r="M8" s="16">
        <f>M7-M6</f>
        <v>517000</v>
      </c>
      <c r="N8" s="10"/>
    </row>
    <row r="9" spans="1:14" x14ac:dyDescent="0.25">
      <c r="A9" s="1">
        <f t="shared" si="0"/>
        <v>8</v>
      </c>
      <c r="B9" t="s">
        <v>19</v>
      </c>
      <c r="C9" s="1" t="s">
        <v>9</v>
      </c>
      <c r="D9" s="2">
        <v>1072962757</v>
      </c>
      <c r="G9" s="1" t="s">
        <v>8</v>
      </c>
      <c r="H9" s="1" t="s">
        <v>30</v>
      </c>
      <c r="I9" s="7">
        <v>185000</v>
      </c>
      <c r="J9" s="8">
        <f>Tabla1[[#This Row],[PRECIO]]-15000</f>
        <v>170000</v>
      </c>
    </row>
    <row r="10" spans="1:14" x14ac:dyDescent="0.25">
      <c r="A10" s="1">
        <f t="shared" si="0"/>
        <v>9</v>
      </c>
      <c r="B10" t="s">
        <v>12</v>
      </c>
      <c r="C10" s="1" t="s">
        <v>7</v>
      </c>
      <c r="D10" s="2" t="s">
        <v>13</v>
      </c>
      <c r="E10" s="3">
        <v>26892</v>
      </c>
      <c r="G10" s="1" t="s">
        <v>14</v>
      </c>
      <c r="H10" s="1" t="s">
        <v>29</v>
      </c>
      <c r="I10" s="7">
        <v>185000</v>
      </c>
      <c r="J10" s="8">
        <f>Tabla1[[#This Row],[PRECIO]]-15000</f>
        <v>170000</v>
      </c>
      <c r="L10" s="19" t="s">
        <v>45</v>
      </c>
      <c r="M10" s="19"/>
    </row>
    <row r="11" spans="1:14" x14ac:dyDescent="0.25">
      <c r="A11" s="1">
        <f t="shared" si="0"/>
        <v>10</v>
      </c>
      <c r="B11" t="s">
        <v>15</v>
      </c>
      <c r="C11" s="1" t="s">
        <v>7</v>
      </c>
      <c r="D11" s="2">
        <v>53094326</v>
      </c>
      <c r="E11" s="3">
        <v>31182</v>
      </c>
      <c r="G11" s="1" t="s">
        <v>14</v>
      </c>
      <c r="H11" s="1" t="s">
        <v>29</v>
      </c>
      <c r="I11" s="7">
        <v>185000</v>
      </c>
      <c r="J11" s="8">
        <f>Tabla1[[#This Row],[PRECIO]]-15000</f>
        <v>170000</v>
      </c>
      <c r="L11" s="10" t="s">
        <v>8</v>
      </c>
      <c r="M11" s="11">
        <f>15000*7</f>
        <v>105000</v>
      </c>
    </row>
    <row r="12" spans="1:14" x14ac:dyDescent="0.25">
      <c r="A12" s="1">
        <f t="shared" si="0"/>
        <v>11</v>
      </c>
      <c r="B12" t="s">
        <v>16</v>
      </c>
      <c r="C12" s="1" t="s">
        <v>7</v>
      </c>
      <c r="D12" s="2">
        <v>1076170241</v>
      </c>
      <c r="E12" s="3"/>
      <c r="G12" s="1" t="s">
        <v>24</v>
      </c>
      <c r="H12" s="1" t="s">
        <v>29</v>
      </c>
      <c r="I12" s="7">
        <v>185000</v>
      </c>
      <c r="J12" s="8">
        <f>Tabla1[[#This Row],[PRECIO]]-15000</f>
        <v>170000</v>
      </c>
      <c r="L12" s="10" t="s">
        <v>14</v>
      </c>
      <c r="M12" s="11">
        <f>15000*4</f>
        <v>60000</v>
      </c>
    </row>
    <row r="13" spans="1:14" x14ac:dyDescent="0.25">
      <c r="A13" s="1">
        <f t="shared" si="0"/>
        <v>12</v>
      </c>
      <c r="B13" t="s">
        <v>17</v>
      </c>
      <c r="C13" s="1" t="s">
        <v>7</v>
      </c>
      <c r="D13" s="2">
        <v>20872300</v>
      </c>
      <c r="E13" s="4"/>
      <c r="G13" s="1" t="s">
        <v>24</v>
      </c>
      <c r="H13" s="1" t="s">
        <v>29</v>
      </c>
      <c r="I13" s="7">
        <v>185000</v>
      </c>
      <c r="J13" s="8">
        <f>Tabla1[[#This Row],[PRECIO]]-15000</f>
        <v>170000</v>
      </c>
      <c r="L13" s="10" t="s">
        <v>24</v>
      </c>
      <c r="M13" s="11">
        <f>15000*4</f>
        <v>60000</v>
      </c>
    </row>
    <row r="14" spans="1:14" x14ac:dyDescent="0.25">
      <c r="A14" s="1">
        <f t="shared" si="0"/>
        <v>13</v>
      </c>
      <c r="B14" t="s">
        <v>20</v>
      </c>
      <c r="C14" s="1" t="s">
        <v>7</v>
      </c>
      <c r="D14" s="2">
        <v>79538678</v>
      </c>
      <c r="H14" s="1" t="s">
        <v>30</v>
      </c>
      <c r="I14" s="7"/>
      <c r="J14" s="8">
        <v>0</v>
      </c>
      <c r="L14" s="10" t="s">
        <v>36</v>
      </c>
      <c r="M14" s="11">
        <f>15000*1</f>
        <v>15000</v>
      </c>
    </row>
    <row r="15" spans="1:14" x14ac:dyDescent="0.25">
      <c r="A15" s="1">
        <f t="shared" si="0"/>
        <v>14</v>
      </c>
      <c r="B15" t="s">
        <v>32</v>
      </c>
      <c r="C15" s="1" t="s">
        <v>7</v>
      </c>
      <c r="D15" s="2">
        <v>1093777626</v>
      </c>
      <c r="E15" s="3">
        <v>34767</v>
      </c>
      <c r="F15" s="1" t="s">
        <v>27</v>
      </c>
      <c r="G15" s="1" t="s">
        <v>8</v>
      </c>
      <c r="H15" s="1" t="s">
        <v>29</v>
      </c>
      <c r="I15" s="7">
        <v>185000</v>
      </c>
      <c r="J15" s="8">
        <f>Tabla1[[#This Row],[PRECIO]]-15000</f>
        <v>170000</v>
      </c>
      <c r="L15" s="10" t="s">
        <v>42</v>
      </c>
      <c r="M15" s="11">
        <f>SUM(M11:M14)</f>
        <v>240000</v>
      </c>
    </row>
    <row r="16" spans="1:14" x14ac:dyDescent="0.25">
      <c r="A16" s="1">
        <f t="shared" si="0"/>
        <v>15</v>
      </c>
      <c r="B16" t="s">
        <v>21</v>
      </c>
      <c r="C16" s="1" t="s">
        <v>9</v>
      </c>
      <c r="D16" s="2">
        <v>1092958301</v>
      </c>
      <c r="E16" s="3">
        <v>42119</v>
      </c>
      <c r="G16" s="1" t="s">
        <v>8</v>
      </c>
      <c r="H16" s="1" t="s">
        <v>30</v>
      </c>
      <c r="I16" s="7">
        <v>185000</v>
      </c>
      <c r="J16" s="8">
        <f>Tabla1[[#This Row],[PRECIO]]-15000</f>
        <v>170000</v>
      </c>
    </row>
    <row r="17" spans="1:12" x14ac:dyDescent="0.25">
      <c r="A17" s="1">
        <v>16</v>
      </c>
      <c r="B17" t="s">
        <v>31</v>
      </c>
      <c r="C17" s="1" t="s">
        <v>7</v>
      </c>
      <c r="D17" s="2">
        <v>3149137</v>
      </c>
      <c r="E17" s="3"/>
      <c r="G17" s="1" t="s">
        <v>14</v>
      </c>
      <c r="H17" s="1" t="s">
        <v>29</v>
      </c>
      <c r="I17" s="7">
        <v>185000</v>
      </c>
      <c r="J17" s="8">
        <f>Tabla1[[#This Row],[PRECIO]]-15000</f>
        <v>170000</v>
      </c>
    </row>
    <row r="18" spans="1:12" x14ac:dyDescent="0.25">
      <c r="A18" s="1">
        <v>17</v>
      </c>
      <c r="B18" t="s">
        <v>33</v>
      </c>
      <c r="C18" s="1" t="s">
        <v>7</v>
      </c>
      <c r="D18" s="2">
        <v>21017103</v>
      </c>
      <c r="E18" s="3"/>
      <c r="G18" s="1" t="s">
        <v>36</v>
      </c>
      <c r="H18" s="1"/>
      <c r="I18" s="7">
        <v>185000</v>
      </c>
      <c r="J18" s="8">
        <f>Tabla1[[#This Row],[PRECIO]]-15000</f>
        <v>170000</v>
      </c>
      <c r="L18" s="9"/>
    </row>
    <row r="19" spans="1:12" x14ac:dyDescent="0.25">
      <c r="D19" s="2"/>
      <c r="H19" s="1"/>
      <c r="I19" s="18">
        <f>SUBTOTAL(109,Tabla1[PRECIO])</f>
        <v>2960000</v>
      </c>
      <c r="J19" s="8">
        <f>SUBTOTAL(109,Tabla1[SIN COMISIÓN])</f>
        <v>2720000</v>
      </c>
    </row>
  </sheetData>
  <mergeCells count="2">
    <mergeCell ref="L1:N1"/>
    <mergeCell ref="L10:M10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Alberto Duarte Molina</dc:creator>
  <cp:lastModifiedBy>Luis Alberto Duarte Molina</cp:lastModifiedBy>
  <dcterms:created xsi:type="dcterms:W3CDTF">2023-10-18T14:00:15Z</dcterms:created>
  <dcterms:modified xsi:type="dcterms:W3CDTF">2023-11-07T21:43:21Z</dcterms:modified>
</cp:coreProperties>
</file>