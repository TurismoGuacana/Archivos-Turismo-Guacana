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IEDRA PEÑOL Y GUATAPÉ\"/>
    </mc:Choice>
  </mc:AlternateContent>
  <xr:revisionPtr revIDLastSave="0" documentId="13_ncr:1_{15CDAFF0-F81E-4337-9FBB-512AB2B4D5E9}" xr6:coauthVersionLast="47" xr6:coauthVersionMax="47" xr10:uidLastSave="{00000000-0000-0000-0000-000000000000}"/>
  <bookViews>
    <workbookView xWindow="-120" yWindow="-120" windowWidth="20730" windowHeight="11160" xr2:uid="{612F80C8-5A44-4D84-A0B2-43A0FB4EE3D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O20" i="1"/>
  <c r="O19" i="1"/>
  <c r="O18" i="1"/>
  <c r="O21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4" i="1"/>
  <c r="L25" i="1"/>
  <c r="L27" i="1"/>
  <c r="L28" i="1"/>
  <c r="L29" i="1"/>
  <c r="L30" i="1"/>
  <c r="L31" i="1"/>
  <c r="L33" i="1"/>
  <c r="L34" i="1"/>
  <c r="L35" i="1"/>
  <c r="L36" i="1"/>
  <c r="L37" i="1"/>
  <c r="L38" i="1"/>
  <c r="L39" i="1"/>
  <c r="L40" i="1"/>
  <c r="L41" i="1"/>
  <c r="L42" i="1"/>
  <c r="L44" i="1"/>
  <c r="L45" i="1"/>
  <c r="O12" i="1"/>
  <c r="O10" i="1"/>
  <c r="O8" i="1"/>
  <c r="O7" i="1"/>
  <c r="K46" i="1"/>
  <c r="F51" i="1"/>
  <c r="F50" i="1"/>
  <c r="F49" i="1"/>
  <c r="F52" i="1" s="1"/>
  <c r="L46" i="1" l="1"/>
  <c r="O13" i="1" s="1"/>
  <c r="O14" i="1" s="1"/>
</calcChain>
</file>

<file path=xl/sharedStrings.xml><?xml version="1.0" encoding="utf-8"?>
<sst xmlns="http://schemas.openxmlformats.org/spreadsheetml/2006/main" count="412" uniqueCount="105">
  <si>
    <t>N°</t>
  </si>
  <si>
    <t>NOMBRE</t>
  </si>
  <si>
    <t>T.D</t>
  </si>
  <si>
    <t># DOCUMENTO</t>
  </si>
  <si>
    <t>FECHA DE NACIMIENTO</t>
  </si>
  <si>
    <t>TELEFONO</t>
  </si>
  <si>
    <t>COMISIONISTA</t>
  </si>
  <si>
    <t>Daniel Felipe leal malambo</t>
  </si>
  <si>
    <t>RC</t>
  </si>
  <si>
    <t>CC</t>
  </si>
  <si>
    <t>Sol maría leal malambo</t>
  </si>
  <si>
    <t xml:space="preserve">Darcy islenny ducuara leal </t>
  </si>
  <si>
    <t>TI</t>
  </si>
  <si>
    <t>2 AÑOS Y MEDIO</t>
  </si>
  <si>
    <t>17 AÑOS</t>
  </si>
  <si>
    <t>Diego Alejandro Rodríguez Patiño</t>
  </si>
  <si>
    <t>7 años</t>
  </si>
  <si>
    <t>Diana Paola Patiño salazar</t>
  </si>
  <si>
    <t>abono</t>
  </si>
  <si>
    <t>OSCAR</t>
  </si>
  <si>
    <t>322 219 6458</t>
  </si>
  <si>
    <t>LAD</t>
  </si>
  <si>
    <t>312 684 4155</t>
  </si>
  <si>
    <t xml:space="preserve">Sara Yineth Barrero Pinzón </t>
  </si>
  <si>
    <t>313 4829355</t>
  </si>
  <si>
    <t>Jeimy Paola Lasprilla Martinez</t>
  </si>
  <si>
    <t>Esmith Yaneth Ducuara Leal</t>
  </si>
  <si>
    <t>322 239 7235</t>
  </si>
  <si>
    <t>320 334 5942</t>
  </si>
  <si>
    <t>EDITH</t>
  </si>
  <si>
    <t xml:space="preserve"> </t>
  </si>
  <si>
    <t>SALIDA</t>
  </si>
  <si>
    <t>APULO</t>
  </si>
  <si>
    <t>TOCAIMA</t>
  </si>
  <si>
    <t>DIANA M</t>
  </si>
  <si>
    <t>Mary Jasbleidy Chavez Poveda</t>
  </si>
  <si>
    <t>322 213 1551</t>
  </si>
  <si>
    <t>Hilen Michell Dominguez Chavez</t>
  </si>
  <si>
    <t>320 395 7803</t>
  </si>
  <si>
    <t xml:space="preserve">Omar Sabogal </t>
  </si>
  <si>
    <t>322 736 5727</t>
  </si>
  <si>
    <t>Adriana Paola Rodríguez Franco</t>
  </si>
  <si>
    <t>320 276 0241</t>
  </si>
  <si>
    <t>Larry Esteban Mora Martinez</t>
  </si>
  <si>
    <t>Nancy Ximena Garzón Muñoz</t>
  </si>
  <si>
    <t>322 841 3939</t>
  </si>
  <si>
    <t>German Andres Villareal Herrera</t>
  </si>
  <si>
    <t>320 262 3841</t>
  </si>
  <si>
    <t>Genoveva Gonzalez</t>
  </si>
  <si>
    <t xml:space="preserve">LIMBANIO CANTOR MEDINA </t>
  </si>
  <si>
    <t xml:space="preserve">ANA GLADYS PARADA </t>
  </si>
  <si>
    <t>OSCAR  EDUARDO CANTOR PARADA</t>
  </si>
  <si>
    <t xml:space="preserve">LUZ MATILDE CANTOR PARADA </t>
  </si>
  <si>
    <t>YENY MICHEL CAMARGO SANCHEZ</t>
  </si>
  <si>
    <t>DANNA VALERIA CANTOR CAMARGO</t>
  </si>
  <si>
    <t>MARÍA FERNANDA CAMARGO CANTOR</t>
  </si>
  <si>
    <t>Fabiola Rojas Bastidas</t>
  </si>
  <si>
    <t>311 525 6188</t>
  </si>
  <si>
    <t>ANAPOIMA</t>
  </si>
  <si>
    <t>Danitza Andrade</t>
  </si>
  <si>
    <t xml:space="preserve">Nancy Esperanza Espinoza </t>
  </si>
  <si>
    <t>312 435 5025</t>
  </si>
  <si>
    <t>PT</t>
  </si>
  <si>
    <t>Yamile Ramirez Parra</t>
  </si>
  <si>
    <t>311 230 2189</t>
  </si>
  <si>
    <t>primeros puestos</t>
  </si>
  <si>
    <t>Luis Duarte</t>
  </si>
  <si>
    <t>Sandra Sanchez</t>
  </si>
  <si>
    <t>311 222 8537</t>
  </si>
  <si>
    <t>Jhordan Sanchez</t>
  </si>
  <si>
    <t>321 411 6503</t>
  </si>
  <si>
    <t>Carlos Barrera</t>
  </si>
  <si>
    <t>322 223 0457</t>
  </si>
  <si>
    <t>Anthony Barrera</t>
  </si>
  <si>
    <t>Belen Prieto</t>
  </si>
  <si>
    <t>Kevin Jimenez</t>
  </si>
  <si>
    <t>Vanessa Barrero</t>
  </si>
  <si>
    <t xml:space="preserve">Luis Jimenez </t>
  </si>
  <si>
    <t xml:space="preserve">María Angelica Sanchez </t>
  </si>
  <si>
    <t>Juan Manuel Rios Sanchez</t>
  </si>
  <si>
    <t xml:space="preserve">Mireya Varon Garcia </t>
  </si>
  <si>
    <t>total</t>
  </si>
  <si>
    <t>reinado</t>
  </si>
  <si>
    <t>321 315 5574</t>
  </si>
  <si>
    <t>empresa</t>
  </si>
  <si>
    <t>Elsy Lopez</t>
  </si>
  <si>
    <t xml:space="preserve">Jose Yuri Duarte Molina </t>
  </si>
  <si>
    <t>C.C</t>
  </si>
  <si>
    <t>JUAN PABLO DUARTE TORRES</t>
  </si>
  <si>
    <t>TOCIAMA</t>
  </si>
  <si>
    <t>TOTAL</t>
  </si>
  <si>
    <t>valor</t>
  </si>
  <si>
    <t>COSTOS Y GATOS</t>
  </si>
  <si>
    <t>TRANSPORTE</t>
  </si>
  <si>
    <t>SEGURO</t>
  </si>
  <si>
    <t>DESAYUNO</t>
  </si>
  <si>
    <t>ALMUERZO</t>
  </si>
  <si>
    <t>FERRY</t>
  </si>
  <si>
    <t>CITY TOUR</t>
  </si>
  <si>
    <t>GASTOS DE REPRESENTACIÓN</t>
  </si>
  <si>
    <t>INGRESOS</t>
  </si>
  <si>
    <t>UTILIDAD</t>
  </si>
  <si>
    <t>COMISIÓN</t>
  </si>
  <si>
    <t>COMISIONES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</si>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</sst>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2" fontId="0" fillId="0" borderId="0" xfId="1" applyFont="1" applyAlignment="1">
      <alignment horizontal="center"/>
    </xf>
    <xf numFmtId="42" fontId="0" fillId="0" borderId="0" xfId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2" fontId="0" fillId="0" borderId="0" xfId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5" borderId="0" xfId="0" applyFill="1"/>
    <xf numFmtId="0" fontId="0" fillId="5" borderId="2" xfId="0" applyFill="1" applyBorder="1"/>
    <xf numFmtId="0" fontId="0" fillId="0" borderId="1" xfId="0" applyBorder="1" applyAlignment="1">
      <alignment horizontal="center"/>
    </xf>
    <xf numFmtId="42" fontId="0" fillId="0" borderId="1" xfId="1" applyFont="1" applyBorder="1"/>
    <xf numFmtId="42" fontId="0" fillId="0" borderId="4" xfId="1" applyFont="1" applyBorder="1"/>
    <xf numFmtId="0" fontId="0" fillId="0" borderId="3" xfId="0" applyBorder="1"/>
    <xf numFmtId="42" fontId="0" fillId="0" borderId="3" xfId="1" applyFont="1" applyBorder="1"/>
    <xf numFmtId="42" fontId="0" fillId="0" borderId="5" xfId="1" applyFont="1" applyBorder="1"/>
    <xf numFmtId="0" fontId="0" fillId="5" borderId="5" xfId="0" applyFill="1" applyBorder="1"/>
    <xf numFmtId="0" fontId="0" fillId="7" borderId="5" xfId="0" applyFill="1" applyBorder="1"/>
    <xf numFmtId="0" fontId="0" fillId="6" borderId="4" xfId="0" applyFill="1" applyBorder="1"/>
    <xf numFmtId="0" fontId="3" fillId="0" borderId="1" xfId="0" applyFont="1" applyBorder="1" applyAlignment="1">
      <alignment horizontal="center"/>
    </xf>
    <xf numFmtId="0" fontId="0" fillId="0" borderId="1" xfId="1" applyNumberFormat="1" applyFont="1" applyBorder="1"/>
    <xf numFmtId="42" fontId="0" fillId="0" borderId="0" xfId="0" applyNumberFormat="1" applyFont="1" applyAlignment="1">
      <alignment horizontal="center"/>
    </xf>
  </cellXfs>
  <cellStyles count="2">
    <cellStyle name="Moneda [0]" xfId="1" builtinId="7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44D4F-EA99-42B5-99F0-BBCD69ACB3A6}" name="Tabla1" displayName="Tabla1" ref="B4:L46" totalsRowCount="1" headerRowDxfId="19" dataDxfId="18">
  <autoFilter ref="B4:L45" xr:uid="{0AF44D4F-EA99-42B5-99F0-BBCD69ACB3A6}"/>
  <tableColumns count="11">
    <tableColumn id="1" xr3:uid="{359AD584-C3E2-4896-92BF-489C005851A8}" name="N°"/>
    <tableColumn id="2" xr3:uid="{96A3B32E-CFFA-4EF1-A800-323C6B106F3B}" name="NOMBRE"/>
    <tableColumn id="3" xr3:uid="{E052BB69-5184-40AF-96D8-B5ACF91CC0F9}" name="T.D" dataDxfId="17" totalsRowDxfId="8"/>
    <tableColumn id="4" xr3:uid="{72413AE5-5D68-4519-8002-20B2F7D5DA00}" name="# DOCUMENTO" dataDxfId="16" totalsRowDxfId="7"/>
    <tableColumn id="5" xr3:uid="{D01C65B7-584C-4CE8-A9EB-2745D3B7C874}" name="FECHA DE NACIMIENTO" dataDxfId="15" totalsRowDxfId="6"/>
    <tableColumn id="6" xr3:uid="{312BFEC2-408D-4D59-BC56-A68411A1EC28}" name="TELEFONO" dataDxfId="14" totalsRowDxfId="5"/>
    <tableColumn id="9" xr3:uid="{B078F133-1776-4245-8968-30097B665072}" name="SALIDA" dataDxfId="13" totalsRowDxfId="4"/>
    <tableColumn id="7" xr3:uid="{4AF84AC9-824E-4D3E-8982-97173D45A0BE}" name="COMISIONISTA" dataDxfId="12" totalsRowDxfId="3"/>
    <tableColumn id="8" xr3:uid="{5AAE0401-B14A-4CC2-9178-7B3D49FC38A4}" name="abono" dataDxfId="11" totalsRowDxfId="2" dataCellStyle="Moneda [0]"/>
    <tableColumn id="10" xr3:uid="{55954340-368F-4D56-B40D-0256098DB0D6}" name="valor" totalsRowFunction="sum" dataDxfId="10" totalsRowDxfId="1" dataCellStyle="Moneda [0]"/>
    <tableColumn id="11" xr3:uid="{5EE764D9-6407-4218-84ED-EC548D6D52D9}" name="COMISIÓN" totalsRowFunction="sum" dataDxfId="9" totalsRowDxfId="0" dataCellStyle="Moneda [0]">
      <calculatedColumnFormula>Tabla1[[#This Row],[valor]]-15000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76F5-9A32-4E5C-9C00-B5BA3E1E48A3}">
  <dimension ref="B1:O52"/>
  <sheetViews>
    <sheetView tabSelected="1" topLeftCell="D16" workbookViewId="0">
      <selection activeCell="K24" sqref="K24"/>
    </sheetView>
  </sheetViews>
  <sheetFormatPr baseColWidth="10" defaultRowHeight="15" x14ac:dyDescent="0.25"/>
  <cols>
    <col min="2" max="2" width="5.28515625" customWidth="1"/>
    <col min="3" max="3" width="31" bestFit="1" customWidth="1"/>
    <col min="4" max="4" width="11.42578125" style="2"/>
    <col min="5" max="5" width="16.5703125" style="2" customWidth="1"/>
    <col min="6" max="6" width="23.7109375" style="2" customWidth="1"/>
    <col min="7" max="7" width="14.7109375" style="2" bestFit="1" customWidth="1"/>
    <col min="8" max="8" width="14.7109375" style="2" customWidth="1"/>
    <col min="9" max="9" width="16.42578125" style="2" customWidth="1"/>
    <col min="10" max="10" width="11.42578125" style="5"/>
    <col min="11" max="11" width="12" style="5" bestFit="1" customWidth="1"/>
    <col min="12" max="12" width="12" style="5" customWidth="1"/>
    <col min="14" max="14" width="27.28515625" bestFit="1" customWidth="1"/>
    <col min="15" max="15" width="12" style="5" bestFit="1" customWidth="1"/>
  </cols>
  <sheetData>
    <row r="1" spans="2:15" x14ac:dyDescent="0.25">
      <c r="H1" s="2" t="s">
        <v>30</v>
      </c>
    </row>
    <row r="4" spans="2:15" x14ac:dyDescent="0.25">
      <c r="B4" t="s">
        <v>0</v>
      </c>
      <c r="C4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31</v>
      </c>
      <c r="I4" s="2" t="s">
        <v>6</v>
      </c>
      <c r="J4" s="4" t="s">
        <v>18</v>
      </c>
      <c r="K4" s="4" t="s">
        <v>91</v>
      </c>
      <c r="L4" s="4" t="s">
        <v>102</v>
      </c>
      <c r="N4" s="34" t="s">
        <v>92</v>
      </c>
      <c r="O4" s="34"/>
    </row>
    <row r="5" spans="2:15" x14ac:dyDescent="0.25">
      <c r="B5" s="1"/>
      <c r="C5" t="s">
        <v>7</v>
      </c>
      <c r="D5" s="2" t="s">
        <v>8</v>
      </c>
      <c r="E5" s="2">
        <v>1106793820</v>
      </c>
      <c r="F5" s="2" t="s">
        <v>13</v>
      </c>
      <c r="H5" s="12" t="s">
        <v>32</v>
      </c>
      <c r="J5" s="4" t="s">
        <v>81</v>
      </c>
      <c r="K5" s="4">
        <v>25000</v>
      </c>
      <c r="L5" s="4">
        <f>Tabla1[[#This Row],[valor]]</f>
        <v>25000</v>
      </c>
      <c r="N5" s="20" t="s">
        <v>93</v>
      </c>
      <c r="O5" s="26">
        <v>3900000</v>
      </c>
    </row>
    <row r="6" spans="2:15" x14ac:dyDescent="0.25">
      <c r="B6">
        <v>1</v>
      </c>
      <c r="C6" t="s">
        <v>10</v>
      </c>
      <c r="D6" s="2" t="s">
        <v>9</v>
      </c>
      <c r="E6" s="2">
        <v>52768249</v>
      </c>
      <c r="G6" s="2">
        <v>3213200594</v>
      </c>
      <c r="H6" s="12" t="s">
        <v>32</v>
      </c>
      <c r="I6" s="2" t="s">
        <v>21</v>
      </c>
      <c r="J6" s="4" t="s">
        <v>81</v>
      </c>
      <c r="K6" s="4">
        <v>195000</v>
      </c>
      <c r="L6" s="4">
        <f>Tabla1[[#This Row],[valor]]-15000</f>
        <v>180000</v>
      </c>
      <c r="N6" s="20" t="s">
        <v>94</v>
      </c>
      <c r="O6" s="26">
        <v>126000</v>
      </c>
    </row>
    <row r="7" spans="2:15" x14ac:dyDescent="0.25">
      <c r="B7">
        <v>2</v>
      </c>
      <c r="C7" s="23" t="s">
        <v>11</v>
      </c>
      <c r="D7" s="2" t="s">
        <v>12</v>
      </c>
      <c r="E7" s="2">
        <v>1111263698</v>
      </c>
      <c r="F7" s="2" t="s">
        <v>14</v>
      </c>
      <c r="G7" s="2">
        <v>3102169610</v>
      </c>
      <c r="H7" s="12" t="s">
        <v>32</v>
      </c>
      <c r="I7" s="2" t="s">
        <v>21</v>
      </c>
      <c r="J7" s="4" t="s">
        <v>81</v>
      </c>
      <c r="K7" s="4">
        <v>195000</v>
      </c>
      <c r="L7" s="4">
        <f>Tabla1[[#This Row],[valor]]-15000</f>
        <v>180000</v>
      </c>
      <c r="N7" s="20" t="s">
        <v>95</v>
      </c>
      <c r="O7" s="26">
        <f>37*12000</f>
        <v>444000</v>
      </c>
    </row>
    <row r="8" spans="2:15" x14ac:dyDescent="0.25">
      <c r="B8">
        <v>3</v>
      </c>
      <c r="C8" t="s">
        <v>15</v>
      </c>
      <c r="D8" s="2" t="s">
        <v>12</v>
      </c>
      <c r="E8" s="3">
        <v>1075629884</v>
      </c>
      <c r="F8" s="2" t="s">
        <v>16</v>
      </c>
      <c r="H8" s="13" t="s">
        <v>33</v>
      </c>
      <c r="I8" s="2" t="s">
        <v>21</v>
      </c>
      <c r="J8" s="4" t="s">
        <v>81</v>
      </c>
      <c r="K8" s="4">
        <v>195000</v>
      </c>
      <c r="L8" s="4">
        <f>Tabla1[[#This Row],[valor]]-15000</f>
        <v>180000</v>
      </c>
      <c r="N8" s="20" t="s">
        <v>96</v>
      </c>
      <c r="O8" s="26">
        <f>37*16000</f>
        <v>592000</v>
      </c>
    </row>
    <row r="9" spans="2:15" x14ac:dyDescent="0.25">
      <c r="B9">
        <v>4</v>
      </c>
      <c r="C9" s="23" t="s">
        <v>17</v>
      </c>
      <c r="D9" s="2" t="s">
        <v>9</v>
      </c>
      <c r="E9" s="3">
        <v>21018743</v>
      </c>
      <c r="G9" s="2">
        <v>3138859110</v>
      </c>
      <c r="H9" s="13" t="s">
        <v>33</v>
      </c>
      <c r="I9" s="2" t="s">
        <v>21</v>
      </c>
      <c r="J9" s="4" t="s">
        <v>81</v>
      </c>
      <c r="K9" s="4">
        <v>195000</v>
      </c>
      <c r="L9" s="4">
        <f>Tabla1[[#This Row],[valor]]-15000</f>
        <v>180000</v>
      </c>
      <c r="N9" s="20" t="s">
        <v>98</v>
      </c>
      <c r="O9" s="26">
        <v>280000</v>
      </c>
    </row>
    <row r="10" spans="2:15" x14ac:dyDescent="0.25">
      <c r="B10">
        <v>5</v>
      </c>
      <c r="C10" t="s">
        <v>49</v>
      </c>
      <c r="D10" s="2" t="s">
        <v>9</v>
      </c>
      <c r="E10" s="3">
        <v>3149300</v>
      </c>
      <c r="F10" s="2" t="s">
        <v>19</v>
      </c>
      <c r="G10" s="2" t="s">
        <v>20</v>
      </c>
      <c r="H10" s="12" t="s">
        <v>32</v>
      </c>
      <c r="I10" s="2" t="s">
        <v>21</v>
      </c>
      <c r="J10" s="4">
        <v>600000</v>
      </c>
      <c r="K10" s="4">
        <v>195000</v>
      </c>
      <c r="L10" s="4">
        <f>Tabla1[[#This Row],[valor]]-15000</f>
        <v>180000</v>
      </c>
      <c r="N10" s="20" t="s">
        <v>97</v>
      </c>
      <c r="O10" s="26">
        <f>38*8000</f>
        <v>304000</v>
      </c>
    </row>
    <row r="11" spans="2:15" ht="15.75" thickBot="1" x14ac:dyDescent="0.3">
      <c r="B11">
        <v>6</v>
      </c>
      <c r="C11" t="s">
        <v>50</v>
      </c>
      <c r="D11" s="2" t="s">
        <v>9</v>
      </c>
      <c r="E11" s="3">
        <v>20871100</v>
      </c>
      <c r="H11" s="12" t="s">
        <v>32</v>
      </c>
      <c r="I11" s="2" t="s">
        <v>21</v>
      </c>
      <c r="J11" s="4"/>
      <c r="K11" s="4">
        <v>195000</v>
      </c>
      <c r="L11" s="4">
        <f>Tabla1[[#This Row],[valor]]-15000</f>
        <v>180000</v>
      </c>
      <c r="N11" s="28" t="s">
        <v>99</v>
      </c>
      <c r="O11" s="29">
        <v>90000</v>
      </c>
    </row>
    <row r="12" spans="2:15" ht="15.75" thickBot="1" x14ac:dyDescent="0.3">
      <c r="B12">
        <v>7</v>
      </c>
      <c r="C12" s="23" t="s">
        <v>51</v>
      </c>
      <c r="D12" s="2" t="s">
        <v>9</v>
      </c>
      <c r="E12" s="2">
        <v>11451857</v>
      </c>
      <c r="H12" s="12" t="s">
        <v>32</v>
      </c>
      <c r="I12" s="2" t="s">
        <v>21</v>
      </c>
      <c r="J12" s="4"/>
      <c r="K12" s="4">
        <v>195000</v>
      </c>
      <c r="L12" s="4">
        <f>Tabla1[[#This Row],[valor]]-15000</f>
        <v>180000</v>
      </c>
      <c r="N12" s="31" t="s">
        <v>90</v>
      </c>
      <c r="O12" s="30">
        <f>SUM(O5:O11)</f>
        <v>5736000</v>
      </c>
    </row>
    <row r="13" spans="2:15" ht="15.75" thickBot="1" x14ac:dyDescent="0.3">
      <c r="B13">
        <v>8</v>
      </c>
      <c r="C13" t="s">
        <v>52</v>
      </c>
      <c r="D13" s="2" t="s">
        <v>9</v>
      </c>
      <c r="E13" s="3">
        <v>1073628962</v>
      </c>
      <c r="H13" s="12" t="s">
        <v>32</v>
      </c>
      <c r="I13" s="2" t="s">
        <v>21</v>
      </c>
      <c r="J13" s="4"/>
      <c r="K13" s="4">
        <v>195000</v>
      </c>
      <c r="L13" s="4">
        <f>Tabla1[[#This Row],[valor]]-15000</f>
        <v>180000</v>
      </c>
      <c r="N13" s="32" t="s">
        <v>100</v>
      </c>
      <c r="O13" s="30">
        <f>Tabla1[[#Totals],[COMISIÓN]]</f>
        <v>6605000</v>
      </c>
    </row>
    <row r="14" spans="2:15" x14ac:dyDescent="0.25">
      <c r="B14">
        <v>9</v>
      </c>
      <c r="C14" t="s">
        <v>53</v>
      </c>
      <c r="D14" s="2" t="s">
        <v>9</v>
      </c>
      <c r="E14" s="3">
        <v>1073628175</v>
      </c>
      <c r="H14" s="12" t="s">
        <v>32</v>
      </c>
      <c r="I14" s="2" t="s">
        <v>21</v>
      </c>
      <c r="J14" s="4"/>
      <c r="K14" s="4">
        <v>195000</v>
      </c>
      <c r="L14" s="4">
        <f>Tabla1[[#This Row],[valor]]-15000</f>
        <v>180000</v>
      </c>
      <c r="N14" s="33" t="s">
        <v>101</v>
      </c>
      <c r="O14" s="27">
        <f>O13-O12</f>
        <v>869000</v>
      </c>
    </row>
    <row r="15" spans="2:15" x14ac:dyDescent="0.25">
      <c r="B15">
        <v>10</v>
      </c>
      <c r="C15" t="s">
        <v>54</v>
      </c>
      <c r="D15" s="2" t="s">
        <v>12</v>
      </c>
      <c r="E15" s="2">
        <v>1146128937</v>
      </c>
      <c r="H15" s="12" t="s">
        <v>32</v>
      </c>
      <c r="I15" s="2" t="s">
        <v>21</v>
      </c>
      <c r="J15" s="4"/>
      <c r="K15" s="4">
        <v>195000</v>
      </c>
      <c r="L15" s="4">
        <f>Tabla1[[#This Row],[valor]]-15000</f>
        <v>180000</v>
      </c>
    </row>
    <row r="16" spans="2:15" x14ac:dyDescent="0.25">
      <c r="B16">
        <v>11</v>
      </c>
      <c r="C16" t="s">
        <v>55</v>
      </c>
      <c r="D16" s="2" t="s">
        <v>12</v>
      </c>
      <c r="E16" s="2">
        <v>1073628962</v>
      </c>
      <c r="H16" s="12" t="s">
        <v>32</v>
      </c>
      <c r="I16" s="2" t="s">
        <v>21</v>
      </c>
      <c r="J16" s="4"/>
      <c r="K16" s="4">
        <v>195000</v>
      </c>
      <c r="L16" s="4">
        <f>Tabla1[[#This Row],[valor]]-15000</f>
        <v>180000</v>
      </c>
    </row>
    <row r="17" spans="2:15" x14ac:dyDescent="0.25">
      <c r="B17">
        <v>12</v>
      </c>
      <c r="C17" t="s">
        <v>76</v>
      </c>
      <c r="D17" s="2" t="s">
        <v>9</v>
      </c>
      <c r="E17" s="3">
        <v>1015463812</v>
      </c>
      <c r="G17" s="2" t="s">
        <v>22</v>
      </c>
      <c r="H17" s="12" t="s">
        <v>32</v>
      </c>
      <c r="I17" s="2" t="s">
        <v>21</v>
      </c>
      <c r="J17" s="4" t="s">
        <v>81</v>
      </c>
      <c r="K17" s="4">
        <v>195000</v>
      </c>
      <c r="L17" s="4">
        <f>Tabla1[[#This Row],[valor]]-15000</f>
        <v>180000</v>
      </c>
      <c r="N17" s="25" t="s">
        <v>103</v>
      </c>
      <c r="O17" s="25"/>
    </row>
    <row r="18" spans="2:15" x14ac:dyDescent="0.25">
      <c r="B18">
        <v>13</v>
      </c>
      <c r="C18" s="23" t="s">
        <v>23</v>
      </c>
      <c r="D18" s="2" t="s">
        <v>9</v>
      </c>
      <c r="E18" s="3">
        <v>1073628263</v>
      </c>
      <c r="G18" s="2" t="s">
        <v>24</v>
      </c>
      <c r="H18" s="12" t="s">
        <v>32</v>
      </c>
      <c r="I18" s="2" t="s">
        <v>21</v>
      </c>
      <c r="J18" s="4" t="s">
        <v>81</v>
      </c>
      <c r="K18" s="4">
        <v>195000</v>
      </c>
      <c r="L18" s="4">
        <f>Tabla1[[#This Row],[valor]]-15000</f>
        <v>180000</v>
      </c>
      <c r="N18" s="20" t="s">
        <v>21</v>
      </c>
      <c r="O18" s="35">
        <f>COUNTIF(I:I,"LAD")</f>
        <v>33</v>
      </c>
    </row>
    <row r="19" spans="2:15" x14ac:dyDescent="0.25">
      <c r="B19">
        <v>14</v>
      </c>
      <c r="C19" s="23" t="s">
        <v>25</v>
      </c>
      <c r="D19" s="2" t="s">
        <v>9</v>
      </c>
      <c r="E19" s="3">
        <v>1075724085</v>
      </c>
      <c r="G19" s="2" t="s">
        <v>27</v>
      </c>
      <c r="H19" s="12" t="s">
        <v>32</v>
      </c>
      <c r="I19" s="2" t="s">
        <v>21</v>
      </c>
      <c r="J19" s="4" t="s">
        <v>81</v>
      </c>
      <c r="K19" s="4">
        <v>195000</v>
      </c>
      <c r="L19" s="4">
        <f>Tabla1[[#This Row],[valor]]-15000</f>
        <v>180000</v>
      </c>
      <c r="N19" s="20" t="s">
        <v>104</v>
      </c>
      <c r="O19" s="35">
        <f>COUNTIF(I:I,"DIANA M")</f>
        <v>2</v>
      </c>
    </row>
    <row r="20" spans="2:15" x14ac:dyDescent="0.25">
      <c r="B20">
        <v>15</v>
      </c>
      <c r="C20" t="s">
        <v>26</v>
      </c>
      <c r="D20" s="2" t="s">
        <v>9</v>
      </c>
      <c r="E20" s="3">
        <v>1111262432</v>
      </c>
      <c r="G20" s="2" t="s">
        <v>28</v>
      </c>
      <c r="H20" s="12" t="s">
        <v>32</v>
      </c>
      <c r="I20" s="2" t="s">
        <v>21</v>
      </c>
      <c r="J20" s="4" t="s">
        <v>81</v>
      </c>
      <c r="K20" s="4">
        <v>195000</v>
      </c>
      <c r="L20" s="4">
        <f>Tabla1[[#This Row],[valor]]-15000</f>
        <v>180000</v>
      </c>
      <c r="N20" s="20" t="s">
        <v>29</v>
      </c>
      <c r="O20" s="35">
        <f>COUNTIF(I:I,"EDITH")</f>
        <v>1</v>
      </c>
    </row>
    <row r="21" spans="2:15" x14ac:dyDescent="0.25">
      <c r="B21">
        <v>16</v>
      </c>
      <c r="C21" s="23" t="s">
        <v>35</v>
      </c>
      <c r="D21" s="2" t="s">
        <v>9</v>
      </c>
      <c r="E21" s="3">
        <v>1121879539</v>
      </c>
      <c r="G21" s="2" t="s">
        <v>36</v>
      </c>
      <c r="H21" s="12" t="s">
        <v>32</v>
      </c>
      <c r="I21" s="2" t="s">
        <v>34</v>
      </c>
      <c r="J21" s="4" t="s">
        <v>81</v>
      </c>
      <c r="K21" s="4">
        <v>195000</v>
      </c>
      <c r="L21" s="4">
        <f>Tabla1[[#This Row],[valor]]-15000</f>
        <v>180000</v>
      </c>
      <c r="N21" s="20" t="s">
        <v>90</v>
      </c>
      <c r="O21" s="35">
        <f>SUM(O18:O20)</f>
        <v>36</v>
      </c>
    </row>
    <row r="22" spans="2:15" x14ac:dyDescent="0.25">
      <c r="B22">
        <v>17</v>
      </c>
      <c r="C22" t="s">
        <v>37</v>
      </c>
      <c r="D22" s="2" t="s">
        <v>9</v>
      </c>
      <c r="E22" s="3">
        <v>112380823</v>
      </c>
      <c r="G22" s="2" t="s">
        <v>38</v>
      </c>
      <c r="H22" s="12" t="s">
        <v>32</v>
      </c>
      <c r="I22" s="2" t="s">
        <v>34</v>
      </c>
      <c r="J22" s="4" t="s">
        <v>81</v>
      </c>
      <c r="K22" s="4">
        <v>195000</v>
      </c>
      <c r="L22" s="4">
        <f>Tabla1[[#This Row],[valor]]-15000</f>
        <v>180000</v>
      </c>
    </row>
    <row r="23" spans="2:15" x14ac:dyDescent="0.25">
      <c r="B23">
        <v>18</v>
      </c>
      <c r="C23" s="23" t="s">
        <v>39</v>
      </c>
      <c r="D23" s="2" t="s">
        <v>9</v>
      </c>
      <c r="E23" s="3">
        <v>1072960146</v>
      </c>
      <c r="G23" s="2" t="s">
        <v>40</v>
      </c>
      <c r="H23" s="12" t="s">
        <v>32</v>
      </c>
      <c r="J23" s="4" t="s">
        <v>81</v>
      </c>
      <c r="K23" s="4">
        <v>100000</v>
      </c>
      <c r="L23" s="4">
        <v>100000</v>
      </c>
    </row>
    <row r="24" spans="2:15" x14ac:dyDescent="0.25">
      <c r="B24">
        <v>19</v>
      </c>
      <c r="C24" t="s">
        <v>41</v>
      </c>
      <c r="D24" s="2" t="s">
        <v>9</v>
      </c>
      <c r="E24" s="3">
        <v>1004037560</v>
      </c>
      <c r="G24" s="2" t="s">
        <v>42</v>
      </c>
      <c r="H24" s="12" t="s">
        <v>32</v>
      </c>
      <c r="I24" s="2" t="s">
        <v>21</v>
      </c>
      <c r="J24" s="4" t="s">
        <v>81</v>
      </c>
      <c r="K24" s="4">
        <v>195000</v>
      </c>
      <c r="L24" s="4">
        <f>Tabla1[[#This Row],[valor]]-15000</f>
        <v>180000</v>
      </c>
    </row>
    <row r="25" spans="2:15" x14ac:dyDescent="0.25">
      <c r="B25">
        <v>20</v>
      </c>
      <c r="C25" t="s">
        <v>43</v>
      </c>
      <c r="D25" s="2" t="s">
        <v>9</v>
      </c>
      <c r="E25" s="3">
        <v>1073630168</v>
      </c>
      <c r="H25" s="12" t="s">
        <v>32</v>
      </c>
      <c r="I25" s="2" t="s">
        <v>21</v>
      </c>
      <c r="J25" s="4" t="s">
        <v>81</v>
      </c>
      <c r="K25" s="4">
        <v>195000</v>
      </c>
      <c r="L25" s="4">
        <f>Tabla1[[#This Row],[valor]]-15000</f>
        <v>180000</v>
      </c>
    </row>
    <row r="26" spans="2:15" x14ac:dyDescent="0.25">
      <c r="B26">
        <v>21</v>
      </c>
      <c r="C26" s="23" t="s">
        <v>44</v>
      </c>
      <c r="D26" s="2" t="s">
        <v>9</v>
      </c>
      <c r="E26" s="2">
        <v>1000936352</v>
      </c>
      <c r="G26" s="2" t="s">
        <v>45</v>
      </c>
      <c r="H26" s="12" t="s">
        <v>32</v>
      </c>
      <c r="J26" s="4" t="s">
        <v>82</v>
      </c>
      <c r="K26" s="4">
        <v>0</v>
      </c>
      <c r="L26" s="4">
        <v>0</v>
      </c>
    </row>
    <row r="27" spans="2:15" x14ac:dyDescent="0.25">
      <c r="B27">
        <v>22</v>
      </c>
      <c r="C27" t="s">
        <v>46</v>
      </c>
      <c r="D27" s="2" t="s">
        <v>9</v>
      </c>
      <c r="E27" s="3">
        <v>1075624572</v>
      </c>
      <c r="G27" s="2" t="s">
        <v>47</v>
      </c>
      <c r="H27" s="12" t="s">
        <v>32</v>
      </c>
      <c r="I27" s="2" t="s">
        <v>21</v>
      </c>
      <c r="J27" s="4" t="s">
        <v>81</v>
      </c>
      <c r="K27" s="4">
        <v>195000</v>
      </c>
      <c r="L27" s="4">
        <f>Tabla1[[#This Row],[valor]]-15000</f>
        <v>180000</v>
      </c>
    </row>
    <row r="28" spans="2:15" x14ac:dyDescent="0.25">
      <c r="B28">
        <v>23</v>
      </c>
      <c r="C28" s="23" t="s">
        <v>48</v>
      </c>
      <c r="D28" s="2" t="s">
        <v>9</v>
      </c>
      <c r="E28" s="3">
        <v>51954742</v>
      </c>
      <c r="G28" s="2" t="s">
        <v>83</v>
      </c>
      <c r="H28" s="12" t="s">
        <v>32</v>
      </c>
      <c r="I28" s="2" t="s">
        <v>29</v>
      </c>
      <c r="J28" s="4" t="s">
        <v>81</v>
      </c>
      <c r="K28" s="4">
        <v>195000</v>
      </c>
      <c r="L28" s="4">
        <f>Tabla1[[#This Row],[valor]]-15000</f>
        <v>180000</v>
      </c>
    </row>
    <row r="29" spans="2:15" x14ac:dyDescent="0.25">
      <c r="B29">
        <v>24</v>
      </c>
      <c r="C29" s="23" t="s">
        <v>56</v>
      </c>
      <c r="D29" s="2" t="s">
        <v>9</v>
      </c>
      <c r="E29" s="2">
        <v>1111199994</v>
      </c>
      <c r="G29" s="2" t="s">
        <v>57</v>
      </c>
      <c r="H29" s="14" t="s">
        <v>58</v>
      </c>
      <c r="I29" s="2" t="s">
        <v>21</v>
      </c>
      <c r="J29" s="4"/>
      <c r="K29" s="4">
        <v>195000</v>
      </c>
      <c r="L29" s="4">
        <f>Tabla1[[#This Row],[valor]]-15000</f>
        <v>180000</v>
      </c>
    </row>
    <row r="30" spans="2:15" x14ac:dyDescent="0.25">
      <c r="B30">
        <v>26</v>
      </c>
      <c r="C30" s="23" t="s">
        <v>60</v>
      </c>
      <c r="D30" s="2" t="s">
        <v>9</v>
      </c>
      <c r="E30" s="2">
        <v>20357610</v>
      </c>
      <c r="G30" s="2" t="s">
        <v>61</v>
      </c>
      <c r="H30" s="14" t="s">
        <v>58</v>
      </c>
      <c r="I30" s="2" t="s">
        <v>21</v>
      </c>
      <c r="J30" s="4" t="s">
        <v>62</v>
      </c>
      <c r="K30" s="4">
        <v>195000</v>
      </c>
      <c r="L30" s="4">
        <f>Tabla1[[#This Row],[valor]]-15000</f>
        <v>180000</v>
      </c>
    </row>
    <row r="31" spans="2:15" x14ac:dyDescent="0.25">
      <c r="B31">
        <v>27</v>
      </c>
      <c r="C31" t="s">
        <v>63</v>
      </c>
      <c r="D31" s="2" t="s">
        <v>9</v>
      </c>
      <c r="E31" s="2">
        <v>20358338</v>
      </c>
      <c r="F31" s="2" t="s">
        <v>65</v>
      </c>
      <c r="G31" s="2" t="s">
        <v>64</v>
      </c>
      <c r="H31" s="14" t="s">
        <v>58</v>
      </c>
      <c r="I31" s="2" t="s">
        <v>21</v>
      </c>
      <c r="J31" s="4" t="s">
        <v>62</v>
      </c>
      <c r="K31" s="4">
        <v>195000</v>
      </c>
      <c r="L31" s="4">
        <f>Tabla1[[#This Row],[valor]]-15000</f>
        <v>180000</v>
      </c>
    </row>
    <row r="32" spans="2:15" x14ac:dyDescent="0.25">
      <c r="B32">
        <v>28</v>
      </c>
      <c r="C32" s="23" t="s">
        <v>66</v>
      </c>
      <c r="D32" s="2" t="s">
        <v>9</v>
      </c>
      <c r="E32" s="2">
        <v>79538678</v>
      </c>
      <c r="H32" s="12" t="s">
        <v>32</v>
      </c>
      <c r="I32" s="2" t="s">
        <v>84</v>
      </c>
      <c r="J32" s="4"/>
      <c r="K32" s="4">
        <v>0</v>
      </c>
      <c r="L32" s="4">
        <v>0</v>
      </c>
    </row>
    <row r="33" spans="2:12" x14ac:dyDescent="0.25">
      <c r="B33">
        <v>29</v>
      </c>
      <c r="C33" t="s">
        <v>77</v>
      </c>
      <c r="D33" s="2" t="s">
        <v>9</v>
      </c>
      <c r="E33" s="2">
        <v>880371714</v>
      </c>
      <c r="H33" s="12" t="s">
        <v>32</v>
      </c>
      <c r="I33" s="2" t="s">
        <v>21</v>
      </c>
      <c r="J33" s="4"/>
      <c r="K33" s="4">
        <v>195000</v>
      </c>
      <c r="L33" s="4">
        <f>Tabla1[[#This Row],[valor]]-15000</f>
        <v>180000</v>
      </c>
    </row>
    <row r="34" spans="2:12" x14ac:dyDescent="0.25">
      <c r="B34">
        <v>30</v>
      </c>
      <c r="C34" t="s">
        <v>67</v>
      </c>
      <c r="D34" s="2" t="s">
        <v>9</v>
      </c>
      <c r="E34" s="2">
        <v>20871880</v>
      </c>
      <c r="G34" s="2" t="s">
        <v>68</v>
      </c>
      <c r="H34" s="12" t="s">
        <v>32</v>
      </c>
      <c r="I34" s="2" t="s">
        <v>21</v>
      </c>
      <c r="J34" s="4"/>
      <c r="K34" s="4">
        <v>195000</v>
      </c>
      <c r="L34" s="4">
        <f>Tabla1[[#This Row],[valor]]-15000</f>
        <v>180000</v>
      </c>
    </row>
    <row r="35" spans="2:12" x14ac:dyDescent="0.25">
      <c r="B35">
        <v>31</v>
      </c>
      <c r="C35" t="s">
        <v>69</v>
      </c>
      <c r="D35" s="2" t="s">
        <v>9</v>
      </c>
      <c r="E35" s="2">
        <v>771404</v>
      </c>
      <c r="G35" s="2" t="s">
        <v>70</v>
      </c>
      <c r="H35" s="12" t="s">
        <v>32</v>
      </c>
      <c r="I35" s="2" t="s">
        <v>21</v>
      </c>
      <c r="J35" s="4"/>
      <c r="K35" s="4">
        <v>195000</v>
      </c>
      <c r="L35" s="4">
        <f>Tabla1[[#This Row],[valor]]-15000</f>
        <v>180000</v>
      </c>
    </row>
    <row r="36" spans="2:12" x14ac:dyDescent="0.25">
      <c r="B36">
        <v>32</v>
      </c>
      <c r="C36" s="23" t="s">
        <v>71</v>
      </c>
      <c r="D36" s="2" t="s">
        <v>9</v>
      </c>
      <c r="E36" s="2">
        <v>1012407289</v>
      </c>
      <c r="G36" s="2" t="s">
        <v>72</v>
      </c>
      <c r="H36" s="12" t="s">
        <v>32</v>
      </c>
      <c r="I36" s="2" t="s">
        <v>21</v>
      </c>
      <c r="J36" s="4"/>
      <c r="K36" s="4">
        <v>195000</v>
      </c>
      <c r="L36" s="4">
        <f>Tabla1[[#This Row],[valor]]-15000</f>
        <v>180000</v>
      </c>
    </row>
    <row r="37" spans="2:12" x14ac:dyDescent="0.25">
      <c r="B37">
        <v>33</v>
      </c>
      <c r="C37" t="s">
        <v>73</v>
      </c>
      <c r="D37" s="2" t="s">
        <v>9</v>
      </c>
      <c r="E37" s="2">
        <v>1012369227</v>
      </c>
      <c r="H37" s="12" t="s">
        <v>32</v>
      </c>
      <c r="I37" s="2" t="s">
        <v>21</v>
      </c>
      <c r="J37" s="4"/>
      <c r="K37" s="4">
        <v>195000</v>
      </c>
      <c r="L37" s="4">
        <f>Tabla1[[#This Row],[valor]]-15000</f>
        <v>180000</v>
      </c>
    </row>
    <row r="38" spans="2:12" x14ac:dyDescent="0.25">
      <c r="B38">
        <v>34</v>
      </c>
      <c r="C38" t="s">
        <v>74</v>
      </c>
      <c r="D38" s="2" t="s">
        <v>9</v>
      </c>
      <c r="E38" s="2">
        <v>41495094</v>
      </c>
      <c r="H38" s="12" t="s">
        <v>32</v>
      </c>
      <c r="I38" s="2" t="s">
        <v>21</v>
      </c>
      <c r="J38" s="4"/>
      <c r="K38" s="4">
        <v>195000</v>
      </c>
      <c r="L38" s="4">
        <f>Tabla1[[#This Row],[valor]]-15000</f>
        <v>180000</v>
      </c>
    </row>
    <row r="39" spans="2:12" x14ac:dyDescent="0.25">
      <c r="B39">
        <v>35</v>
      </c>
      <c r="C39" t="s">
        <v>75</v>
      </c>
      <c r="D39" s="2" t="s">
        <v>9</v>
      </c>
      <c r="E39" s="2">
        <v>1000131389</v>
      </c>
      <c r="H39" s="12" t="s">
        <v>32</v>
      </c>
      <c r="I39" s="2" t="s">
        <v>21</v>
      </c>
      <c r="J39" s="4"/>
      <c r="K39" s="4">
        <v>195000</v>
      </c>
      <c r="L39" s="4">
        <f>Tabla1[[#This Row],[valor]]-15000</f>
        <v>180000</v>
      </c>
    </row>
    <row r="40" spans="2:12" x14ac:dyDescent="0.25">
      <c r="B40">
        <v>36</v>
      </c>
      <c r="C40" s="23" t="s">
        <v>78</v>
      </c>
      <c r="D40" s="2" t="s">
        <v>9</v>
      </c>
      <c r="E40" s="2">
        <v>1072960169</v>
      </c>
      <c r="H40" s="14" t="s">
        <v>58</v>
      </c>
      <c r="I40" s="2" t="s">
        <v>21</v>
      </c>
      <c r="J40" s="4" t="s">
        <v>62</v>
      </c>
      <c r="K40" s="4">
        <v>195000</v>
      </c>
      <c r="L40" s="4">
        <f>Tabla1[[#This Row],[valor]]-15000</f>
        <v>180000</v>
      </c>
    </row>
    <row r="41" spans="2:12" x14ac:dyDescent="0.25">
      <c r="B41">
        <v>37</v>
      </c>
      <c r="C41" t="s">
        <v>79</v>
      </c>
      <c r="D41" s="2" t="s">
        <v>12</v>
      </c>
      <c r="E41" s="2">
        <v>1072963518</v>
      </c>
      <c r="H41" s="14" t="s">
        <v>58</v>
      </c>
      <c r="I41" s="2" t="s">
        <v>21</v>
      </c>
      <c r="J41" s="4" t="s">
        <v>62</v>
      </c>
      <c r="K41" s="4">
        <v>195000</v>
      </c>
      <c r="L41" s="4">
        <f>Tabla1[[#This Row],[valor]]-15000</f>
        <v>180000</v>
      </c>
    </row>
    <row r="42" spans="2:12" x14ac:dyDescent="0.25">
      <c r="B42">
        <v>38</v>
      </c>
      <c r="C42" s="23" t="s">
        <v>80</v>
      </c>
      <c r="D42" s="2" t="s">
        <v>9</v>
      </c>
      <c r="E42" s="2">
        <v>38262910</v>
      </c>
      <c r="H42" s="12" t="s">
        <v>32</v>
      </c>
      <c r="I42" s="2" t="s">
        <v>21</v>
      </c>
      <c r="J42" s="4" t="s">
        <v>62</v>
      </c>
      <c r="K42" s="4">
        <v>195000</v>
      </c>
      <c r="L42" s="4">
        <f>Tabla1[[#This Row],[valor]]-15000</f>
        <v>180000</v>
      </c>
    </row>
    <row r="43" spans="2:12" x14ac:dyDescent="0.25">
      <c r="B43">
        <v>39</v>
      </c>
      <c r="C43" s="23" t="s">
        <v>85</v>
      </c>
      <c r="D43" s="2" t="s">
        <v>9</v>
      </c>
      <c r="E43" s="3">
        <v>52231833</v>
      </c>
      <c r="H43" s="12" t="s">
        <v>32</v>
      </c>
      <c r="I43" s="2" t="s">
        <v>84</v>
      </c>
      <c r="J43" s="4"/>
      <c r="K43" s="4">
        <v>0</v>
      </c>
      <c r="L43" s="4">
        <v>0</v>
      </c>
    </row>
    <row r="44" spans="2:12" x14ac:dyDescent="0.25">
      <c r="B44">
        <v>40</v>
      </c>
      <c r="C44" s="24" t="s">
        <v>86</v>
      </c>
      <c r="D44" s="7" t="s">
        <v>87</v>
      </c>
      <c r="E44" s="7">
        <v>11450718</v>
      </c>
      <c r="H44" s="12" t="s">
        <v>32</v>
      </c>
      <c r="I44" s="2" t="s">
        <v>21</v>
      </c>
      <c r="J44" s="8"/>
      <c r="K44" s="4">
        <v>195000</v>
      </c>
      <c r="L44" s="4">
        <f>Tabla1[[#This Row],[valor]]-15000</f>
        <v>180000</v>
      </c>
    </row>
    <row r="45" spans="2:12" x14ac:dyDescent="0.25">
      <c r="B45">
        <v>41</v>
      </c>
      <c r="C45" t="s">
        <v>88</v>
      </c>
      <c r="D45" s="2" t="s">
        <v>87</v>
      </c>
      <c r="E45" s="2">
        <v>1070584194</v>
      </c>
      <c r="H45" s="12" t="s">
        <v>32</v>
      </c>
      <c r="I45" s="2" t="s">
        <v>21</v>
      </c>
      <c r="J45" s="4"/>
      <c r="K45" s="4">
        <v>195000</v>
      </c>
      <c r="L45" s="4">
        <f>Tabla1[[#This Row],[valor]]-15000</f>
        <v>180000</v>
      </c>
    </row>
    <row r="46" spans="2:12" x14ac:dyDescent="0.25">
      <c r="J46" s="36"/>
      <c r="K46" s="36">
        <f>SUBTOTAL(109,Tabla1[valor])</f>
        <v>7145000</v>
      </c>
      <c r="L46" s="36">
        <f>SUBTOTAL(109,Tabla1[COMISIÓN])</f>
        <v>6605000</v>
      </c>
    </row>
    <row r="49" spans="5:6" x14ac:dyDescent="0.25">
      <c r="E49" s="9" t="s">
        <v>58</v>
      </c>
      <c r="F49" s="6">
        <f>COUNTIF(H:H,"ANAPOIMA")</f>
        <v>5</v>
      </c>
    </row>
    <row r="50" spans="5:6" x14ac:dyDescent="0.25">
      <c r="E50" s="11" t="s">
        <v>32</v>
      </c>
      <c r="F50" s="6">
        <f>COUNTIF(H:H,"APULO")</f>
        <v>34</v>
      </c>
    </row>
    <row r="51" spans="5:6" x14ac:dyDescent="0.25">
      <c r="E51" s="10" t="s">
        <v>89</v>
      </c>
      <c r="F51" s="6">
        <f>COUNTIF(H:H,"TOCAIMA")</f>
        <v>2</v>
      </c>
    </row>
    <row r="52" spans="5:6" x14ac:dyDescent="0.25">
      <c r="E52" s="6" t="s">
        <v>90</v>
      </c>
      <c r="F52" s="6">
        <f>SUM(F49:F51)</f>
        <v>41</v>
      </c>
    </row>
  </sheetData>
  <mergeCells count="2">
    <mergeCell ref="N4:O4"/>
    <mergeCell ref="N17:O1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E60E-A933-44C0-804A-15DE56DA2B88}">
  <dimension ref="B2:G44"/>
  <sheetViews>
    <sheetView topLeftCell="A25" workbookViewId="0">
      <selection activeCell="B2" sqref="B2:G44"/>
    </sheetView>
  </sheetViews>
  <sheetFormatPr baseColWidth="10" defaultRowHeight="15" x14ac:dyDescent="0.25"/>
  <cols>
    <col min="2" max="2" width="3.140625" bestFit="1" customWidth="1"/>
    <col min="3" max="3" width="35.42578125" bestFit="1" customWidth="1"/>
    <col min="5" max="5" width="14.42578125" bestFit="1" customWidth="1"/>
  </cols>
  <sheetData>
    <row r="2" spans="2:7" x14ac:dyDescent="0.25">
      <c r="B2" s="15" t="s">
        <v>0</v>
      </c>
      <c r="C2" s="15" t="s">
        <v>1</v>
      </c>
      <c r="D2" s="16" t="s">
        <v>2</v>
      </c>
      <c r="E2" s="16" t="s">
        <v>3</v>
      </c>
      <c r="F2" s="16" t="s">
        <v>31</v>
      </c>
      <c r="G2" s="16" t="s">
        <v>6</v>
      </c>
    </row>
    <row r="3" spans="2:7" x14ac:dyDescent="0.25">
      <c r="B3" s="17"/>
      <c r="C3" s="18" t="s">
        <v>7</v>
      </c>
      <c r="D3" s="19" t="s">
        <v>8</v>
      </c>
      <c r="E3" s="19">
        <v>1106793820</v>
      </c>
      <c r="F3" s="11" t="s">
        <v>32</v>
      </c>
      <c r="G3" s="19" t="s">
        <v>21</v>
      </c>
    </row>
    <row r="4" spans="2:7" x14ac:dyDescent="0.25">
      <c r="B4" s="20">
        <v>1</v>
      </c>
      <c r="C4" s="20" t="s">
        <v>10</v>
      </c>
      <c r="D4" s="6" t="s">
        <v>9</v>
      </c>
      <c r="E4" s="6">
        <v>52768249</v>
      </c>
      <c r="F4" s="11" t="s">
        <v>32</v>
      </c>
      <c r="G4" s="6" t="s">
        <v>21</v>
      </c>
    </row>
    <row r="5" spans="2:7" x14ac:dyDescent="0.25">
      <c r="B5" s="18">
        <v>2</v>
      </c>
      <c r="C5" s="18" t="s">
        <v>11</v>
      </c>
      <c r="D5" s="19" t="s">
        <v>12</v>
      </c>
      <c r="E5" s="19">
        <v>1111263698</v>
      </c>
      <c r="F5" s="11" t="s">
        <v>32</v>
      </c>
      <c r="G5" s="19" t="s">
        <v>21</v>
      </c>
    </row>
    <row r="6" spans="2:7" x14ac:dyDescent="0.25">
      <c r="B6" s="20">
        <v>3</v>
      </c>
      <c r="C6" s="20" t="s">
        <v>15</v>
      </c>
      <c r="D6" s="6" t="s">
        <v>12</v>
      </c>
      <c r="E6" s="21">
        <v>1075629884</v>
      </c>
      <c r="F6" s="10" t="s">
        <v>33</v>
      </c>
      <c r="G6" s="6" t="s">
        <v>21</v>
      </c>
    </row>
    <row r="7" spans="2:7" x14ac:dyDescent="0.25">
      <c r="B7" s="18">
        <v>4</v>
      </c>
      <c r="C7" s="18" t="s">
        <v>17</v>
      </c>
      <c r="D7" s="19" t="s">
        <v>9</v>
      </c>
      <c r="E7" s="22">
        <v>21018743</v>
      </c>
      <c r="F7" s="10" t="s">
        <v>33</v>
      </c>
      <c r="G7" s="19" t="s">
        <v>21</v>
      </c>
    </row>
    <row r="8" spans="2:7" x14ac:dyDescent="0.25">
      <c r="B8" s="20">
        <v>5</v>
      </c>
      <c r="C8" s="20" t="s">
        <v>49</v>
      </c>
      <c r="D8" s="6" t="s">
        <v>9</v>
      </c>
      <c r="E8" s="21">
        <v>3149300</v>
      </c>
      <c r="F8" s="11" t="s">
        <v>32</v>
      </c>
      <c r="G8" s="6" t="s">
        <v>21</v>
      </c>
    </row>
    <row r="9" spans="2:7" x14ac:dyDescent="0.25">
      <c r="B9" s="18">
        <v>6</v>
      </c>
      <c r="C9" s="18" t="s">
        <v>50</v>
      </c>
      <c r="D9" s="19" t="s">
        <v>9</v>
      </c>
      <c r="E9" s="22">
        <v>20871100</v>
      </c>
      <c r="F9" s="11" t="s">
        <v>32</v>
      </c>
      <c r="G9" s="19" t="s">
        <v>21</v>
      </c>
    </row>
    <row r="10" spans="2:7" x14ac:dyDescent="0.25">
      <c r="B10" s="20">
        <v>7</v>
      </c>
      <c r="C10" s="20" t="s">
        <v>51</v>
      </c>
      <c r="D10" s="6" t="s">
        <v>9</v>
      </c>
      <c r="E10" s="6">
        <v>11451857</v>
      </c>
      <c r="F10" s="11" t="s">
        <v>32</v>
      </c>
      <c r="G10" s="6" t="s">
        <v>21</v>
      </c>
    </row>
    <row r="11" spans="2:7" x14ac:dyDescent="0.25">
      <c r="B11" s="18">
        <v>8</v>
      </c>
      <c r="C11" s="18" t="s">
        <v>52</v>
      </c>
      <c r="D11" s="19" t="s">
        <v>9</v>
      </c>
      <c r="E11" s="22">
        <v>1073628962</v>
      </c>
      <c r="F11" s="11" t="s">
        <v>32</v>
      </c>
      <c r="G11" s="19" t="s">
        <v>21</v>
      </c>
    </row>
    <row r="12" spans="2:7" x14ac:dyDescent="0.25">
      <c r="B12" s="20">
        <v>9</v>
      </c>
      <c r="C12" s="20" t="s">
        <v>53</v>
      </c>
      <c r="D12" s="6" t="s">
        <v>9</v>
      </c>
      <c r="E12" s="21">
        <v>1073628175</v>
      </c>
      <c r="F12" s="11" t="s">
        <v>32</v>
      </c>
      <c r="G12" s="6" t="s">
        <v>21</v>
      </c>
    </row>
    <row r="13" spans="2:7" x14ac:dyDescent="0.25">
      <c r="B13" s="18">
        <v>10</v>
      </c>
      <c r="C13" s="18" t="s">
        <v>54</v>
      </c>
      <c r="D13" s="19" t="s">
        <v>12</v>
      </c>
      <c r="E13" s="19">
        <v>1146128937</v>
      </c>
      <c r="F13" s="11" t="s">
        <v>32</v>
      </c>
      <c r="G13" s="19" t="s">
        <v>21</v>
      </c>
    </row>
    <row r="14" spans="2:7" x14ac:dyDescent="0.25">
      <c r="B14" s="20">
        <v>11</v>
      </c>
      <c r="C14" s="20" t="s">
        <v>55</v>
      </c>
      <c r="D14" s="6" t="s">
        <v>12</v>
      </c>
      <c r="E14" s="6">
        <v>1073628962</v>
      </c>
      <c r="F14" s="11" t="s">
        <v>32</v>
      </c>
      <c r="G14" s="6" t="s">
        <v>21</v>
      </c>
    </row>
    <row r="15" spans="2:7" x14ac:dyDescent="0.25">
      <c r="B15" s="18">
        <v>12</v>
      </c>
      <c r="C15" s="18" t="s">
        <v>76</v>
      </c>
      <c r="D15" s="19" t="s">
        <v>9</v>
      </c>
      <c r="E15" s="22">
        <v>1015463812</v>
      </c>
      <c r="F15" s="11" t="s">
        <v>32</v>
      </c>
      <c r="G15" s="19" t="s">
        <v>21</v>
      </c>
    </row>
    <row r="16" spans="2:7" x14ac:dyDescent="0.25">
      <c r="B16" s="20">
        <v>13</v>
      </c>
      <c r="C16" s="20" t="s">
        <v>23</v>
      </c>
      <c r="D16" s="6" t="s">
        <v>9</v>
      </c>
      <c r="E16" s="21">
        <v>1073628263</v>
      </c>
      <c r="F16" s="11" t="s">
        <v>32</v>
      </c>
      <c r="G16" s="6" t="s">
        <v>21</v>
      </c>
    </row>
    <row r="17" spans="2:7" x14ac:dyDescent="0.25">
      <c r="B17" s="18">
        <v>14</v>
      </c>
      <c r="C17" s="18" t="s">
        <v>25</v>
      </c>
      <c r="D17" s="19" t="s">
        <v>9</v>
      </c>
      <c r="E17" s="22">
        <v>1075724085</v>
      </c>
      <c r="F17" s="11" t="s">
        <v>32</v>
      </c>
      <c r="G17" s="19" t="s">
        <v>21</v>
      </c>
    </row>
    <row r="18" spans="2:7" x14ac:dyDescent="0.25">
      <c r="B18" s="20">
        <v>15</v>
      </c>
      <c r="C18" s="20" t="s">
        <v>26</v>
      </c>
      <c r="D18" s="6" t="s">
        <v>9</v>
      </c>
      <c r="E18" s="21">
        <v>1111262432</v>
      </c>
      <c r="F18" s="11" t="s">
        <v>32</v>
      </c>
      <c r="G18" s="6" t="s">
        <v>21</v>
      </c>
    </row>
    <row r="19" spans="2:7" x14ac:dyDescent="0.25">
      <c r="B19" s="18">
        <v>16</v>
      </c>
      <c r="C19" s="18" t="s">
        <v>35</v>
      </c>
      <c r="D19" s="19" t="s">
        <v>9</v>
      </c>
      <c r="E19" s="22">
        <v>1121879539</v>
      </c>
      <c r="F19" s="11" t="s">
        <v>32</v>
      </c>
      <c r="G19" s="19" t="s">
        <v>34</v>
      </c>
    </row>
    <row r="20" spans="2:7" x14ac:dyDescent="0.25">
      <c r="B20" s="20">
        <v>17</v>
      </c>
      <c r="C20" s="20" t="s">
        <v>37</v>
      </c>
      <c r="D20" s="6" t="s">
        <v>9</v>
      </c>
      <c r="E20" s="21">
        <v>112380823</v>
      </c>
      <c r="F20" s="11" t="s">
        <v>32</v>
      </c>
      <c r="G20" s="6" t="s">
        <v>34</v>
      </c>
    </row>
    <row r="21" spans="2:7" x14ac:dyDescent="0.25">
      <c r="B21" s="18">
        <v>18</v>
      </c>
      <c r="C21" s="18" t="s">
        <v>39</v>
      </c>
      <c r="D21" s="19" t="s">
        <v>9</v>
      </c>
      <c r="E21" s="22">
        <v>1072960146</v>
      </c>
      <c r="F21" s="11" t="s">
        <v>32</v>
      </c>
      <c r="G21" s="19" t="s">
        <v>34</v>
      </c>
    </row>
    <row r="22" spans="2:7" x14ac:dyDescent="0.25">
      <c r="B22" s="20">
        <v>19</v>
      </c>
      <c r="C22" s="20" t="s">
        <v>41</v>
      </c>
      <c r="D22" s="6" t="s">
        <v>9</v>
      </c>
      <c r="E22" s="21">
        <v>1004037560</v>
      </c>
      <c r="F22" s="11" t="s">
        <v>32</v>
      </c>
      <c r="G22" s="6" t="s">
        <v>21</v>
      </c>
    </row>
    <row r="23" spans="2:7" x14ac:dyDescent="0.25">
      <c r="B23" s="18">
        <v>20</v>
      </c>
      <c r="C23" s="18" t="s">
        <v>43</v>
      </c>
      <c r="D23" s="19" t="s">
        <v>9</v>
      </c>
      <c r="E23" s="22">
        <v>1073630168</v>
      </c>
      <c r="F23" s="11" t="s">
        <v>32</v>
      </c>
      <c r="G23" s="19" t="s">
        <v>21</v>
      </c>
    </row>
    <row r="24" spans="2:7" x14ac:dyDescent="0.25">
      <c r="B24" s="20">
        <v>21</v>
      </c>
      <c r="C24" s="20" t="s">
        <v>44</v>
      </c>
      <c r="D24" s="6" t="s">
        <v>9</v>
      </c>
      <c r="E24" s="6">
        <v>1000936352</v>
      </c>
      <c r="F24" s="11" t="s">
        <v>32</v>
      </c>
      <c r="G24" s="6" t="s">
        <v>21</v>
      </c>
    </row>
    <row r="25" spans="2:7" x14ac:dyDescent="0.25">
      <c r="B25" s="18">
        <v>22</v>
      </c>
      <c r="C25" s="18" t="s">
        <v>46</v>
      </c>
      <c r="D25" s="19" t="s">
        <v>9</v>
      </c>
      <c r="E25" s="22">
        <v>1075624572</v>
      </c>
      <c r="F25" s="11" t="s">
        <v>32</v>
      </c>
      <c r="G25" s="19" t="s">
        <v>21</v>
      </c>
    </row>
    <row r="26" spans="2:7" x14ac:dyDescent="0.25">
      <c r="B26" s="20">
        <v>23</v>
      </c>
      <c r="C26" s="20" t="s">
        <v>48</v>
      </c>
      <c r="D26" s="6" t="s">
        <v>9</v>
      </c>
      <c r="E26" s="21">
        <v>51954742</v>
      </c>
      <c r="F26" s="11" t="s">
        <v>32</v>
      </c>
      <c r="G26" s="6" t="s">
        <v>29</v>
      </c>
    </row>
    <row r="27" spans="2:7" x14ac:dyDescent="0.25">
      <c r="B27" s="18">
        <v>24</v>
      </c>
      <c r="C27" s="18" t="s">
        <v>56</v>
      </c>
      <c r="D27" s="19" t="s">
        <v>9</v>
      </c>
      <c r="E27" s="19">
        <v>1111199994</v>
      </c>
      <c r="F27" s="9" t="s">
        <v>58</v>
      </c>
      <c r="G27" s="19" t="s">
        <v>21</v>
      </c>
    </row>
    <row r="28" spans="2:7" x14ac:dyDescent="0.25">
      <c r="B28" s="20">
        <v>25</v>
      </c>
      <c r="C28" s="20" t="s">
        <v>59</v>
      </c>
      <c r="D28" s="6" t="s">
        <v>9</v>
      </c>
      <c r="E28" s="6">
        <v>1072963445</v>
      </c>
      <c r="F28" s="9" t="s">
        <v>58</v>
      </c>
      <c r="G28" s="6" t="s">
        <v>21</v>
      </c>
    </row>
    <row r="29" spans="2:7" x14ac:dyDescent="0.25">
      <c r="B29" s="18">
        <v>26</v>
      </c>
      <c r="C29" s="18" t="s">
        <v>60</v>
      </c>
      <c r="D29" s="19" t="s">
        <v>9</v>
      </c>
      <c r="E29" s="19">
        <v>20357610</v>
      </c>
      <c r="F29" s="9" t="s">
        <v>58</v>
      </c>
      <c r="G29" s="19" t="s">
        <v>21</v>
      </c>
    </row>
    <row r="30" spans="2:7" x14ac:dyDescent="0.25">
      <c r="B30" s="20">
        <v>27</v>
      </c>
      <c r="C30" s="20" t="s">
        <v>63</v>
      </c>
      <c r="D30" s="6" t="s">
        <v>9</v>
      </c>
      <c r="E30" s="6">
        <v>20358338</v>
      </c>
      <c r="F30" s="9" t="s">
        <v>58</v>
      </c>
      <c r="G30" s="6" t="s">
        <v>21</v>
      </c>
    </row>
    <row r="31" spans="2:7" x14ac:dyDescent="0.25">
      <c r="B31" s="18">
        <v>28</v>
      </c>
      <c r="C31" s="18" t="s">
        <v>66</v>
      </c>
      <c r="D31" s="19" t="s">
        <v>9</v>
      </c>
      <c r="E31" s="19">
        <v>79538678</v>
      </c>
      <c r="F31" s="11" t="s">
        <v>32</v>
      </c>
      <c r="G31" s="19" t="s">
        <v>84</v>
      </c>
    </row>
    <row r="32" spans="2:7" x14ac:dyDescent="0.25">
      <c r="B32" s="20">
        <v>29</v>
      </c>
      <c r="C32" s="20" t="s">
        <v>77</v>
      </c>
      <c r="D32" s="6" t="s">
        <v>9</v>
      </c>
      <c r="E32" s="6">
        <v>880371714</v>
      </c>
      <c r="F32" s="11" t="s">
        <v>32</v>
      </c>
      <c r="G32" s="6" t="s">
        <v>21</v>
      </c>
    </row>
    <row r="33" spans="2:7" x14ac:dyDescent="0.25">
      <c r="B33" s="18">
        <v>30</v>
      </c>
      <c r="C33" s="18" t="s">
        <v>67</v>
      </c>
      <c r="D33" s="19" t="s">
        <v>9</v>
      </c>
      <c r="E33" s="19">
        <v>20871880</v>
      </c>
      <c r="F33" s="11" t="s">
        <v>32</v>
      </c>
      <c r="G33" s="19" t="s">
        <v>21</v>
      </c>
    </row>
    <row r="34" spans="2:7" x14ac:dyDescent="0.25">
      <c r="B34" s="20">
        <v>31</v>
      </c>
      <c r="C34" s="20" t="s">
        <v>69</v>
      </c>
      <c r="D34" s="6" t="s">
        <v>9</v>
      </c>
      <c r="E34" s="6">
        <v>771404</v>
      </c>
      <c r="F34" s="11" t="s">
        <v>32</v>
      </c>
      <c r="G34" s="6" t="s">
        <v>21</v>
      </c>
    </row>
    <row r="35" spans="2:7" x14ac:dyDescent="0.25">
      <c r="B35" s="18">
        <v>32</v>
      </c>
      <c r="C35" s="18" t="s">
        <v>71</v>
      </c>
      <c r="D35" s="19" t="s">
        <v>9</v>
      </c>
      <c r="E35" s="19">
        <v>1012407289</v>
      </c>
      <c r="F35" s="11" t="s">
        <v>32</v>
      </c>
      <c r="G35" s="19" t="s">
        <v>21</v>
      </c>
    </row>
    <row r="36" spans="2:7" x14ac:dyDescent="0.25">
      <c r="B36" s="20">
        <v>33</v>
      </c>
      <c r="C36" s="20" t="s">
        <v>73</v>
      </c>
      <c r="D36" s="6" t="s">
        <v>9</v>
      </c>
      <c r="E36" s="6">
        <v>1012369227</v>
      </c>
      <c r="F36" s="11" t="s">
        <v>32</v>
      </c>
      <c r="G36" s="6" t="s">
        <v>21</v>
      </c>
    </row>
    <row r="37" spans="2:7" x14ac:dyDescent="0.25">
      <c r="B37" s="18">
        <v>34</v>
      </c>
      <c r="C37" s="18" t="s">
        <v>74</v>
      </c>
      <c r="D37" s="19" t="s">
        <v>9</v>
      </c>
      <c r="E37" s="19">
        <v>41495094</v>
      </c>
      <c r="F37" s="11" t="s">
        <v>32</v>
      </c>
      <c r="G37" s="19" t="s">
        <v>21</v>
      </c>
    </row>
    <row r="38" spans="2:7" x14ac:dyDescent="0.25">
      <c r="B38" s="20">
        <v>35</v>
      </c>
      <c r="C38" s="20" t="s">
        <v>75</v>
      </c>
      <c r="D38" s="6" t="s">
        <v>9</v>
      </c>
      <c r="E38" s="6">
        <v>1000131389</v>
      </c>
      <c r="F38" s="11" t="s">
        <v>32</v>
      </c>
      <c r="G38" s="6" t="s">
        <v>21</v>
      </c>
    </row>
    <row r="39" spans="2:7" x14ac:dyDescent="0.25">
      <c r="B39" s="18">
        <v>36</v>
      </c>
      <c r="C39" s="18" t="s">
        <v>78</v>
      </c>
      <c r="D39" s="19" t="s">
        <v>9</v>
      </c>
      <c r="E39" s="19">
        <v>1072960169</v>
      </c>
      <c r="F39" s="9" t="s">
        <v>58</v>
      </c>
      <c r="G39" s="19" t="s">
        <v>21</v>
      </c>
    </row>
    <row r="40" spans="2:7" x14ac:dyDescent="0.25">
      <c r="B40" s="20">
        <v>37</v>
      </c>
      <c r="C40" s="20" t="s">
        <v>79</v>
      </c>
      <c r="D40" s="6" t="s">
        <v>12</v>
      </c>
      <c r="E40" s="6">
        <v>1072963518</v>
      </c>
      <c r="F40" s="9" t="s">
        <v>58</v>
      </c>
      <c r="G40" s="6" t="s">
        <v>21</v>
      </c>
    </row>
    <row r="41" spans="2:7" x14ac:dyDescent="0.25">
      <c r="B41" s="18">
        <v>38</v>
      </c>
      <c r="C41" s="18" t="s">
        <v>80</v>
      </c>
      <c r="D41" s="19" t="s">
        <v>9</v>
      </c>
      <c r="E41" s="19">
        <v>38262910</v>
      </c>
      <c r="F41" s="11" t="s">
        <v>32</v>
      </c>
      <c r="G41" s="19" t="s">
        <v>21</v>
      </c>
    </row>
    <row r="42" spans="2:7" x14ac:dyDescent="0.25">
      <c r="B42" s="20">
        <v>39</v>
      </c>
      <c r="C42" s="20" t="s">
        <v>85</v>
      </c>
      <c r="D42" s="6" t="s">
        <v>9</v>
      </c>
      <c r="E42" s="21">
        <v>52231833</v>
      </c>
      <c r="F42" s="11" t="s">
        <v>32</v>
      </c>
      <c r="G42" s="6" t="s">
        <v>84</v>
      </c>
    </row>
    <row r="43" spans="2:7" x14ac:dyDescent="0.25">
      <c r="B43" s="18">
        <v>40</v>
      </c>
      <c r="C43" s="18" t="s">
        <v>86</v>
      </c>
      <c r="D43" s="19" t="s">
        <v>87</v>
      </c>
      <c r="E43" s="19">
        <v>11450718</v>
      </c>
      <c r="F43" s="11" t="s">
        <v>32</v>
      </c>
      <c r="G43" s="19" t="s">
        <v>21</v>
      </c>
    </row>
    <row r="44" spans="2:7" x14ac:dyDescent="0.25">
      <c r="B44" s="20">
        <v>41</v>
      </c>
      <c r="C44" s="20" t="s">
        <v>88</v>
      </c>
      <c r="D44" s="6" t="s">
        <v>87</v>
      </c>
      <c r="E44" s="6">
        <v>1070584194</v>
      </c>
      <c r="F44" s="11" t="s">
        <v>32</v>
      </c>
      <c r="G44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2024-08-06T16:21:06Z</dcterms:created>
  <dcterms:modified xsi:type="dcterms:W3CDTF">2024-09-30T17:53:35Z</dcterms:modified>
</cp:coreProperties>
</file>